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naledu-my.sharepoint.com/personal/uecproycefi_bog_unal_edu_co/Documents/PROYECTOS 2026/ADRES 636 2026/"/>
    </mc:Choice>
  </mc:AlternateContent>
  <xr:revisionPtr revIDLastSave="1271" documentId="11_EC9D1419B8512DE980F7EE854921805AD3E75314" xr6:coauthVersionLast="47" xr6:coauthVersionMax="47" xr10:uidLastSave="{7F37B21F-18B0-405B-9C15-D9542BA0754A}"/>
  <bookViews>
    <workbookView xWindow="-108" yWindow="-108" windowWidth="23256" windowHeight="13896" xr2:uid="{00000000-000D-0000-FFFF-FFFF00000000}"/>
  </bookViews>
  <sheets>
    <sheet name="Formato Cronograma" sheetId="1" r:id="rId1"/>
    <sheet name="1 - Formulación de proyectos" sheetId="78" r:id="rId2"/>
    <sheet name="2 - Gestión del conocimiento" sheetId="79" r:id="rId3"/>
    <sheet name="3 - Gestión del desempeño" sheetId="83" r:id="rId4"/>
    <sheet name="4 - Gestión pública" sheetId="85" r:id="rId5"/>
    <sheet name="5 - Atención diferencial" sheetId="86" r:id="rId6"/>
    <sheet name="6 - Valor público" sheetId="92" r:id="rId7"/>
    <sheet name="7 - Bases de datos" sheetId="90" r:id="rId8"/>
    <sheet name="8 - Analítica de datos" sheetId="81" r:id="rId9"/>
    <sheet name="9 - Power BI" sheetId="89" r:id="rId10"/>
    <sheet name="10 - Comunicación asertiva" sheetId="88" r:id="rId11"/>
    <sheet name="11 - Riesgos" sheetId="91" r:id="rId12"/>
    <sheet name="12 - Pensamiento crítico" sheetId="80" r:id="rId13"/>
    <sheet name="Fechas - 1" sheetId="2" r:id="rId14"/>
    <sheet name="Fechas - 2" sheetId="3" r:id="rId15"/>
    <sheet name="Fechas - 3" sheetId="4" r:id="rId16"/>
    <sheet name="Fechas - 4" sheetId="5" r:id="rId17"/>
    <sheet name="Fechas - 5" sheetId="6" r:id="rId18"/>
    <sheet name="Fechas - 6" sheetId="7" r:id="rId19"/>
    <sheet name="Fechas - 7" sheetId="8" r:id="rId20"/>
    <sheet name="Fechas - 8" sheetId="9" r:id="rId21"/>
    <sheet name="Fechas - 9" sheetId="10" r:id="rId22"/>
    <sheet name="Fechas - 10" sheetId="11" r:id="rId23"/>
    <sheet name="Fechas - 11" sheetId="12" r:id="rId24"/>
    <sheet name="Fechas - 12" sheetId="13" r:id="rId25"/>
    <sheet name="Datos" sheetId="77" state="hidden" r:id="rId26"/>
  </sheets>
  <externalReferences>
    <externalReference r:id="rId27"/>
  </externalReferences>
  <definedNames>
    <definedName name="_xlnm._FilterDatabase" localSheetId="13" hidden="1">'Fechas - 1'!$A$2:$P$44</definedName>
    <definedName name="_xlnm._FilterDatabase" localSheetId="22" hidden="1">'Fechas - 10'!$A$2:$P$17</definedName>
    <definedName name="_xlnm._FilterDatabase" localSheetId="23" hidden="1">'Fechas - 11'!$A$2:$P$17</definedName>
    <definedName name="_xlnm._FilterDatabase" localSheetId="24" hidden="1">'Fechas - 12'!$A$2:$P$17</definedName>
    <definedName name="_xlnm._FilterDatabase" localSheetId="14" hidden="1">'Fechas - 2'!$A$2:$P$15</definedName>
    <definedName name="_xlnm._FilterDatabase" localSheetId="15" hidden="1">'Fechas - 3'!$A$2:$P$15</definedName>
    <definedName name="_xlnm._FilterDatabase" localSheetId="16" hidden="1">'Fechas - 4'!$A$2:$Q$17</definedName>
    <definedName name="_xlnm._FilterDatabase" localSheetId="17" hidden="1">'Fechas - 5'!$A$2:$P$16</definedName>
    <definedName name="_xlnm._FilterDatabase" localSheetId="18" hidden="1">'Fechas - 6'!$A$2:$P$21</definedName>
    <definedName name="_xlnm._FilterDatabase" localSheetId="19" hidden="1">'Fechas - 7'!$A$2:$P$44</definedName>
    <definedName name="_xlnm._FilterDatabase" localSheetId="20" hidden="1">'Fechas - 8'!$A$2:$Q$43</definedName>
    <definedName name="_xlnm._FilterDatabase" localSheetId="21" hidden="1">'Fechas - 9'!$A$2:$P$22</definedName>
    <definedName name="_xlnm._FilterDatabase" localSheetId="0" hidden="1">'Formato Cronograma'!$A$3:$LN$3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1" roundtripDataChecksum="T+SCNOnbajTLFRQQF2F+CANAwtwlAbU1wLjjHrQjYVc="/>
    </ext>
  </extLst>
</workbook>
</file>

<file path=xl/calcChain.xml><?xml version="1.0" encoding="utf-8"?>
<calcChain xmlns="http://schemas.openxmlformats.org/spreadsheetml/2006/main">
  <c r="F14" i="85" l="1"/>
  <c r="F15" i="85"/>
  <c r="F16" i="85"/>
  <c r="F17" i="85"/>
  <c r="F18" i="85"/>
  <c r="F19" i="85"/>
  <c r="F20" i="85"/>
  <c r="F21" i="85"/>
  <c r="F22" i="85"/>
  <c r="F23" i="85"/>
  <c r="F24" i="85"/>
  <c r="F25" i="85"/>
  <c r="F26" i="85"/>
  <c r="F27" i="85"/>
  <c r="F28" i="85"/>
  <c r="F29" i="85"/>
  <c r="F30" i="85"/>
  <c r="F31" i="85"/>
  <c r="F13" i="85"/>
  <c r="E14" i="79"/>
  <c r="F14" i="79"/>
  <c r="E15" i="79"/>
  <c r="F15" i="79"/>
  <c r="E16" i="79"/>
  <c r="F16" i="79"/>
  <c r="E17" i="79"/>
  <c r="F17" i="79"/>
  <c r="E18" i="79"/>
  <c r="F18" i="79"/>
  <c r="E19" i="79"/>
  <c r="F19" i="79"/>
  <c r="E20" i="79"/>
  <c r="F20" i="79"/>
  <c r="E21" i="79"/>
  <c r="F21" i="79"/>
  <c r="F13" i="79"/>
  <c r="E13" i="79"/>
  <c r="G13" i="1"/>
  <c r="H13" i="1"/>
  <c r="E9" i="80"/>
  <c r="AW17" i="90"/>
  <c r="AX17" i="90"/>
  <c r="AY17" i="90"/>
  <c r="AZ17" i="90"/>
  <c r="BD17" i="90"/>
  <c r="AW18" i="90"/>
  <c r="AX18" i="90"/>
  <c r="AY18" i="90"/>
  <c r="AZ18" i="90"/>
  <c r="BD18" i="90"/>
  <c r="AW19" i="90"/>
  <c r="AX19" i="90"/>
  <c r="AY19" i="90"/>
  <c r="AZ19" i="90"/>
  <c r="BD19" i="90"/>
  <c r="AW20" i="90"/>
  <c r="AX20" i="90"/>
  <c r="AY20" i="90"/>
  <c r="AZ20" i="90"/>
  <c r="BD20" i="90"/>
  <c r="AW21" i="90"/>
  <c r="AX21" i="90"/>
  <c r="AY21" i="90"/>
  <c r="AZ21" i="90" s="1"/>
  <c r="AW22" i="90"/>
  <c r="AX22" i="90"/>
  <c r="AY22" i="90"/>
  <c r="AZ22" i="90" s="1"/>
  <c r="AW23" i="90"/>
  <c r="AX23" i="90"/>
  <c r="AY23" i="90"/>
  <c r="AZ23" i="90"/>
  <c r="BD23" i="90"/>
  <c r="AW24" i="90"/>
  <c r="AX24" i="90"/>
  <c r="AY24" i="90"/>
  <c r="AZ24" i="90"/>
  <c r="BD24" i="90"/>
  <c r="AW25" i="90"/>
  <c r="AX25" i="90"/>
  <c r="AY25" i="90"/>
  <c r="AZ25" i="90"/>
  <c r="BD25" i="90"/>
  <c r="AW26" i="90"/>
  <c r="AX26" i="90"/>
  <c r="AY26" i="90"/>
  <c r="AZ26" i="90" s="1"/>
  <c r="AW27" i="90"/>
  <c r="AX27" i="90"/>
  <c r="AY27" i="90"/>
  <c r="AZ27" i="90"/>
  <c r="BD27" i="90"/>
  <c r="F10" i="91"/>
  <c r="C10" i="91"/>
  <c r="E9" i="91"/>
  <c r="C10" i="88"/>
  <c r="F10" i="88"/>
  <c r="E9" i="88"/>
  <c r="E10" i="89"/>
  <c r="C10" i="89"/>
  <c r="E9" i="89"/>
  <c r="E9" i="81"/>
  <c r="C10" i="90"/>
  <c r="E9" i="90"/>
  <c r="F10" i="90"/>
  <c r="E9" i="92"/>
  <c r="E9" i="86"/>
  <c r="E9" i="85"/>
  <c r="E9" i="83"/>
  <c r="F10" i="83"/>
  <c r="C10" i="83"/>
  <c r="E9" i="78"/>
  <c r="E9" i="79"/>
  <c r="F10" i="79"/>
  <c r="C10" i="79"/>
  <c r="AC24" i="85"/>
  <c r="AC25" i="85"/>
  <c r="AC26" i="85"/>
  <c r="AC27" i="85"/>
  <c r="AC28" i="85"/>
  <c r="AC29" i="85"/>
  <c r="AB14" i="92"/>
  <c r="AB15" i="92"/>
  <c r="AB16" i="92"/>
  <c r="AB17" i="92"/>
  <c r="AB18" i="92"/>
  <c r="AB13" i="92"/>
  <c r="F10" i="92"/>
  <c r="C10" i="92"/>
  <c r="AA10" i="90"/>
  <c r="AA18" i="92"/>
  <c r="Z18" i="92"/>
  <c r="AA17" i="92"/>
  <c r="Z17" i="92"/>
  <c r="AA16" i="92"/>
  <c r="Z16" i="92"/>
  <c r="AA15" i="92"/>
  <c r="Z15" i="92"/>
  <c r="AA14" i="92"/>
  <c r="Z14" i="92"/>
  <c r="AA13" i="92"/>
  <c r="Z13" i="92"/>
  <c r="BB28" i="91"/>
  <c r="X28" i="91"/>
  <c r="Y28" i="91" s="1"/>
  <c r="W28" i="91"/>
  <c r="V28" i="91"/>
  <c r="BB27" i="91"/>
  <c r="X27" i="91"/>
  <c r="Y27" i="91" s="1"/>
  <c r="W27" i="91"/>
  <c r="V27" i="91"/>
  <c r="BB26" i="91"/>
  <c r="X26" i="91"/>
  <c r="Y26" i="91" s="1"/>
  <c r="W26" i="91"/>
  <c r="V26" i="91"/>
  <c r="X25" i="91"/>
  <c r="W25" i="91"/>
  <c r="V25" i="91"/>
  <c r="BB24" i="91"/>
  <c r="X24" i="91"/>
  <c r="W24" i="91"/>
  <c r="V24" i="91"/>
  <c r="BB23" i="91"/>
  <c r="X23" i="91"/>
  <c r="W23" i="91"/>
  <c r="V23" i="91"/>
  <c r="BB22" i="91"/>
  <c r="X22" i="91"/>
  <c r="W22" i="91"/>
  <c r="V22" i="91"/>
  <c r="X21" i="91"/>
  <c r="W21" i="91"/>
  <c r="V21" i="91"/>
  <c r="BB20" i="91"/>
  <c r="X20" i="91"/>
  <c r="W20" i="91"/>
  <c r="V20" i="91"/>
  <c r="BB19" i="91"/>
  <c r="X19" i="91"/>
  <c r="W19" i="91"/>
  <c r="V19" i="91"/>
  <c r="BB18" i="91"/>
  <c r="X18" i="91"/>
  <c r="W18" i="91"/>
  <c r="V18" i="91"/>
  <c r="X17" i="91"/>
  <c r="W17" i="91"/>
  <c r="V17" i="91"/>
  <c r="BB16" i="91"/>
  <c r="X16" i="91"/>
  <c r="W16" i="91"/>
  <c r="V16" i="91"/>
  <c r="X15" i="91"/>
  <c r="W15" i="91"/>
  <c r="V15" i="91"/>
  <c r="BB14" i="91"/>
  <c r="X14" i="91"/>
  <c r="W14" i="91"/>
  <c r="V14" i="91"/>
  <c r="BB13" i="91"/>
  <c r="X13" i="91"/>
  <c r="W13" i="91"/>
  <c r="V13" i="91"/>
  <c r="AY16" i="90"/>
  <c r="AX16" i="90"/>
  <c r="AW16" i="90"/>
  <c r="AY15" i="90"/>
  <c r="AX15" i="90"/>
  <c r="AW15" i="90"/>
  <c r="AY14" i="90"/>
  <c r="AX14" i="90"/>
  <c r="AW14" i="90"/>
  <c r="AY13" i="90"/>
  <c r="AX13" i="90"/>
  <c r="AW13" i="90"/>
  <c r="DF14" i="81"/>
  <c r="DF18" i="81"/>
  <c r="DF21" i="81"/>
  <c r="DF22" i="81"/>
  <c r="DF24" i="81"/>
  <c r="DF25" i="81"/>
  <c r="DF26" i="81"/>
  <c r="DF28" i="81"/>
  <c r="DF13" i="81"/>
  <c r="BB14" i="88"/>
  <c r="BB15" i="88"/>
  <c r="BB17" i="88"/>
  <c r="BB18" i="88"/>
  <c r="BB19" i="88"/>
  <c r="BB21" i="88"/>
  <c r="BB23" i="88"/>
  <c r="BB13" i="88"/>
  <c r="BH14" i="85"/>
  <c r="BH16" i="85"/>
  <c r="BH18" i="85"/>
  <c r="BH19" i="85"/>
  <c r="BH20" i="85"/>
  <c r="BH22" i="85"/>
  <c r="BH23" i="85"/>
  <c r="BH24" i="85"/>
  <c r="BH26" i="85"/>
  <c r="BH27" i="85"/>
  <c r="BH28" i="85"/>
  <c r="BH29" i="85"/>
  <c r="BH30" i="85"/>
  <c r="BH31" i="85"/>
  <c r="BH13" i="85"/>
  <c r="X14" i="88"/>
  <c r="X15" i="88"/>
  <c r="X16" i="88"/>
  <c r="X17" i="88"/>
  <c r="X18" i="88"/>
  <c r="X19" i="88"/>
  <c r="X20" i="88"/>
  <c r="X21" i="88"/>
  <c r="X22" i="88"/>
  <c r="X23" i="88"/>
  <c r="X13" i="88"/>
  <c r="X31" i="85"/>
  <c r="X30" i="85"/>
  <c r="X29" i="85"/>
  <c r="X28" i="85"/>
  <c r="X27" i="85"/>
  <c r="X26" i="85"/>
  <c r="X25" i="85"/>
  <c r="X24" i="85"/>
  <c r="X23" i="85"/>
  <c r="X22" i="85"/>
  <c r="X21" i="85"/>
  <c r="X20" i="85"/>
  <c r="X19" i="85"/>
  <c r="X18" i="85"/>
  <c r="X17" i="85"/>
  <c r="X16" i="85"/>
  <c r="X15" i="85"/>
  <c r="X14" i="85"/>
  <c r="X13" i="85"/>
  <c r="W13" i="85"/>
  <c r="V13" i="85"/>
  <c r="Y28" i="85"/>
  <c r="W28" i="85"/>
  <c r="V28" i="85"/>
  <c r="Y27" i="85"/>
  <c r="W27" i="85"/>
  <c r="V27" i="85"/>
  <c r="Y26" i="85"/>
  <c r="W26" i="85"/>
  <c r="V26" i="85"/>
  <c r="BB17" i="80"/>
  <c r="BB16" i="80"/>
  <c r="BB14" i="80"/>
  <c r="BB13" i="80"/>
  <c r="BB18" i="80"/>
  <c r="BB19" i="80"/>
  <c r="H15" i="1"/>
  <c r="G15" i="1"/>
  <c r="G8" i="1"/>
  <c r="BA14" i="86"/>
  <c r="BA15" i="86"/>
  <c r="BA17" i="86"/>
  <c r="BA18" i="86"/>
  <c r="BA19" i="86"/>
  <c r="BA20" i="86"/>
  <c r="C10" i="80"/>
  <c r="F10" i="80"/>
  <c r="F10" i="81"/>
  <c r="C10" i="81"/>
  <c r="F10" i="86"/>
  <c r="C10" i="86"/>
  <c r="F10" i="85"/>
  <c r="C10" i="85"/>
  <c r="F10" i="78"/>
  <c r="C10" i="78"/>
  <c r="X14" i="80"/>
  <c r="AC14" i="80" s="1"/>
  <c r="X15" i="80"/>
  <c r="Y15" i="80" s="1"/>
  <c r="X16" i="80"/>
  <c r="Y16" i="80" s="1"/>
  <c r="X17" i="80"/>
  <c r="Y17" i="80" s="1"/>
  <c r="X18" i="80"/>
  <c r="Y18" i="80" s="1"/>
  <c r="X19" i="80"/>
  <c r="Y19" i="80" s="1"/>
  <c r="X13" i="80"/>
  <c r="Y13" i="80" s="1"/>
  <c r="W14" i="86"/>
  <c r="W15" i="86"/>
  <c r="X15" i="86" s="1"/>
  <c r="W16" i="86"/>
  <c r="AB16" i="86" s="1"/>
  <c r="W17" i="86"/>
  <c r="W18" i="86"/>
  <c r="X18" i="86" s="1"/>
  <c r="W19" i="86"/>
  <c r="X19" i="86" s="1"/>
  <c r="W20" i="86"/>
  <c r="X20" i="86" s="1"/>
  <c r="W13" i="86"/>
  <c r="H8" i="1" s="1"/>
  <c r="AX25" i="81"/>
  <c r="AW25" i="81"/>
  <c r="AV25" i="81"/>
  <c r="V13" i="86"/>
  <c r="U13" i="86"/>
  <c r="AX28" i="81"/>
  <c r="AW28" i="81"/>
  <c r="AV28" i="81"/>
  <c r="AX27" i="81"/>
  <c r="AW27" i="81"/>
  <c r="AV27" i="81"/>
  <c r="AX26" i="81"/>
  <c r="AW26" i="81"/>
  <c r="AV26" i="81"/>
  <c r="AX24" i="81"/>
  <c r="AW24" i="81"/>
  <c r="AV24" i="81"/>
  <c r="AX23" i="81"/>
  <c r="AW23" i="81"/>
  <c r="AV23" i="81"/>
  <c r="AX22" i="81"/>
  <c r="AW22" i="81"/>
  <c r="AV22" i="81"/>
  <c r="AX21" i="81"/>
  <c r="AW21" i="81"/>
  <c r="AV21" i="81"/>
  <c r="AX20" i="81"/>
  <c r="AW20" i="81"/>
  <c r="AV20" i="81"/>
  <c r="AX19" i="81"/>
  <c r="AW19" i="81"/>
  <c r="AV19" i="81"/>
  <c r="AX18" i="81"/>
  <c r="AW18" i="81"/>
  <c r="AV18" i="81"/>
  <c r="AX17" i="81"/>
  <c r="AW17" i="81"/>
  <c r="AV17" i="81"/>
  <c r="AX16" i="81"/>
  <c r="AW16" i="81"/>
  <c r="AV16" i="81"/>
  <c r="AX15" i="81"/>
  <c r="AW15" i="81"/>
  <c r="AV15" i="81"/>
  <c r="AX14" i="81"/>
  <c r="AW14" i="81"/>
  <c r="AV14" i="81"/>
  <c r="AX13" i="81"/>
  <c r="AW13" i="81"/>
  <c r="AV13" i="81"/>
  <c r="AF28" i="89"/>
  <c r="AA28" i="89"/>
  <c r="AB28" i="89" s="1"/>
  <c r="Z28" i="89"/>
  <c r="Y28" i="89"/>
  <c r="AF27" i="89"/>
  <c r="AA27" i="89"/>
  <c r="AB27" i="89" s="1"/>
  <c r="Z27" i="89"/>
  <c r="Y27" i="89"/>
  <c r="AF26" i="89"/>
  <c r="AA26" i="89"/>
  <c r="AB26" i="89" s="1"/>
  <c r="Z26" i="89"/>
  <c r="Y26" i="89"/>
  <c r="AF25" i="89"/>
  <c r="AA25" i="89"/>
  <c r="AB25" i="89" s="1"/>
  <c r="Z25" i="89"/>
  <c r="Y25" i="89"/>
  <c r="AF24" i="89"/>
  <c r="AA24" i="89"/>
  <c r="AB24" i="89" s="1"/>
  <c r="Z24" i="89"/>
  <c r="Y24" i="89"/>
  <c r="AF23" i="89"/>
  <c r="AA23" i="89"/>
  <c r="AB23" i="89" s="1"/>
  <c r="Z23" i="89"/>
  <c r="Y23" i="89"/>
  <c r="AF22" i="89"/>
  <c r="AA22" i="89"/>
  <c r="AB22" i="89" s="1"/>
  <c r="Z22" i="89"/>
  <c r="Y22" i="89"/>
  <c r="AF21" i="89"/>
  <c r="AB21" i="89"/>
  <c r="AA21" i="89"/>
  <c r="Z21" i="89"/>
  <c r="Y21" i="89"/>
  <c r="AF20" i="89"/>
  <c r="AA20" i="89"/>
  <c r="AB20" i="89" s="1"/>
  <c r="Z20" i="89"/>
  <c r="Y20" i="89"/>
  <c r="AF19" i="89"/>
  <c r="AA19" i="89"/>
  <c r="AB19" i="89" s="1"/>
  <c r="Z19" i="89"/>
  <c r="Y19" i="89"/>
  <c r="AF18" i="89"/>
  <c r="AA18" i="89"/>
  <c r="AB18" i="89" s="1"/>
  <c r="Z18" i="89"/>
  <c r="Y18" i="89"/>
  <c r="AF17" i="89"/>
  <c r="AA17" i="89"/>
  <c r="AB17" i="89" s="1"/>
  <c r="Z17" i="89"/>
  <c r="Y17" i="89"/>
  <c r="AF16" i="89"/>
  <c r="AA16" i="89"/>
  <c r="AB16" i="89" s="1"/>
  <c r="Z16" i="89"/>
  <c r="Y16" i="89"/>
  <c r="AF15" i="89"/>
  <c r="AA15" i="89"/>
  <c r="AB15" i="89" s="1"/>
  <c r="Z15" i="89"/>
  <c r="Y15" i="89"/>
  <c r="AF14" i="89"/>
  <c r="AA14" i="89"/>
  <c r="AB14" i="89" s="1"/>
  <c r="Z14" i="89"/>
  <c r="Y14" i="89"/>
  <c r="AF13" i="89"/>
  <c r="AA13" i="89"/>
  <c r="AB13" i="89" s="1"/>
  <c r="Z13" i="89"/>
  <c r="Y13" i="89"/>
  <c r="W23" i="88"/>
  <c r="V23" i="88"/>
  <c r="W22" i="88"/>
  <c r="V22" i="88"/>
  <c r="W21" i="88"/>
  <c r="V21" i="88"/>
  <c r="W20" i="88"/>
  <c r="V20" i="88"/>
  <c r="W19" i="88"/>
  <c r="V19" i="88"/>
  <c r="W18" i="88"/>
  <c r="V18" i="88"/>
  <c r="W17" i="88"/>
  <c r="V17" i="88"/>
  <c r="W16" i="88"/>
  <c r="V16" i="88"/>
  <c r="W15" i="88"/>
  <c r="V15" i="88"/>
  <c r="W14" i="88"/>
  <c r="V14" i="88"/>
  <c r="W13" i="88"/>
  <c r="V13" i="88"/>
  <c r="V20" i="86"/>
  <c r="U20" i="86"/>
  <c r="V19" i="86"/>
  <c r="U19" i="86"/>
  <c r="V18" i="86"/>
  <c r="U18" i="86"/>
  <c r="X17" i="86"/>
  <c r="V17" i="86"/>
  <c r="U17" i="86"/>
  <c r="V16" i="86"/>
  <c r="U16" i="86"/>
  <c r="V15" i="86"/>
  <c r="U15" i="86"/>
  <c r="AB14" i="86"/>
  <c r="V14" i="86"/>
  <c r="U14" i="86"/>
  <c r="X13" i="86"/>
  <c r="W31" i="85"/>
  <c r="V31" i="85"/>
  <c r="W30" i="85"/>
  <c r="V30" i="85"/>
  <c r="W29" i="85"/>
  <c r="V29" i="85"/>
  <c r="W25" i="85"/>
  <c r="V25" i="85"/>
  <c r="W24" i="85"/>
  <c r="V24" i="85"/>
  <c r="W23" i="85"/>
  <c r="V23" i="85"/>
  <c r="W22" i="85"/>
  <c r="V22" i="85"/>
  <c r="W21" i="85"/>
  <c r="V21" i="85"/>
  <c r="W20" i="85"/>
  <c r="V20" i="85"/>
  <c r="W19" i="85"/>
  <c r="V19" i="85"/>
  <c r="W18" i="85"/>
  <c r="V18" i="85"/>
  <c r="W17" i="85"/>
  <c r="V17" i="85"/>
  <c r="W16" i="85"/>
  <c r="V16" i="85"/>
  <c r="W15" i="85"/>
  <c r="V15" i="85"/>
  <c r="W14" i="85"/>
  <c r="V14" i="85"/>
  <c r="AA28" i="83"/>
  <c r="V28" i="83"/>
  <c r="W28" i="83" s="1"/>
  <c r="U28" i="83"/>
  <c r="T28" i="83"/>
  <c r="AA27" i="83"/>
  <c r="V27" i="83"/>
  <c r="W27" i="83" s="1"/>
  <c r="U27" i="83"/>
  <c r="T27" i="83"/>
  <c r="AA26" i="83"/>
  <c r="V26" i="83"/>
  <c r="W26" i="83" s="1"/>
  <c r="U26" i="83"/>
  <c r="T26" i="83"/>
  <c r="AA25" i="83"/>
  <c r="V25" i="83"/>
  <c r="W25" i="83" s="1"/>
  <c r="U25" i="83"/>
  <c r="T25" i="83"/>
  <c r="AA24" i="83"/>
  <c r="V24" i="83"/>
  <c r="W24" i="83" s="1"/>
  <c r="U24" i="83"/>
  <c r="T24" i="83"/>
  <c r="AA23" i="83"/>
  <c r="V23" i="83"/>
  <c r="W23" i="83" s="1"/>
  <c r="U23" i="83"/>
  <c r="T23" i="83"/>
  <c r="AA22" i="83"/>
  <c r="V22" i="83"/>
  <c r="W22" i="83" s="1"/>
  <c r="U22" i="83"/>
  <c r="T22" i="83"/>
  <c r="AA21" i="83"/>
  <c r="V21" i="83"/>
  <c r="W21" i="83" s="1"/>
  <c r="U21" i="83"/>
  <c r="T21" i="83"/>
  <c r="AA20" i="83"/>
  <c r="V20" i="83"/>
  <c r="W20" i="83" s="1"/>
  <c r="U20" i="83"/>
  <c r="T20" i="83"/>
  <c r="AA19" i="83"/>
  <c r="V19" i="83"/>
  <c r="W19" i="83" s="1"/>
  <c r="U19" i="83"/>
  <c r="T19" i="83"/>
  <c r="AA18" i="83"/>
  <c r="V18" i="83"/>
  <c r="W18" i="83" s="1"/>
  <c r="U18" i="83"/>
  <c r="T18" i="83"/>
  <c r="AA17" i="83"/>
  <c r="V17" i="83"/>
  <c r="W17" i="83" s="1"/>
  <c r="U17" i="83"/>
  <c r="T17" i="83"/>
  <c r="AA16" i="83"/>
  <c r="V16" i="83"/>
  <c r="W16" i="83" s="1"/>
  <c r="U16" i="83"/>
  <c r="T16" i="83"/>
  <c r="AA15" i="83"/>
  <c r="V15" i="83"/>
  <c r="W15" i="83" s="1"/>
  <c r="U15" i="83"/>
  <c r="T15" i="83"/>
  <c r="AA14" i="83"/>
  <c r="V14" i="83"/>
  <c r="W14" i="83" s="1"/>
  <c r="U14" i="83"/>
  <c r="T14" i="83"/>
  <c r="AA13" i="83"/>
  <c r="V13" i="83"/>
  <c r="W13" i="83" s="1"/>
  <c r="U13" i="83"/>
  <c r="T13" i="83"/>
  <c r="W19" i="80"/>
  <c r="V19" i="80"/>
  <c r="W18" i="80"/>
  <c r="V18" i="80"/>
  <c r="W17" i="80"/>
  <c r="V17" i="80"/>
  <c r="W16" i="80"/>
  <c r="V16" i="80"/>
  <c r="W15" i="80"/>
  <c r="V15" i="80"/>
  <c r="W14" i="80"/>
  <c r="V14" i="80"/>
  <c r="W13" i="80"/>
  <c r="V13" i="80"/>
  <c r="V21" i="79"/>
  <c r="AA21" i="79" s="1"/>
  <c r="U21" i="79"/>
  <c r="T21" i="79"/>
  <c r="V20" i="79"/>
  <c r="AA20" i="79" s="1"/>
  <c r="U20" i="79"/>
  <c r="T20" i="79"/>
  <c r="V19" i="79"/>
  <c r="U19" i="79"/>
  <c r="T19" i="79"/>
  <c r="V18" i="79"/>
  <c r="AA18" i="79" s="1"/>
  <c r="U18" i="79"/>
  <c r="T18" i="79"/>
  <c r="V17" i="79"/>
  <c r="AA17" i="79" s="1"/>
  <c r="U17" i="79"/>
  <c r="T17" i="79"/>
  <c r="V16" i="79"/>
  <c r="AA16" i="79" s="1"/>
  <c r="U16" i="79"/>
  <c r="T16" i="79"/>
  <c r="V15" i="79"/>
  <c r="AA15" i="79" s="1"/>
  <c r="U15" i="79"/>
  <c r="T15" i="79"/>
  <c r="V14" i="79"/>
  <c r="W14" i="79" s="1"/>
  <c r="U14" i="79"/>
  <c r="T14" i="79"/>
  <c r="V13" i="79"/>
  <c r="AA13" i="79" s="1"/>
  <c r="U13" i="79"/>
  <c r="T13" i="79"/>
  <c r="AY18" i="78"/>
  <c r="AZ18" i="78" s="1"/>
  <c r="AX18" i="78"/>
  <c r="AW18" i="78"/>
  <c r="AY17" i="78"/>
  <c r="AZ17" i="78" s="1"/>
  <c r="AX17" i="78"/>
  <c r="AW17" i="78"/>
  <c r="AY16" i="78"/>
  <c r="BD16" i="78" s="1"/>
  <c r="AX16" i="78"/>
  <c r="AW16" i="78"/>
  <c r="AY15" i="78"/>
  <c r="BD15" i="78" s="1"/>
  <c r="AX15" i="78"/>
  <c r="AW15" i="78"/>
  <c r="AY14" i="78"/>
  <c r="AZ14" i="78" s="1"/>
  <c r="AX14" i="78"/>
  <c r="AW14" i="78"/>
  <c r="AY13" i="78"/>
  <c r="AZ13" i="78" s="1"/>
  <c r="AX13" i="78"/>
  <c r="AW13" i="78"/>
  <c r="BD22" i="90" l="1"/>
  <c r="BD21" i="90"/>
  <c r="BD26" i="90"/>
  <c r="W19" i="79"/>
  <c r="AA19" i="79"/>
  <c r="AG13" i="92"/>
  <c r="AC13" i="92"/>
  <c r="AG14" i="92"/>
  <c r="AC14" i="92"/>
  <c r="AG15" i="92"/>
  <c r="AC15" i="92"/>
  <c r="AG16" i="92"/>
  <c r="AC16" i="92"/>
  <c r="AG17" i="92"/>
  <c r="AC17" i="92"/>
  <c r="AG18" i="92"/>
  <c r="AC18" i="92"/>
  <c r="AC13" i="91"/>
  <c r="Y13" i="91"/>
  <c r="AC14" i="91"/>
  <c r="Y14" i="91"/>
  <c r="AC15" i="91"/>
  <c r="Y15" i="91"/>
  <c r="AC16" i="91"/>
  <c r="Y16" i="91"/>
  <c r="AC17" i="91"/>
  <c r="Y17" i="91"/>
  <c r="AC18" i="91"/>
  <c r="Y18" i="91"/>
  <c r="AC19" i="91"/>
  <c r="Y19" i="91"/>
  <c r="AC20" i="91"/>
  <c r="Y20" i="91"/>
  <c r="AC21" i="91"/>
  <c r="Y21" i="91"/>
  <c r="AC22" i="91"/>
  <c r="Y22" i="91"/>
  <c r="AC23" i="91"/>
  <c r="Y23" i="91"/>
  <c r="AC24" i="91"/>
  <c r="Y24" i="91"/>
  <c r="AC25" i="91"/>
  <c r="Y25" i="91"/>
  <c r="BD13" i="90"/>
  <c r="AZ13" i="90"/>
  <c r="BD14" i="90"/>
  <c r="AZ14" i="90"/>
  <c r="BD15" i="90"/>
  <c r="AZ15" i="90"/>
  <c r="BD16" i="90"/>
  <c r="AZ16" i="90"/>
  <c r="Y13" i="88"/>
  <c r="AC13" i="88"/>
  <c r="Y14" i="88"/>
  <c r="AC14" i="88"/>
  <c r="Y15" i="88"/>
  <c r="AC15" i="88"/>
  <c r="Y16" i="88"/>
  <c r="AC16" i="88"/>
  <c r="Y17" i="88"/>
  <c r="AC17" i="88"/>
  <c r="Y18" i="88"/>
  <c r="AC18" i="88"/>
  <c r="Y19" i="88"/>
  <c r="AC19" i="88"/>
  <c r="Y20" i="88"/>
  <c r="AC20" i="88"/>
  <c r="AC21" i="88"/>
  <c r="Y21" i="88"/>
  <c r="Y22" i="88"/>
  <c r="AC22" i="88"/>
  <c r="Y23" i="88"/>
  <c r="AC23" i="88"/>
  <c r="Y13" i="85"/>
  <c r="AC13" i="85"/>
  <c r="AC14" i="85"/>
  <c r="Y14" i="85"/>
  <c r="Y15" i="85"/>
  <c r="AC15" i="85"/>
  <c r="Y16" i="85"/>
  <c r="AC16" i="85"/>
  <c r="Y17" i="85"/>
  <c r="AC17" i="85"/>
  <c r="Y18" i="85"/>
  <c r="AC18" i="85"/>
  <c r="Y19" i="85"/>
  <c r="AC19" i="85"/>
  <c r="Y20" i="85"/>
  <c r="AC20" i="85"/>
  <c r="AC21" i="85"/>
  <c r="Y21" i="85"/>
  <c r="Y22" i="85"/>
  <c r="AC22" i="85"/>
  <c r="Y23" i="85"/>
  <c r="AC23" i="85"/>
  <c r="Y24" i="85"/>
  <c r="Y25" i="85"/>
  <c r="Y29" i="85"/>
  <c r="Y30" i="85"/>
  <c r="AC30" i="85"/>
  <c r="Y31" i="85"/>
  <c r="AC31" i="85"/>
  <c r="BC25" i="81"/>
  <c r="AY25" i="81"/>
  <c r="BC13" i="81"/>
  <c r="AY13" i="81"/>
  <c r="BC14" i="81"/>
  <c r="AY14" i="81"/>
  <c r="BC15" i="81"/>
  <c r="AY15" i="81"/>
  <c r="BC16" i="81"/>
  <c r="AY16" i="81"/>
  <c r="BC17" i="81"/>
  <c r="AY17" i="81"/>
  <c r="BC18" i="81"/>
  <c r="AY18" i="81"/>
  <c r="BC19" i="81"/>
  <c r="AY19" i="81"/>
  <c r="BC20" i="81"/>
  <c r="AY20" i="81"/>
  <c r="BC21" i="81"/>
  <c r="AY21" i="81"/>
  <c r="BC22" i="81"/>
  <c r="AY22" i="81"/>
  <c r="BC23" i="81"/>
  <c r="AY23" i="81"/>
  <c r="BC24" i="81"/>
  <c r="AY24" i="81"/>
  <c r="BC26" i="81"/>
  <c r="AY26" i="81"/>
  <c r="BC27" i="81"/>
  <c r="AY27" i="81"/>
  <c r="BC28" i="81"/>
  <c r="AY28" i="81"/>
  <c r="AC16" i="80"/>
  <c r="AC19" i="80"/>
  <c r="AC18" i="80"/>
  <c r="AB20" i="86"/>
  <c r="X14" i="86"/>
  <c r="AB15" i="86"/>
  <c r="AB18" i="86"/>
  <c r="AB13" i="86"/>
  <c r="X16" i="86"/>
  <c r="AB19" i="86"/>
  <c r="AB17" i="86"/>
  <c r="BD14" i="78"/>
  <c r="AC17" i="80"/>
  <c r="Y14" i="80"/>
  <c r="AC15" i="80"/>
  <c r="AC13" i="80"/>
  <c r="BD13" i="78"/>
  <c r="BD17" i="78"/>
  <c r="W17" i="79"/>
  <c r="W20" i="79"/>
  <c r="W18" i="79"/>
  <c r="W16" i="79"/>
  <c r="W21" i="79"/>
  <c r="W13" i="79"/>
  <c r="AZ15" i="78"/>
  <c r="AA14" i="79"/>
  <c r="W15" i="79"/>
  <c r="BD18" i="78"/>
  <c r="AZ16" i="78"/>
  <c r="B17" i="13" l="1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1" i="13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1" i="12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" i="11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" i="10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1" i="9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1" i="8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1" i="7"/>
  <c r="B1" i="6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1" i="5"/>
  <c r="B15" i="4"/>
  <c r="B14" i="4"/>
  <c r="B13" i="4"/>
  <c r="B12" i="4"/>
  <c r="B11" i="4"/>
  <c r="B10" i="4"/>
  <c r="B9" i="4"/>
  <c r="B8" i="4"/>
  <c r="B7" i="4"/>
  <c r="B6" i="4"/>
  <c r="B5" i="4"/>
  <c r="B4" i="4"/>
  <c r="B3" i="4"/>
  <c r="B1" i="4"/>
  <c r="B15" i="3"/>
  <c r="B14" i="3"/>
  <c r="B13" i="3"/>
  <c r="B12" i="3"/>
  <c r="B11" i="3"/>
  <c r="B10" i="3"/>
  <c r="B9" i="3"/>
  <c r="B8" i="3"/>
  <c r="B7" i="3"/>
  <c r="B6" i="3"/>
  <c r="B5" i="3"/>
  <c r="B4" i="3"/>
  <c r="B3" i="3"/>
  <c r="B1" i="3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1" i="2"/>
</calcChain>
</file>

<file path=xl/sharedStrings.xml><?xml version="1.0" encoding="utf-8"?>
<sst xmlns="http://schemas.openxmlformats.org/spreadsheetml/2006/main" count="2985" uniqueCount="452">
  <si>
    <t>Cronograma de Actividades Proyecto N° 638 - 2026 - ADRES - UNAL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</si>
  <si>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</si>
  <si>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</si>
  <si>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</si>
  <si>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</si>
  <si>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</si>
  <si>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</si>
  <si>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</si>
  <si>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</si>
  <si>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</si>
  <si>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</si>
  <si>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</si>
  <si>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</si>
  <si>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Ju.</t>
  </si>
  <si>
    <t>Vi.</t>
  </si>
  <si>
    <t>Sa.</t>
  </si>
  <si>
    <t>Lu.</t>
  </si>
  <si>
    <t>Ma.</t>
  </si>
  <si>
    <t>Mi.</t>
  </si>
  <si>
    <t>Ítem</t>
  </si>
  <si>
    <t>Eje</t>
  </si>
  <si>
    <t xml:space="preserve"> Actividad Académica</t>
  </si>
  <si>
    <t>Valor</t>
  </si>
  <si>
    <t>Tipología</t>
  </si>
  <si>
    <t>Docentes</t>
  </si>
  <si>
    <t>No. Participantes</t>
  </si>
  <si>
    <t>No. Certificados</t>
  </si>
  <si>
    <t>No. Horas
P: Presencial
V: Virtual</t>
  </si>
  <si>
    <t>No. Sesiones
P: Presencial
V: Virtual</t>
  </si>
  <si>
    <t>Fecha de Inicio</t>
  </si>
  <si>
    <t>Fecha de Terminación</t>
  </si>
  <si>
    <t>Horario
P: Presencial
V: Virtual</t>
  </si>
  <si>
    <t>Formulación y gestión de proyectos.</t>
  </si>
  <si>
    <t>Presencial (50%)
Virtual (50%)</t>
  </si>
  <si>
    <t>Cesar Augusto Prieto Cárdenas</t>
  </si>
  <si>
    <r>
      <rPr>
        <b/>
        <sz val="9"/>
        <color theme="1"/>
        <rFont val="Calibri"/>
        <family val="2"/>
      </rPr>
      <t xml:space="preserve">42
P: </t>
    </r>
    <r>
      <rPr>
        <sz val="9"/>
        <color theme="1"/>
        <rFont val="Calibri"/>
        <family val="2"/>
      </rPr>
      <t xml:space="preserve">17
</t>
    </r>
    <r>
      <rPr>
        <b/>
        <sz val="9"/>
        <color theme="1"/>
        <rFont val="Calibri"/>
        <family val="2"/>
      </rPr>
      <t>V:</t>
    </r>
    <r>
      <rPr>
        <sz val="9"/>
        <color theme="1"/>
        <rFont val="Calibri"/>
        <family val="2"/>
      </rPr>
      <t xml:space="preserve"> 25</t>
    </r>
  </si>
  <si>
    <r>
      <rPr>
        <b/>
        <sz val="9"/>
        <color theme="1"/>
        <rFont val="Calibri"/>
        <family val="2"/>
      </rPr>
      <t xml:space="preserve">Martes y jueves
P: </t>
    </r>
    <r>
      <rPr>
        <sz val="9"/>
        <color theme="1"/>
        <rFont val="Calibri"/>
        <family val="2"/>
      </rPr>
      <t xml:space="preserve">2 PM - 5 PM
</t>
    </r>
    <r>
      <rPr>
        <b/>
        <sz val="9"/>
        <color theme="1"/>
        <rFont val="Calibri"/>
        <family val="2"/>
      </rPr>
      <t>V:</t>
    </r>
    <r>
      <rPr>
        <sz val="9"/>
        <color theme="1"/>
        <rFont val="Calibri"/>
        <family val="2"/>
      </rPr>
      <t xml:space="preserve"> 2 PM - 4 PM</t>
    </r>
  </si>
  <si>
    <t>Gestión del Conocimiento y Buenas Prácticas Institucionales</t>
  </si>
  <si>
    <t>Bertha Viviana Ruales Guzmán</t>
  </si>
  <si>
    <r>
      <rPr>
        <b/>
        <sz val="9"/>
        <color theme="1"/>
        <rFont val="Calibri"/>
        <family val="2"/>
      </rPr>
      <t>13
P:</t>
    </r>
    <r>
      <rPr>
        <sz val="9"/>
        <color theme="1"/>
        <rFont val="Calibri"/>
        <family val="2"/>
      </rPr>
      <t xml:space="preserve"> 5
</t>
    </r>
    <r>
      <rPr>
        <b/>
        <sz val="9"/>
        <color theme="1"/>
        <rFont val="Calibri"/>
        <family val="2"/>
      </rPr>
      <t>V:</t>
    </r>
    <r>
      <rPr>
        <sz val="9"/>
        <color theme="1"/>
        <rFont val="Calibri"/>
        <family val="2"/>
      </rPr>
      <t xml:space="preserve"> 8</t>
    </r>
  </si>
  <si>
    <r>
      <rPr>
        <b/>
        <sz val="9"/>
        <color theme="1"/>
        <rFont val="Calibri"/>
        <family val="2"/>
      </rPr>
      <t xml:space="preserve">Lunes o viernes
P: </t>
    </r>
    <r>
      <rPr>
        <sz val="9"/>
        <color theme="1"/>
        <rFont val="Calibri"/>
        <family val="2"/>
      </rPr>
      <t xml:space="preserve">2 PM - 5 PM
</t>
    </r>
    <r>
      <rPr>
        <b/>
        <sz val="9"/>
        <color theme="1"/>
        <rFont val="Calibri"/>
        <family val="2"/>
      </rPr>
      <t>V:</t>
    </r>
    <r>
      <rPr>
        <sz val="9"/>
        <color theme="1"/>
        <rFont val="Calibri"/>
        <family val="2"/>
      </rPr>
      <t xml:space="preserve"> 2 PM - 4 PM</t>
    </r>
  </si>
  <si>
    <t>Gestión del Desempeño y Desarrollo de Competencias.</t>
  </si>
  <si>
    <t>Diego Leon Reyes</t>
  </si>
  <si>
    <t>Gestión pública y transparencia</t>
  </si>
  <si>
    <t>Presencial (20%)
Virtual (80%)</t>
  </si>
  <si>
    <r>
      <rPr>
        <i/>
        <sz val="9"/>
        <color rgb="FF000000"/>
        <rFont val="Calibri"/>
      </rPr>
      <t xml:space="preserve">Docente principal: 
</t>
    </r>
    <r>
      <rPr>
        <sz val="9"/>
        <color rgb="FF000000"/>
        <rFont val="Calibri"/>
      </rPr>
      <t xml:space="preserve">- Estefania Pisciotti Blanco
</t>
    </r>
    <r>
      <rPr>
        <i/>
        <sz val="9"/>
        <color rgb="FF000000"/>
        <rFont val="Calibri"/>
      </rPr>
      <t xml:space="preserve">Conferencistas invitados:
</t>
    </r>
    <r>
      <rPr>
        <sz val="9"/>
        <color rgb="FF000000"/>
        <rFont val="Calibri"/>
      </rPr>
      <t>- Paul Pulido Pachón</t>
    </r>
  </si>
  <si>
    <r>
      <rPr>
        <b/>
        <sz val="9"/>
        <color theme="1"/>
        <rFont val="Calibri"/>
        <family val="2"/>
      </rPr>
      <t>15
P:</t>
    </r>
    <r>
      <rPr>
        <sz val="9"/>
        <color theme="1"/>
        <rFont val="Calibri"/>
        <family val="2"/>
      </rPr>
      <t xml:space="preserve"> 2
</t>
    </r>
    <r>
      <rPr>
        <b/>
        <sz val="9"/>
        <color theme="1"/>
        <rFont val="Calibri"/>
        <family val="2"/>
      </rPr>
      <t>V:</t>
    </r>
    <r>
      <rPr>
        <sz val="9"/>
        <color theme="1"/>
        <rFont val="Calibri"/>
        <family val="2"/>
      </rPr>
      <t xml:space="preserve"> 13</t>
    </r>
  </si>
  <si>
    <r>
      <rPr>
        <b/>
        <sz val="9"/>
        <color rgb="FF000000"/>
        <rFont val="Calibri"/>
        <family val="2"/>
      </rPr>
      <t>Lunes, miércoles y viernes
P:</t>
    </r>
    <r>
      <rPr>
        <sz val="9"/>
        <color rgb="FF000000"/>
        <rFont val="Calibri"/>
        <family val="2"/>
      </rPr>
      <t xml:space="preserve"> 9 AM - 12 PM
</t>
    </r>
    <r>
      <rPr>
        <b/>
        <sz val="9"/>
        <color rgb="FF000000"/>
        <rFont val="Calibri"/>
        <family val="2"/>
      </rPr>
      <t xml:space="preserve">V: </t>
    </r>
    <r>
      <rPr>
        <sz val="9"/>
        <color rgb="FF000000"/>
        <rFont val="Calibri"/>
        <family val="2"/>
      </rPr>
      <t>9 AM - 11 AM</t>
    </r>
  </si>
  <si>
    <t>Atención diferencial y comunicación efectiva</t>
  </si>
  <si>
    <t>Olga Lucía Quintero Sierra</t>
  </si>
  <si>
    <r>
      <rPr>
        <b/>
        <sz val="9"/>
        <color theme="1"/>
        <rFont val="Calibri"/>
        <family val="2"/>
      </rPr>
      <t>Lunes, miércoles y viernes
P:</t>
    </r>
    <r>
      <rPr>
        <sz val="9"/>
        <color theme="1"/>
        <rFont val="Calibri"/>
        <family val="2"/>
      </rPr>
      <t xml:space="preserve"> 9 AM - 12 PM
</t>
    </r>
    <r>
      <rPr>
        <b/>
        <sz val="9"/>
        <color theme="1"/>
        <rFont val="Calibri"/>
        <family val="2"/>
      </rPr>
      <t xml:space="preserve">V: </t>
    </r>
    <r>
      <rPr>
        <sz val="9"/>
        <color theme="1"/>
        <rFont val="Calibri"/>
        <family val="2"/>
      </rPr>
      <t>9 AM - 11 AM</t>
    </r>
  </si>
  <si>
    <t>Creación de Valor Público y Gestión para Resultados</t>
  </si>
  <si>
    <t>Fredy Céspedes Villa</t>
  </si>
  <si>
    <r>
      <rPr>
        <b/>
        <sz val="9"/>
        <color theme="1"/>
        <rFont val="Calibri"/>
        <family val="2"/>
      </rPr>
      <t>19
P:</t>
    </r>
    <r>
      <rPr>
        <sz val="9"/>
        <color theme="1"/>
        <rFont val="Calibri"/>
        <family val="2"/>
      </rPr>
      <t xml:space="preserve"> 3
</t>
    </r>
    <r>
      <rPr>
        <b/>
        <sz val="9"/>
        <color theme="1"/>
        <rFont val="Calibri"/>
        <family val="2"/>
      </rPr>
      <t>V:</t>
    </r>
    <r>
      <rPr>
        <sz val="9"/>
        <color theme="1"/>
        <rFont val="Calibri"/>
        <family val="2"/>
      </rPr>
      <t xml:space="preserve"> 16</t>
    </r>
  </si>
  <si>
    <r>
      <rPr>
        <b/>
        <sz val="9"/>
        <color theme="1"/>
        <rFont val="Calibri"/>
        <family val="2"/>
      </rPr>
      <t>Lunes, miércoles y viernes
P:</t>
    </r>
    <r>
      <rPr>
        <sz val="9"/>
        <color theme="1"/>
        <rFont val="Calibri"/>
        <family val="2"/>
      </rPr>
      <t xml:space="preserve"> 9 AM - 12 PM
</t>
    </r>
    <r>
      <rPr>
        <b/>
        <sz val="9"/>
        <color theme="1"/>
        <rFont val="Calibri"/>
        <family val="2"/>
      </rPr>
      <t xml:space="preserve">V: </t>
    </r>
    <r>
      <rPr>
        <sz val="9"/>
        <color theme="1"/>
        <rFont val="Calibri"/>
        <family val="2"/>
      </rPr>
      <t>8 AM - 10 AM</t>
    </r>
  </si>
  <si>
    <t>Gestión de bases de datos</t>
  </si>
  <si>
    <r>
      <rPr>
        <i/>
        <sz val="9"/>
        <color rgb="FF000000"/>
        <rFont val="Calibri"/>
      </rPr>
      <t xml:space="preserve">Docente principal:
</t>
    </r>
    <r>
      <rPr>
        <sz val="9"/>
        <color rgb="FF000000"/>
        <rFont val="Calibri"/>
      </rPr>
      <t xml:space="preserve">- Robinson Andrés Jaque Pirabán
</t>
    </r>
    <r>
      <rPr>
        <i/>
        <sz val="9"/>
        <color rgb="FF000000"/>
        <rFont val="Calibri"/>
      </rPr>
      <t>Conferencistas invitados:</t>
    </r>
    <r>
      <rPr>
        <sz val="9"/>
        <color rgb="FF000000"/>
        <rFont val="Calibri"/>
      </rPr>
      <t xml:space="preserve"> 
- Jorge Eliecer Camargo Mendoza</t>
    </r>
  </si>
  <si>
    <r>
      <rPr>
        <b/>
        <sz val="9"/>
        <color theme="1"/>
        <rFont val="Calibri"/>
        <family val="2"/>
      </rPr>
      <t>Lunes, miércoles y viernes
P:</t>
    </r>
    <r>
      <rPr>
        <sz val="9"/>
        <color theme="1"/>
        <rFont val="Calibri"/>
        <family val="2"/>
      </rPr>
      <t xml:space="preserve"> 2 PM - 5 PM
</t>
    </r>
    <r>
      <rPr>
        <b/>
        <sz val="9"/>
        <color theme="1"/>
        <rFont val="Calibri"/>
        <family val="2"/>
      </rPr>
      <t xml:space="preserve">V: </t>
    </r>
    <r>
      <rPr>
        <sz val="9"/>
        <color theme="1"/>
        <rFont val="Calibri"/>
        <family val="2"/>
      </rPr>
      <t>2 PM - 4 AM</t>
    </r>
  </si>
  <si>
    <t>Analítica de Datos e Inteligencia Artificial.</t>
  </si>
  <si>
    <r>
      <rPr>
        <i/>
        <sz val="9"/>
        <color rgb="FF000000"/>
        <rFont val="Calibri"/>
      </rPr>
      <t xml:space="preserve">Docente principal: 
</t>
    </r>
    <r>
      <rPr>
        <sz val="9"/>
        <color rgb="FF000000"/>
        <rFont val="Calibri"/>
      </rPr>
      <t xml:space="preserve">- Oscar Julián Perdomo Charry
</t>
    </r>
    <r>
      <rPr>
        <i/>
        <sz val="9"/>
        <color rgb="FF000000"/>
        <rFont val="Calibri"/>
      </rPr>
      <t xml:space="preserve">Conferencistas invitados:
</t>
    </r>
    <r>
      <rPr>
        <sz val="9"/>
        <color rgb="FF000000"/>
        <rFont val="Calibri"/>
      </rPr>
      <t>- Jorge Eliecer Camargo Mendoza
- Felipe Restrepo Calle
- Fabio Augusto González Osorio
- Robinson Andrés Jaque Pirabán
- Cesar Pedraza Bonilla</t>
    </r>
  </si>
  <si>
    <r>
      <rPr>
        <b/>
        <sz val="9"/>
        <color theme="1"/>
        <rFont val="Calibri"/>
        <family val="2"/>
      </rPr>
      <t>42
P:</t>
    </r>
    <r>
      <rPr>
        <sz val="9"/>
        <color theme="1"/>
        <rFont val="Calibri"/>
        <family val="2"/>
      </rPr>
      <t xml:space="preserve"> 17
</t>
    </r>
    <r>
      <rPr>
        <b/>
        <sz val="9"/>
        <color theme="1"/>
        <rFont val="Calibri"/>
        <family val="2"/>
      </rPr>
      <t xml:space="preserve">V: </t>
    </r>
    <r>
      <rPr>
        <sz val="9"/>
        <color theme="1"/>
        <rFont val="Calibri"/>
        <family val="2"/>
      </rPr>
      <t>25</t>
    </r>
  </si>
  <si>
    <r>
      <rPr>
        <b/>
        <sz val="9"/>
        <color theme="1"/>
        <rFont val="Calibri"/>
        <family val="2"/>
      </rPr>
      <t>Lunes, miércoles y viernes
P:</t>
    </r>
    <r>
      <rPr>
        <sz val="9"/>
        <color theme="1"/>
        <rFont val="Calibri"/>
        <family val="2"/>
      </rPr>
      <t xml:space="preserve"> 1 PM - 4 PM
</t>
    </r>
    <r>
      <rPr>
        <b/>
        <sz val="9"/>
        <color theme="1"/>
        <rFont val="Calibri"/>
        <family val="2"/>
      </rPr>
      <t xml:space="preserve">V: </t>
    </r>
    <r>
      <rPr>
        <sz val="9"/>
        <color theme="1"/>
        <rFont val="Calibri"/>
        <family val="2"/>
      </rPr>
      <t>2 PM - 4 AM</t>
    </r>
  </si>
  <si>
    <t>Modelamiento y análisis de datos usando Power BI.</t>
  </si>
  <si>
    <t>Edwar Leonardo Esteban Perez</t>
  </si>
  <si>
    <r>
      <rPr>
        <b/>
        <sz val="9"/>
        <color theme="1"/>
        <rFont val="Calibri"/>
        <family val="2"/>
      </rPr>
      <t>20
P:</t>
    </r>
    <r>
      <rPr>
        <sz val="9"/>
        <color theme="1"/>
        <rFont val="Calibri"/>
        <family val="2"/>
      </rPr>
      <t xml:space="preserve"> 8
</t>
    </r>
    <r>
      <rPr>
        <b/>
        <sz val="9"/>
        <color theme="1"/>
        <rFont val="Calibri"/>
        <family val="2"/>
      </rPr>
      <t xml:space="preserve">V: </t>
    </r>
    <r>
      <rPr>
        <sz val="9"/>
        <color theme="1"/>
        <rFont val="Calibri"/>
        <family val="2"/>
      </rPr>
      <t>12</t>
    </r>
  </si>
  <si>
    <r>
      <rPr>
        <b/>
        <sz val="9"/>
        <color theme="1"/>
        <rFont val="Calibri"/>
        <family val="2"/>
      </rPr>
      <t>Lunes, miércoles y viernes
P:</t>
    </r>
    <r>
      <rPr>
        <sz val="9"/>
        <color theme="1"/>
        <rFont val="Calibri"/>
        <family val="2"/>
      </rPr>
      <t xml:space="preserve"> 9 AM - 12 PM
</t>
    </r>
    <r>
      <rPr>
        <b/>
        <sz val="9"/>
        <color theme="1"/>
        <rFont val="Calibri"/>
        <family val="2"/>
      </rPr>
      <t xml:space="preserve">V: </t>
    </r>
    <r>
      <rPr>
        <sz val="9"/>
        <color theme="1"/>
        <rFont val="Calibri"/>
        <family val="2"/>
      </rPr>
      <t>10 AM - 12 PM</t>
    </r>
  </si>
  <si>
    <t>Comunicación asertiva y Escucha Activa</t>
  </si>
  <si>
    <r>
      <rPr>
        <b/>
        <sz val="9"/>
        <color theme="1"/>
        <rFont val="Calibri"/>
        <family val="2"/>
      </rPr>
      <t xml:space="preserve">15
P: </t>
    </r>
    <r>
      <rPr>
        <sz val="9"/>
        <color theme="1"/>
        <rFont val="Calibri"/>
        <family val="2"/>
      </rPr>
      <t xml:space="preserve">2
</t>
    </r>
    <r>
      <rPr>
        <b/>
        <sz val="9"/>
        <color theme="1"/>
        <rFont val="Calibri"/>
        <family val="2"/>
      </rPr>
      <t>V:</t>
    </r>
    <r>
      <rPr>
        <sz val="9"/>
        <color theme="1"/>
        <rFont val="Calibri"/>
        <family val="2"/>
      </rPr>
      <t xml:space="preserve"> 13</t>
    </r>
  </si>
  <si>
    <r>
      <rPr>
        <b/>
        <sz val="9"/>
        <color rgb="FF000000"/>
        <rFont val="Calibri"/>
        <family val="2"/>
      </rPr>
      <t xml:space="preserve">Martes y jueves
P: </t>
    </r>
    <r>
      <rPr>
        <sz val="9"/>
        <color rgb="FF000000"/>
        <rFont val="Calibri"/>
        <family val="2"/>
      </rPr>
      <t xml:space="preserve">9 AM - 12 PM
</t>
    </r>
    <r>
      <rPr>
        <b/>
        <sz val="9"/>
        <color rgb="FF000000"/>
        <rFont val="Calibri"/>
        <family val="2"/>
      </rPr>
      <t>V:</t>
    </r>
    <r>
      <rPr>
        <sz val="9"/>
        <color rgb="FF000000"/>
        <rFont val="Calibri"/>
        <family val="2"/>
      </rPr>
      <t xml:space="preserve"> 10 AM - 12 PM</t>
    </r>
  </si>
  <si>
    <t>Gestión integral de riesgos</t>
  </si>
  <si>
    <t>John Alejandro Cárdenas Morales</t>
  </si>
  <si>
    <r>
      <rPr>
        <b/>
        <sz val="9"/>
        <color theme="1"/>
        <rFont val="Calibri"/>
        <family val="2"/>
      </rPr>
      <t xml:space="preserve">Martes y jueves
P: </t>
    </r>
    <r>
      <rPr>
        <sz val="9"/>
        <color theme="1"/>
        <rFont val="Calibri"/>
        <family val="2"/>
      </rPr>
      <t xml:space="preserve">9 AM - 12 PM
</t>
    </r>
    <r>
      <rPr>
        <b/>
        <sz val="9"/>
        <color theme="1"/>
        <rFont val="Calibri"/>
        <family val="2"/>
      </rPr>
      <t>V:</t>
    </r>
    <r>
      <rPr>
        <sz val="9"/>
        <color theme="1"/>
        <rFont val="Calibri"/>
        <family val="2"/>
      </rPr>
      <t xml:space="preserve"> 9 AM - 11 AM</t>
    </r>
  </si>
  <si>
    <t>Pensamiento crítico para la toma de decisiones</t>
  </si>
  <si>
    <t>William Angel Salazar Pulido</t>
  </si>
  <si>
    <r>
      <rPr>
        <b/>
        <sz val="9"/>
        <color theme="1"/>
        <rFont val="Calibri"/>
        <family val="2"/>
      </rPr>
      <t xml:space="preserve">Martes y jueves
P: </t>
    </r>
    <r>
      <rPr>
        <sz val="9"/>
        <color theme="1"/>
        <rFont val="Calibri"/>
        <family val="2"/>
      </rPr>
      <t xml:space="preserve">9 AM - 12 PM
</t>
    </r>
    <r>
      <rPr>
        <b/>
        <sz val="9"/>
        <color theme="1"/>
        <rFont val="Calibri"/>
        <family val="2"/>
      </rPr>
      <t>V:</t>
    </r>
    <r>
      <rPr>
        <sz val="9"/>
        <color theme="1"/>
        <rFont val="Calibri"/>
        <family val="2"/>
      </rPr>
      <t xml:space="preserve"> 10 AM - 12 PM</t>
    </r>
  </si>
  <si>
    <t>N/A</t>
  </si>
  <si>
    <t>Reinducción e Inducción</t>
  </si>
  <si>
    <t>Moodle</t>
  </si>
  <si>
    <t xml:space="preserve">Banco de conocimiento </t>
  </si>
  <si>
    <t>Bolsa recursos</t>
  </si>
  <si>
    <t>UNIDAD DE EDUCACIÓN CONTINUA 
FACULTAD DE INGENIERÍA</t>
  </si>
  <si>
    <t>VERSIÓN 1.0</t>
  </si>
  <si>
    <t>PÁGINA 1 DE 1</t>
  </si>
  <si>
    <t>FACULTAD INGENIERÍA UNAL</t>
  </si>
  <si>
    <t>PROCESO:  DESARROLLO DE LAS MODALIDADES DE EXTENSIÓN</t>
  </si>
  <si>
    <t>NOMBRE DEL CURSO, DIPLOMADO O PROYECTO</t>
  </si>
  <si>
    <t>DIPLOMADO "FORMULACIÓN DE PROYECTOS"</t>
  </si>
  <si>
    <t>NOMBRE DEL PROFESOR</t>
  </si>
  <si>
    <t>N° S.PRESENCIALES(SP)</t>
  </si>
  <si>
    <t>N° S.VIRTUALES SINCRÓNICAS(VS)</t>
  </si>
  <si>
    <t>NOMBRE DEL MONITOR</t>
  </si>
  <si>
    <t>DANIEL FELIPE CRUZ SAENZ</t>
  </si>
  <si>
    <t>FECHA DE INICIO</t>
  </si>
  <si>
    <t>FECHA DE FIN</t>
  </si>
  <si>
    <t>HORAS DEL DIPLOMADO</t>
  </si>
  <si>
    <t>CÓDIGO HERMES</t>
  </si>
  <si>
    <t>INFORMACIÓN DEL ESTUDIANTE</t>
  </si>
  <si>
    <t>SESIONES</t>
  </si>
  <si>
    <t>ASISTENCIA</t>
  </si>
  <si>
    <t>NOTAS</t>
  </si>
  <si>
    <t>NO</t>
  </si>
  <si>
    <t>NOMBRE Y APELLIDOS</t>
  </si>
  <si>
    <t>DOCUMENTO</t>
  </si>
  <si>
    <t>TIPO DE VINCULACIÓN CON LA ENTIDAD</t>
  </si>
  <si>
    <t>ÁREA A LA QUE PERTENECE</t>
  </si>
  <si>
    <t>NOMBRE DEL CARGO</t>
  </si>
  <si>
    <t>HORAS ACUMULADAS</t>
  </si>
  <si>
    <t>SESIONES ASISTIDAS</t>
  </si>
  <si>
    <t>% ASISTENCIA</t>
  </si>
  <si>
    <t>¿CUMPLE ASISTENCIA?</t>
  </si>
  <si>
    <t>PRE</t>
  </si>
  <si>
    <t>POST</t>
  </si>
  <si>
    <t>FINAL</t>
  </si>
  <si>
    <t>APROBACIÓN</t>
  </si>
  <si>
    <t>Boris Fernando Rodríguez Rodríguez</t>
  </si>
  <si>
    <t>Planta</t>
  </si>
  <si>
    <t>Subdirección De Liquidaciones Del Aseguramiento</t>
  </si>
  <si>
    <t>Gestor De Operaciones</t>
  </si>
  <si>
    <t>Carlos Alberto Gómez Garay</t>
  </si>
  <si>
    <t>Dirección De Liquidaciones Y Garantías</t>
  </si>
  <si>
    <t> </t>
  </si>
  <si>
    <t>Carlos Andrés Ruiz Romero</t>
  </si>
  <si>
    <t>Dirección De Gestión De Tecnologías De Información Y Comunicaciones</t>
  </si>
  <si>
    <t>José Leopoldo Bernal Bermúdez</t>
  </si>
  <si>
    <t>Julio Cesar Ospina Marmolejo</t>
  </si>
  <si>
    <t>Dirección De Otras Prestaciones</t>
  </si>
  <si>
    <t>Oscar Mauricio Vanegas Vargas</t>
  </si>
  <si>
    <t>Observaciones:</t>
  </si>
  <si>
    <t>CURSO "XX"</t>
  </si>
  <si>
    <t>HORAS DEL CURSO</t>
  </si>
  <si>
    <t xml:space="preserve">Edilberto Zamora Alvarado   </t>
  </si>
  <si>
    <t>Francy  Abril Morales</t>
  </si>
  <si>
    <t xml:space="preserve">Juan Carlos Giron Sanabria   </t>
  </si>
  <si>
    <t xml:space="preserve">Luisa Fernanda Diaz Gonzalez   </t>
  </si>
  <si>
    <t xml:space="preserve">Paola Andrea Cespedes Forero   </t>
  </si>
  <si>
    <t xml:space="preserve">Teodolinda Sanchez Delgado   </t>
  </si>
  <si>
    <t xml:space="preserve">Wilmer Garcia Londoño   </t>
  </si>
  <si>
    <t>AD13</t>
  </si>
  <si>
    <t>CURSO "Gestión Pública y Transparencia"</t>
  </si>
  <si>
    <t>ENCUESTA</t>
  </si>
  <si>
    <t>ENCUESTA - DOCENTE PRINCIPAL (ESTEFANÍA PISCIOTTI BLANCO)</t>
  </si>
  <si>
    <t>ENCUESTA - CONFERENCISTA INVITADO (PAUL PULIDO PACHÓN)</t>
  </si>
  <si>
    <t>ENCUESTA - MONITOR</t>
  </si>
  <si>
    <t>ENCUESTA - LOGÍSTICA</t>
  </si>
  <si>
    <t>ENCUESTA - PREGUNTAS ABIERTAS</t>
  </si>
  <si>
    <t>TOTAL</t>
  </si>
  <si>
    <t>1,1 El cumplimiento de los objetivos y desarrollo del contenido de la actividad fue</t>
  </si>
  <si>
    <t>1,2 Actualización en el área</t>
  </si>
  <si>
    <t>1,3 Capacidad para comunicar ideas</t>
  </si>
  <si>
    <t>1,4 Pertinencia de la metodología empleada</t>
  </si>
  <si>
    <t>1,5 Cumplimiento de los horarios previstos en el cronograma de la actividad</t>
  </si>
  <si>
    <t>1,6 Conocimiento y dominio de los temas</t>
  </si>
  <si>
    <t>2,1 Apoyo al conferencista y asistentes en las tareas previstas en la actividad</t>
  </si>
  <si>
    <t>2,2 Acompañamiento en cada una de las sesiones de la actividad</t>
  </si>
  <si>
    <t>2,3 Disposición y actitud frente a los asistentes</t>
  </si>
  <si>
    <t>3,1 Contenido del material suministrado</t>
  </si>
  <si>
    <t>3,2 Presentación del material suministrado</t>
  </si>
  <si>
    <t>3,3 Atención de refrigerios</t>
  </si>
  <si>
    <t>3,4 Instalaciones Físicas</t>
  </si>
  <si>
    <t>3,5  Ayudas audiovisuales</t>
  </si>
  <si>
    <t>3,6 Atención en el proceso de inscripción</t>
  </si>
  <si>
    <t>3,7 Disponibilidad del aula virtual</t>
  </si>
  <si>
    <t>3,8 Contacto con el docente</t>
  </si>
  <si>
    <t>3,9 Pertinencia del material dispuesto en la plataforma</t>
  </si>
  <si>
    <t>3,10 Manejo de las herramientas digitales</t>
  </si>
  <si>
    <t>4,1 ¿Qué temas considera necesarios profundizar en este actividad?</t>
  </si>
  <si>
    <t>4,2 ¿Qué recomendaciones haría para mejorar las actividades?</t>
  </si>
  <si>
    <t>4,3 ¿En qué áreas desearía obtener información y/o actualización a través de las actividades de Educación Continua y Permanente?</t>
  </si>
  <si>
    <t>4,4 ¿Asistiría a otra actividad programada por nosotros?</t>
  </si>
  <si>
    <t>4,5 ¿La actividad fue satisfactoria?</t>
  </si>
  <si>
    <t>Promedio</t>
  </si>
  <si>
    <t>Ana Milena Escobar Rincón</t>
  </si>
  <si>
    <t>NP</t>
  </si>
  <si>
    <t>*</t>
  </si>
  <si>
    <t>Que no sea en instalaciones de la entidad.</t>
  </si>
  <si>
    <t>SI</t>
  </si>
  <si>
    <t>Andrea Paola Medina Salazar</t>
  </si>
  <si>
    <t>Dirección Administrativa y Financiera</t>
  </si>
  <si>
    <t>estuvo muy completo el curso y los temas manejados</t>
  </si>
  <si>
    <t>por el momento todo fue de mi agrado y el curso muy completo</t>
  </si>
  <si>
    <t>leyes actualizadas que puedan aplicar a la entidad</t>
  </si>
  <si>
    <t>Angie Carolina Velasco Martínez</t>
  </si>
  <si>
    <t>Camilo Alberto Alfaro Jiménez</t>
  </si>
  <si>
    <t>N/A - Fue muy amplia y asertiva</t>
  </si>
  <si>
    <t>más clases para tener un poco mas de espacio en el estudio de cada tema</t>
  </si>
  <si>
    <t>estructura del estado</t>
  </si>
  <si>
    <t>Diana Esperanza Torres Rodríguez</t>
  </si>
  <si>
    <t>Edinson Mauricio Hernández Manrique</t>
  </si>
  <si>
    <t>3.5</t>
  </si>
  <si>
    <t>Normatividad vigente</t>
  </si>
  <si>
    <t>Más clases presenciales, en lo virtual se distrae mucho el estudiante</t>
  </si>
  <si>
    <t>Edwin Hernán Escobar Osorio</t>
  </si>
  <si>
    <t>Subdirección de Liquidaciones del Aseguramiento</t>
  </si>
  <si>
    <t>La importancia de la transparencia en el sector público</t>
  </si>
  <si>
    <t>N/a</t>
  </si>
  <si>
    <t>Servicio publico</t>
  </si>
  <si>
    <t>Ernesto Ramírez Virgüez</t>
  </si>
  <si>
    <t>4.5</t>
  </si>
  <si>
    <t>manejo de procesos disciplinarios</t>
  </si>
  <si>
    <t>ninguna</t>
  </si>
  <si>
    <t>tecnologia y administracion publica</t>
  </si>
  <si>
    <t>Heidi Patricia Parra Chavarro</t>
  </si>
  <si>
    <t>Karen Ginnethe González Sierra</t>
  </si>
  <si>
    <t>Tener mas tiempo para poder revisar mas a fondo todo lo visto</t>
  </si>
  <si>
    <t>Seguir mirando la Gestión Pública que es muy amplia</t>
  </si>
  <si>
    <t>Lorena Fabiola Amézquita Becerra</t>
  </si>
  <si>
    <t>Ninguno</t>
  </si>
  <si>
    <t>Ninguna</t>
  </si>
  <si>
    <t>María Claudia López Calle</t>
  </si>
  <si>
    <t>Concientizar a mas servidores públicos, asesores, directores, mas del alto mando, quienes son los ordenadores del gasto. sobre la transparencia  y gestión de las entidades.</t>
  </si>
  <si>
    <t>Dictar el curso de acuerdo a lo anterior dicho</t>
  </si>
  <si>
    <t>Mas temas jurídicos</t>
  </si>
  <si>
    <t>Martha Roció Montoya Sarmiento</t>
  </si>
  <si>
    <t>Mayury Vanegas González</t>
  </si>
  <si>
    <t>mpig</t>
  </si>
  <si>
    <t>retirar la metodologia de puntos, me parece q incentivar la participación</t>
  </si>
  <si>
    <t>sistemas</t>
  </si>
  <si>
    <t>Miller Alexander Reina Escobar</t>
  </si>
  <si>
    <t>Dirección de Otras Prestaciones</t>
  </si>
  <si>
    <t>n/a</t>
  </si>
  <si>
    <t>Inteligencia artificial, analisis de datos y supervisión contractual del estado</t>
  </si>
  <si>
    <t>Nancy Esperanza Villamil Cifuentes</t>
  </si>
  <si>
    <t>Oficina Asesora de Planeación y Control de Riesgos</t>
  </si>
  <si>
    <t>Ampliación en la Normatividad sobre el tema de corrupción</t>
  </si>
  <si>
    <t>Ninguna, la metodología utilizada es muy buena sin embargo la intensidad horaria debería ser más amplia.</t>
  </si>
  <si>
    <t>Bases de datos, atención al cuidadano, comunicación asertiva, Mipg</t>
  </si>
  <si>
    <t>Nathaly Constanza Alvarado Núñez</t>
  </si>
  <si>
    <t>Oficina Asesora Jurídica</t>
  </si>
  <si>
    <t>el tema de la UIAF</t>
  </si>
  <si>
    <t>fueron muy completas</t>
  </si>
  <si>
    <t>sobre la gestión de conocimiento</t>
  </si>
  <si>
    <t>Teodolinda Sánchez Delgado</t>
  </si>
  <si>
    <t>Oficina de Control Interno</t>
  </si>
  <si>
    <t>Power be</t>
  </si>
  <si>
    <t>Bases de datos</t>
  </si>
  <si>
    <t>Yuly Andrea Gómez Gutiérrez</t>
  </si>
  <si>
    <t>NA</t>
  </si>
  <si>
    <t>PRESUPUETSO</t>
  </si>
  <si>
    <t>CURSO "ATENCIÓN DIFERENCIAL Y COMUNICACIÓN EFECTIVA"</t>
  </si>
  <si>
    <t xml:space="preserve">ENCUESTA - DOCENTE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</si>
  <si>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</si>
  <si>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</si>
  <si>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</si>
  <si>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</si>
  <si>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</si>
  <si>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</si>
  <si>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</si>
  <si>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</si>
  <si>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</si>
  <si>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</si>
  <si>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</si>
  <si>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</si>
  <si>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</si>
  <si>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</si>
  <si>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Carlos Felipe Rodríguez Ordoñez</t>
  </si>
  <si>
    <t>Herber Smith Romero Martínez</t>
  </si>
  <si>
    <t>se pudieran profundizar un poco más los temas en algunos casos el tiempo se queda corto</t>
  </si>
  <si>
    <t>en este curso un poco mas de intensidad horaria</t>
  </si>
  <si>
    <t>en atención al cliente</t>
  </si>
  <si>
    <t>Kris Jeniffer Vargas Reyes</t>
  </si>
  <si>
    <t>La formación debería tener mayor frecuencia, aporta mucho al desarrollo personal y esto impacta en el ámbito laboral.</t>
  </si>
  <si>
    <t>La presencialidad debería aumentarse para poder tener mayor participación grupal. Estar en la oficina distrae y sigue siendo un reto disponer tiempo completo para estas actividades.</t>
  </si>
  <si>
    <t>Desarrollo Humano y Herramientas para mejorar las relaciones interpersonales.</t>
  </si>
  <si>
    <t>Lizeth Julieth Gordillo Góngora</t>
  </si>
  <si>
    <t>Dirección Administrativa Y Financiera</t>
  </si>
  <si>
    <t>Técnico Administrativo</t>
  </si>
  <si>
    <t>Luis Alejandro Garzón Ruiz</t>
  </si>
  <si>
    <t>Ninguno, el tema fue satisfactorio</t>
  </si>
  <si>
    <t>ninguna, esta bien estructurado</t>
  </si>
  <si>
    <t>Avances de nuevas tecnologías de TI y que sean aplicables a la ADRES</t>
  </si>
  <si>
    <t>Mercy González Villarraga</t>
  </si>
  <si>
    <t>Identificación de barreras en la atención (culturales, emocionales, tecnológicas) y formas de superarlas.</t>
  </si>
  <si>
    <t>Incluir dinámicas prácticas para simular situaciones reales de atención y comunicación.</t>
  </si>
  <si>
    <t>Atención al cliente y servicio al usuario con enfoque diferencial.</t>
  </si>
  <si>
    <t>Un poco más de tiempo para ver el tema ético</t>
  </si>
  <si>
    <t>Las actividades estuvieron excelentes y con los tiempos precisos</t>
  </si>
  <si>
    <t>Psicología comunicacional</t>
  </si>
  <si>
    <t>CURSO "Creacion de valor publico y gestion para resultados"</t>
  </si>
  <si>
    <t>ENCUESTA - DOCENTE</t>
  </si>
  <si>
    <t>Diana Milena Vargas Caicedo</t>
  </si>
  <si>
    <t>Javier Ernesto Muñoz Grimaldo</t>
  </si>
  <si>
    <t>Juan Carlos Escobar Baquero</t>
  </si>
  <si>
    <t>Luz Marina Alarcón Ramírez</t>
  </si>
  <si>
    <t>DIPLOMADO "Gestión de bases de datos"</t>
  </si>
  <si>
    <t xml:space="preserve">Camilo Andres Plazas Veloza   </t>
  </si>
  <si>
    <t xml:space="preserve">Heide Lizeth Lamprea Mendez   </t>
  </si>
  <si>
    <t xml:space="preserve">Leidy Janneth Luis Cuervo   </t>
  </si>
  <si>
    <t>Monica Leidy Buesaquillo Osorio</t>
  </si>
  <si>
    <t xml:space="preserve">Nancy Esperanza Villamil Cifuentes   </t>
  </si>
  <si>
    <t>DIPLOMADO "INTELIGENCIA ARTIFICIAL (IA) Y MACHINE LEARNING"</t>
  </si>
  <si>
    <t>ENCUESTA - DOCENTE PRINCIPAL (OSCAR JULIÁN PERDOMO CHARRY)</t>
  </si>
  <si>
    <t>ENCUESTA - CONFERENCISTA INVITADO (FELIPE RESTREPO CALLE)</t>
  </si>
  <si>
    <t>ENCUESTA - CONFERENCISTA INVITADO (JORGE ELIECER CAMARGO MENDOZA)</t>
  </si>
  <si>
    <t>ENCUESTA - CONFERENCISTA INVITADO (FABIO AUGUSTO GONZALEZ OSORIO)</t>
  </si>
  <si>
    <t>ENCUESTA - CONFERENCISTA INVITADO (CESAR AUGUSTO PEDRAZA BONILLA)</t>
  </si>
  <si>
    <t>ENCUESTA - CONFERENCISTA INVITADO (ROBINSON ANDRÉS JAQUE PIRABÁN)</t>
  </si>
  <si>
    <t>Ana Yaneth Wilches Amaya</t>
  </si>
  <si>
    <t>Me gustaría aprender más sobre criterios de preguntas y análisis de resultados del uso de la inteligencia artificial</t>
  </si>
  <si>
    <t>Más clases presenciales</t>
  </si>
  <si>
    <t>Idiomas</t>
  </si>
  <si>
    <t>Andrés Zahir Carrillo Trujillo</t>
  </si>
  <si>
    <t>Hacer las actividades en forma presencial.</t>
  </si>
  <si>
    <t>que todas fueran todas de manera presencial</t>
  </si>
  <si>
    <t>Dirección De Gestión De Tecnologías De La Información Y Las Comunicaciones</t>
  </si>
  <si>
    <t>Carolina Patricia Jiménez González</t>
  </si>
  <si>
    <t>Dirección De Gestión De Recursos Financieros De Salud</t>
  </si>
  <si>
    <t>Cesar Eduardo Reyes Martínez</t>
  </si>
  <si>
    <t>Juan Pablo Saade Forero</t>
  </si>
  <si>
    <t>Oficina De Control Interno</t>
  </si>
  <si>
    <t>Auxiliar Administrativo</t>
  </si>
  <si>
    <t>Ética, Gobernanza y IA Responsable Sesgo y Equidad: Identificación y mitigación de sesgos algorítmicos para evitar discriminación o resultados injustos. Explicabilidad (XAI): Técnicas para hacer que los modelos de caja negra sean interpretables para los tomadores de decisiones (valores SHAP, LIME).</t>
  </si>
  <si>
    <t>Retroalimentación constante: Evaluar periódicamente los resultados de los proyectos analíticos mediante retrospectivas para identificar cuellos de botella en los pipelines de datos o en el rendimiento de los modelos.</t>
  </si>
  <si>
    <t>Arquitectura de Datos Moderna (Modern Data Stack) Estrategias de Lakehouse y Data Mesh: Transición hacia arquitecturas descentralizadas y unificadas que combinan lo mejor de los Data Lakes y Data Warehouses. Gobierno de Datos Ágil: Implementación de catálogos de datos automatizados, gestión de linaje y control de calidad impulsados por metadatos.</t>
  </si>
  <si>
    <t>Leidy Janneth Luis Cuervo</t>
  </si>
  <si>
    <t>María Antonia Benito Guataquira</t>
  </si>
  <si>
    <t>Que no sean tantas sesiones virtuales</t>
  </si>
  <si>
    <t>Bases de datos e IA</t>
  </si>
  <si>
    <t>Nini Johana Moreno Urrego</t>
  </si>
  <si>
    <t>Aplicación de la inteligencia Artificial</t>
  </si>
  <si>
    <t>Que puedan ser mas presenciales</t>
  </si>
  <si>
    <t>n</t>
  </si>
  <si>
    <t>Omar Alejandro Gómez Rocha</t>
  </si>
  <si>
    <t>Oscar Julián Baquero Carrillo</t>
  </si>
  <si>
    <t>Agentes de AI</t>
  </si>
  <si>
    <t>Casos aplicados a la ADRES</t>
  </si>
  <si>
    <t>AI</t>
  </si>
  <si>
    <t>Ricardo Evelio Padilla Sanchez</t>
  </si>
  <si>
    <t>MÁS ACTIVIDADES PRACTICAS</t>
  </si>
  <si>
    <t>ACTIVIDADES MÁS PRESENCIALES, VIRTUALES ES MUY DIFICIL PORQUE NO SE RESPETAN LOS ESPACIOS</t>
  </si>
  <si>
    <t>INTELIGENICA DE NEGOCIOS</t>
  </si>
  <si>
    <t>Sonia Yuliana Rodríguez Amórtegui</t>
  </si>
  <si>
    <t>Aplicación de móldelos, mayor ejemplificación.</t>
  </si>
  <si>
    <t>Más práctica y más horas presenciales.</t>
  </si>
  <si>
    <t>Programas tecnológicos.</t>
  </si>
  <si>
    <t>William Andrés Páez Pinzón</t>
  </si>
  <si>
    <t>Yaneth Lucia González Martínez</t>
  </si>
  <si>
    <t>Poder hacer ejercicios mas aplicados a las actividades del trabajo.</t>
  </si>
  <si>
    <t>En las horas virtuales estando en la oficina, es muy complejo atender las clases.</t>
  </si>
  <si>
    <t>Sistemas asociados a la electrónica.</t>
  </si>
  <si>
    <t>EXTENSIÓN</t>
  </si>
  <si>
    <t>MODALIDAD</t>
  </si>
  <si>
    <t>PRESENCIAL</t>
  </si>
  <si>
    <t>FECHA DE NACIMIENTO</t>
  </si>
  <si>
    <t>LUGAR DE NACIMIENTO</t>
  </si>
  <si>
    <t>SEXO BIOLÓGICO</t>
  </si>
  <si>
    <t>CURSO "Comunicación asertiva y Escucha Activa"</t>
  </si>
  <si>
    <t>Aurelio Enrique Linero Julio</t>
  </si>
  <si>
    <t>4.7</t>
  </si>
  <si>
    <t>Estuvo acorde el contenido</t>
  </si>
  <si>
    <t>Estuvo bien aplicado no tengo observaciones</t>
  </si>
  <si>
    <t>Inteligencia artificial</t>
  </si>
  <si>
    <t xml:space="preserve">Diana Hillary Jiménez Tolosa </t>
  </si>
  <si>
    <t xml:space="preserve">Auxiliar Administrativa </t>
  </si>
  <si>
    <t>Como ser empáticos con las personas nuevas que ingresar a la entidad en cuanto a dar la capacitación.</t>
  </si>
  <si>
    <t>Mas presencialidad</t>
  </si>
  <si>
    <t>En la honestidad con sus compañero</t>
  </si>
  <si>
    <t>Ofimática</t>
  </si>
  <si>
    <t>Guillermo Manuel Benítez Rodríguez</t>
  </si>
  <si>
    <t>Isaí Ávila Wilches</t>
  </si>
  <si>
    <t>Reforzas nuestro comportamiento al momento de comunicarnos</t>
  </si>
  <si>
    <t>Talleres presenciales</t>
  </si>
  <si>
    <t>Comunicación grupal</t>
  </si>
  <si>
    <t>Ivonne Marita Masmela Cumbe</t>
  </si>
  <si>
    <t>Gestor</t>
  </si>
  <si>
    <t>Ingles</t>
  </si>
  <si>
    <t xml:space="preserve">Luisa Fernanda Diaz González   </t>
  </si>
  <si>
    <t>Manejo de las emociones</t>
  </si>
  <si>
    <t>Que se hicieran más sesiones presenciales</t>
  </si>
  <si>
    <t>Comunicación enfocada en liderazgo</t>
  </si>
  <si>
    <t>Marith Elisa Blanchar Martínez</t>
  </si>
  <si>
    <t>Paola Andrea Cespedes Forero</t>
  </si>
  <si>
    <t>Ninguno... Todo excelente</t>
  </si>
  <si>
    <t>Más presencialidad</t>
  </si>
  <si>
    <t xml:space="preserve">Rubén Darío Joya Páez   </t>
  </si>
  <si>
    <t>Vilma Ruth Pardo Nieves</t>
  </si>
  <si>
    <t>Presupuesto</t>
  </si>
  <si>
    <t>Que sea un poca mas presencial</t>
  </si>
  <si>
    <t>Talleres mas prácticos y cnstructivos</t>
  </si>
  <si>
    <t>ENCUESTA - DOCENTE 1</t>
  </si>
  <si>
    <t>Alicia Judith Benítez Gómez</t>
  </si>
  <si>
    <t>Andrés Felipe Blanco Hernández</t>
  </si>
  <si>
    <t>Cesar Joaquín Sopo Segura</t>
  </si>
  <si>
    <t>Diana Carolina Bonilla Rodríguez</t>
  </si>
  <si>
    <t>Karen Dayanna Suarez Ospina</t>
  </si>
  <si>
    <t>Luisa Fernanda Díaz González</t>
  </si>
  <si>
    <t>María Fernanda Fragozo Álvarez</t>
  </si>
  <si>
    <t>Mirtha Liliana Ramírez Palma</t>
  </si>
  <si>
    <t>Oscar Manuel Oviedo Castro</t>
  </si>
  <si>
    <t>Sandra Mileydi Durán Garzón</t>
  </si>
  <si>
    <t>Yaneth Lucía González Martínez</t>
  </si>
  <si>
    <t>CURSO "RIESGOS"</t>
  </si>
  <si>
    <t>15</t>
  </si>
  <si>
    <t>Que sea en un espacio fuera de la entidad</t>
  </si>
  <si>
    <t>Actualización normativa del SG-SST</t>
  </si>
  <si>
    <t>Oficina Asesora De Planeación Y Control De Riesgos</t>
  </si>
  <si>
    <t>Fabian Camilo Bernal Pinzón</t>
  </si>
  <si>
    <t>Fabio Alberto Rodríguez Rodríguez</t>
  </si>
  <si>
    <t>Cómo estuvo se desarrolló bien</t>
  </si>
  <si>
    <t>Un mejor Pizarro para llevar la clase</t>
  </si>
  <si>
    <t>Habilidades blandas y finanzas personales</t>
  </si>
  <si>
    <t>Gedeón Diaz Guarnizo</t>
  </si>
  <si>
    <t>Subdirección De Garantías</t>
  </si>
  <si>
    <t>No aplica</t>
  </si>
  <si>
    <t>Extender el tiempo</t>
  </si>
  <si>
    <t>Concursos CNSC</t>
  </si>
  <si>
    <t>Luisa Fernanda Diaz González</t>
  </si>
  <si>
    <t>Riesgos</t>
  </si>
  <si>
    <t>Clases presenciales</t>
  </si>
  <si>
    <t>En general excelente, muchos más ejemplos aplicados sería lo único a adicionae</t>
  </si>
  <si>
    <t>Muy bien docente, ojalá todos fueran así</t>
  </si>
  <si>
    <t>Actividad</t>
  </si>
  <si>
    <t>SESIÓN N°</t>
  </si>
  <si>
    <t>FECHA</t>
  </si>
  <si>
    <t>Modalidad</t>
  </si>
  <si>
    <t>Horario</t>
  </si>
  <si>
    <t>Presencial</t>
  </si>
  <si>
    <t>2 PM - 5 PM</t>
  </si>
  <si>
    <t>Virtual sincrónico</t>
  </si>
  <si>
    <t>2 PM - 4 PM</t>
  </si>
  <si>
    <t>Docente</t>
  </si>
  <si>
    <t>Estefania Pisciotti</t>
  </si>
  <si>
    <t>9 AM - 12 PM</t>
  </si>
  <si>
    <t>9 AM - 11 AM</t>
  </si>
  <si>
    <t>Paul Pulido</t>
  </si>
  <si>
    <t>8 AM - 1 PM</t>
  </si>
  <si>
    <t>8 AM - 10 AM</t>
  </si>
  <si>
    <t>Docente a cargo</t>
  </si>
  <si>
    <t>Oscar</t>
  </si>
  <si>
    <t>1 PM - 4 PM</t>
  </si>
  <si>
    <t>Cesar</t>
  </si>
  <si>
    <t>Andres Jaque</t>
  </si>
  <si>
    <t>Felipe</t>
  </si>
  <si>
    <t>Jorge</t>
  </si>
  <si>
    <t>Fabio</t>
  </si>
  <si>
    <t>10 AM - 12 PM</t>
  </si>
  <si>
    <t>Maria Fernanda Fragozo Alvarez</t>
  </si>
  <si>
    <t>Yerly Alejandra Niño Castillo</t>
  </si>
  <si>
    <t>Albert Camilo Rojas Nuñez</t>
  </si>
  <si>
    <t>Andres Zahir Carrillo Trujillo</t>
  </si>
  <si>
    <t>Claudia Patricia Sandoval Orozco</t>
  </si>
  <si>
    <t>Deyvin Rojas Quemba</t>
  </si>
  <si>
    <t>Diego Ricardo Castillo Bastidas</t>
  </si>
  <si>
    <t>Juan Pablo Galvis Parra</t>
  </si>
  <si>
    <t>Marinela Quintero Alzate</t>
  </si>
  <si>
    <t>Ramón Enrique Ramírez Acosta</t>
  </si>
  <si>
    <t>Ricardo Cañon Cortes</t>
  </si>
  <si>
    <t>Dirección General / Dirección Otras Prestaciones</t>
  </si>
  <si>
    <t>Dirección General</t>
  </si>
  <si>
    <t>Asesor</t>
  </si>
  <si>
    <t xml:space="preserve">Auxiliar Administrativo  </t>
  </si>
  <si>
    <t xml:space="preserve">Gestor De Operaciones </t>
  </si>
  <si>
    <t xml:space="preserve">Asesor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</si>
</sst>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d/m/yyyy"/>
    <numFmt numFmtId="165" formatCode="[$-F800]dddd\,\ mmmm\ dd\,\ yyyy"/>
    <numFmt numFmtId="166" formatCode="0.0"/>
    <numFmt numFmtId="167" formatCode="_-&quot;$&quot;\ * #,##0_-;\-&quot;$&quot;\ * #,##0_-;_-&quot;$&quot;\ * &quot;-&quot;??_-;_-@_-"/>
  </numFmts>
  <fonts count="36" x14ac:knownFonts="1">
    <font>
      <sz val="11"/>
      <color theme="1"/>
      <name val="Calibri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Ancizar Sans"/>
      <family val="2"/>
    </font>
    <font>
      <sz val="11"/>
      <color theme="1"/>
      <name val="Ancizar Sans"/>
      <family val="2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aj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name val="Ancizar Sans"/>
      <family val="2"/>
    </font>
    <font>
      <b/>
      <sz val="11"/>
      <color theme="1"/>
      <name val="Calibri"/>
      <family val="2"/>
      <scheme val="major"/>
    </font>
    <font>
      <sz val="11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9"/>
      <color theme="1"/>
      <name val="Calibri"/>
      <family val="2"/>
      <scheme val="major"/>
    </font>
    <font>
      <sz val="9"/>
      <color theme="1"/>
      <name val="Calibri"/>
      <family val="2"/>
      <scheme val="major"/>
    </font>
    <font>
      <u/>
      <sz val="11"/>
      <color theme="10"/>
      <name val="Calibri"/>
      <family val="2"/>
      <scheme val="major"/>
    </font>
    <font>
      <sz val="10"/>
      <color theme="1"/>
      <name val="Calibri"/>
    </font>
    <font>
      <sz val="11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u/>
      <sz val="9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548135"/>
        <bgColor rgb="FF548135"/>
      </patternFill>
    </fill>
    <fill>
      <patternFill patternType="solid">
        <fgColor rgb="FFC55A11"/>
        <bgColor rgb="FFC55A11"/>
      </patternFill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EBEDEF"/>
        <bgColor rgb="FFEBEDEF"/>
      </patternFill>
    </fill>
    <fill>
      <patternFill patternType="solid">
        <fgColor rgb="FFFFFFFF"/>
        <bgColor rgb="FFFFFFFF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theme="4" tint="0.39997558519241921"/>
      </bottom>
      <diagonal/>
    </border>
  </borders>
  <cellStyleXfs count="3">
    <xf numFmtId="0" fontId="0" fillId="0" borderId="0"/>
    <xf numFmtId="43" fontId="18" fillId="0" borderId="0" applyFont="0" applyFill="0" applyBorder="0" applyAlignment="0" applyProtection="0"/>
    <xf numFmtId="44" fontId="23" fillId="0" borderId="0" applyFont="0" applyFill="0" applyBorder="0" applyAlignment="0" applyProtection="0"/>
  </cellStyleXfs>
  <cellXfs count="187">
    <xf numFmtId="0" fontId="0" fillId="0" borderId="0" xfId="0"/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1" fontId="6" fillId="0" borderId="8" xfId="0" applyNumberFormat="1" applyFont="1" applyBorder="1" applyAlignment="1">
      <alignment horizontal="center" vertical="center" wrapText="1"/>
    </xf>
    <xf numFmtId="164" fontId="6" fillId="0" borderId="8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165" fontId="7" fillId="8" borderId="8" xfId="0" applyNumberFormat="1" applyFont="1" applyFill="1" applyBorder="1" applyAlignment="1">
      <alignment horizontal="center" vertical="center" wrapText="1"/>
    </xf>
    <xf numFmtId="165" fontId="7" fillId="8" borderId="17" xfId="0" applyNumberFormat="1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165" fontId="8" fillId="0" borderId="14" xfId="0" applyNumberFormat="1" applyFont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165" fontId="8" fillId="0" borderId="0" xfId="0" applyNumberFormat="1" applyFont="1" applyAlignment="1">
      <alignment wrapText="1"/>
    </xf>
    <xf numFmtId="165" fontId="8" fillId="0" borderId="0" xfId="0" applyNumberFormat="1" applyFont="1"/>
    <xf numFmtId="0" fontId="10" fillId="8" borderId="8" xfId="0" applyFont="1" applyFill="1" applyBorder="1" applyAlignment="1">
      <alignment horizontal="center" vertical="center" wrapText="1"/>
    </xf>
    <xf numFmtId="165" fontId="10" fillId="8" borderId="8" xfId="0" applyNumberFormat="1" applyFont="1" applyFill="1" applyBorder="1" applyAlignment="1">
      <alignment horizontal="center" vertical="center" wrapText="1"/>
    </xf>
    <xf numFmtId="165" fontId="10" fillId="8" borderId="17" xfId="0" applyNumberFormat="1" applyFont="1" applyFill="1" applyBorder="1" applyAlignment="1">
      <alignment horizontal="center" vertical="center" wrapText="1"/>
    </xf>
    <xf numFmtId="0" fontId="10" fillId="8" borderId="17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165" fontId="11" fillId="0" borderId="14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12" fillId="9" borderId="14" xfId="0" applyFont="1" applyFill="1" applyBorder="1" applyAlignment="1">
      <alignment horizontal="center" vertical="center" wrapText="1"/>
    </xf>
    <xf numFmtId="16" fontId="16" fillId="0" borderId="8" xfId="0" applyNumberFormat="1" applyFont="1" applyBorder="1" applyAlignment="1">
      <alignment vertical="center"/>
    </xf>
    <xf numFmtId="0" fontId="12" fillId="9" borderId="8" xfId="0" applyFont="1" applyFill="1" applyBorder="1" applyAlignment="1">
      <alignment horizontal="center" vertical="center" wrapText="1"/>
    </xf>
    <xf numFmtId="16" fontId="16" fillId="0" borderId="14" xfId="0" applyNumberFormat="1" applyFont="1" applyBorder="1" applyAlignment="1">
      <alignment vertical="center"/>
    </xf>
    <xf numFmtId="0" fontId="16" fillId="0" borderId="8" xfId="0" applyFont="1" applyBorder="1" applyAlignment="1">
      <alignment horizontal="center" vertical="center" wrapText="1"/>
    </xf>
    <xf numFmtId="14" fontId="16" fillId="0" borderId="8" xfId="0" applyNumberFormat="1" applyFont="1" applyBorder="1" applyAlignment="1">
      <alignment horizontal="center" vertical="center" wrapText="1"/>
    </xf>
    <xf numFmtId="1" fontId="16" fillId="0" borderId="8" xfId="0" applyNumberFormat="1" applyFont="1" applyBorder="1" applyAlignment="1">
      <alignment horizontal="center" vertical="center" wrapText="1"/>
    </xf>
    <xf numFmtId="10" fontId="16" fillId="0" borderId="8" xfId="0" applyNumberFormat="1" applyFont="1" applyBorder="1" applyAlignment="1">
      <alignment horizontal="center" vertical="center" wrapText="1"/>
    </xf>
    <xf numFmtId="166" fontId="16" fillId="0" borderId="8" xfId="0" applyNumberFormat="1" applyFont="1" applyBorder="1" applyAlignment="1">
      <alignment horizontal="center" vertical="center" wrapText="1"/>
    </xf>
    <xf numFmtId="2" fontId="16" fillId="0" borderId="8" xfId="0" applyNumberFormat="1" applyFont="1" applyBorder="1" applyAlignment="1">
      <alignment horizontal="center" vertical="center" wrapText="1"/>
    </xf>
    <xf numFmtId="3" fontId="16" fillId="0" borderId="8" xfId="1" applyNumberFormat="1" applyFont="1" applyBorder="1" applyAlignment="1">
      <alignment horizontal="center" vertical="center" wrapText="1"/>
    </xf>
    <xf numFmtId="16" fontId="16" fillId="0" borderId="22" xfId="0" applyNumberFormat="1" applyFont="1" applyBorder="1" applyAlignment="1">
      <alignment vertical="center"/>
    </xf>
    <xf numFmtId="0" fontId="16" fillId="0" borderId="21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3" fontId="16" fillId="0" borderId="17" xfId="1" applyNumberFormat="1" applyFont="1" applyBorder="1" applyAlignment="1">
      <alignment horizontal="center" vertical="center" wrapText="1"/>
    </xf>
    <xf numFmtId="1" fontId="16" fillId="0" borderId="17" xfId="0" applyNumberFormat="1" applyFont="1" applyBorder="1" applyAlignment="1">
      <alignment horizontal="center" vertical="center" wrapText="1"/>
    </xf>
    <xf numFmtId="10" fontId="16" fillId="0" borderId="17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9" fillId="9" borderId="21" xfId="0" applyFont="1" applyFill="1" applyBorder="1" applyAlignment="1">
      <alignment horizontal="center" vertical="center" wrapText="1"/>
    </xf>
    <xf numFmtId="0" fontId="19" fillId="9" borderId="8" xfId="0" applyFont="1" applyFill="1" applyBorder="1" applyAlignment="1">
      <alignment horizontal="center" vertical="center" wrapText="1"/>
    </xf>
    <xf numFmtId="0" fontId="19" fillId="9" borderId="12" xfId="0" applyFont="1" applyFill="1" applyBorder="1" applyAlignment="1">
      <alignment horizontal="center" vertical="center" wrapText="1"/>
    </xf>
    <xf numFmtId="0" fontId="19" fillId="9" borderId="13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3" fontId="16" fillId="0" borderId="1" xfId="1" applyNumberFormat="1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wrapText="1"/>
    </xf>
    <xf numFmtId="10" fontId="16" fillId="0" borderId="1" xfId="0" applyNumberFormat="1" applyFont="1" applyBorder="1" applyAlignment="1">
      <alignment horizontal="center" vertical="center" wrapText="1"/>
    </xf>
    <xf numFmtId="2" fontId="16" fillId="0" borderId="1" xfId="0" applyNumberFormat="1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19" fillId="9" borderId="0" xfId="0" applyFont="1" applyFill="1" applyAlignment="1">
      <alignment horizontal="center" vertical="center" wrapText="1"/>
    </xf>
    <xf numFmtId="1" fontId="16" fillId="0" borderId="8" xfId="0" applyNumberFormat="1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1" fontId="16" fillId="0" borderId="14" xfId="0" applyNumberFormat="1" applyFont="1" applyBorder="1" applyAlignment="1">
      <alignment vertical="center"/>
    </xf>
    <xf numFmtId="1" fontId="16" fillId="0" borderId="17" xfId="0" applyNumberFormat="1" applyFont="1" applyBorder="1" applyAlignment="1">
      <alignment vertical="center"/>
    </xf>
    <xf numFmtId="0" fontId="16" fillId="0" borderId="17" xfId="0" applyFont="1" applyBorder="1" applyAlignment="1">
      <alignment vertical="center"/>
    </xf>
    <xf numFmtId="0" fontId="16" fillId="0" borderId="13" xfId="0" applyFont="1" applyBorder="1" applyAlignment="1">
      <alignment vertical="center"/>
    </xf>
    <xf numFmtId="1" fontId="16" fillId="0" borderId="13" xfId="0" applyNumberFormat="1" applyFont="1" applyBorder="1" applyAlignment="1">
      <alignment vertical="center"/>
    </xf>
    <xf numFmtId="0" fontId="19" fillId="9" borderId="22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vertical="center"/>
    </xf>
    <xf numFmtId="1" fontId="16" fillId="0" borderId="15" xfId="0" applyNumberFormat="1" applyFont="1" applyBorder="1" applyAlignment="1">
      <alignment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9" borderId="22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67" fontId="6" fillId="0" borderId="8" xfId="2" applyNumberFormat="1" applyFont="1" applyBorder="1" applyAlignment="1">
      <alignment horizontal="left" vertical="center" wrapText="1"/>
    </xf>
    <xf numFmtId="167" fontId="6" fillId="0" borderId="17" xfId="2" applyNumberFormat="1" applyFont="1" applyBorder="1" applyAlignment="1">
      <alignment horizontal="left" vertical="center" wrapText="1"/>
    </xf>
    <xf numFmtId="0" fontId="25" fillId="8" borderId="8" xfId="0" applyFont="1" applyFill="1" applyBorder="1" applyAlignment="1">
      <alignment horizontal="center" vertical="center" wrapText="1"/>
    </xf>
    <xf numFmtId="0" fontId="27" fillId="0" borderId="0" xfId="0" applyFont="1"/>
    <xf numFmtId="165" fontId="25" fillId="8" borderId="8" xfId="0" applyNumberFormat="1" applyFont="1" applyFill="1" applyBorder="1" applyAlignment="1">
      <alignment horizontal="center" vertical="center" wrapText="1"/>
    </xf>
    <xf numFmtId="165" fontId="25" fillId="8" borderId="17" xfId="0" applyNumberFormat="1" applyFont="1" applyFill="1" applyBorder="1" applyAlignment="1">
      <alignment horizontal="center" vertical="center" wrapText="1"/>
    </xf>
    <xf numFmtId="0" fontId="25" fillId="8" borderId="1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0" fontId="28" fillId="0" borderId="0" xfId="0" applyFont="1" applyAlignment="1">
      <alignment vertical="center" wrapText="1"/>
    </xf>
    <xf numFmtId="0" fontId="27" fillId="0" borderId="8" xfId="0" applyFont="1" applyBorder="1" applyAlignment="1">
      <alignment horizontal="center" vertical="center" wrapText="1"/>
    </xf>
    <xf numFmtId="165" fontId="27" fillId="0" borderId="14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164" fontId="29" fillId="0" borderId="0" xfId="0" applyNumberFormat="1" applyFont="1" applyAlignment="1">
      <alignment horizontal="center" vertical="center" wrapText="1"/>
    </xf>
    <xf numFmtId="165" fontId="27" fillId="0" borderId="0" xfId="0" applyNumberFormat="1" applyFont="1" applyAlignment="1">
      <alignment wrapText="1"/>
    </xf>
    <xf numFmtId="165" fontId="27" fillId="0" borderId="0" xfId="0" applyNumberFormat="1" applyFont="1"/>
    <xf numFmtId="2" fontId="0" fillId="0" borderId="0" xfId="0" applyNumberFormat="1" applyAlignment="1">
      <alignment vertical="center"/>
    </xf>
    <xf numFmtId="0" fontId="0" fillId="0" borderId="8" xfId="0" applyBorder="1" applyAlignment="1">
      <alignment vertical="center"/>
    </xf>
    <xf numFmtId="2" fontId="0" fillId="0" borderId="8" xfId="0" applyNumberFormat="1" applyBorder="1" applyAlignment="1">
      <alignment vertical="center"/>
    </xf>
    <xf numFmtId="0" fontId="12" fillId="9" borderId="17" xfId="0" applyFont="1" applyFill="1" applyBorder="1" applyAlignment="1">
      <alignment horizontal="center" vertical="center" wrapText="1"/>
    </xf>
    <xf numFmtId="0" fontId="19" fillId="9" borderId="31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2" fillId="0" borderId="22" xfId="0" applyFont="1" applyBorder="1"/>
    <xf numFmtId="1" fontId="31" fillId="0" borderId="8" xfId="0" applyNumberFormat="1" applyFont="1" applyBorder="1" applyAlignment="1">
      <alignment horizontal="center" vertical="center" wrapText="1"/>
    </xf>
    <xf numFmtId="0" fontId="32" fillId="0" borderId="30" xfId="0" applyFont="1" applyBorder="1"/>
    <xf numFmtId="0" fontId="33" fillId="0" borderId="8" xfId="0" applyFont="1" applyBorder="1" applyAlignment="1">
      <alignment horizontal="center" vertical="center" wrapText="1"/>
    </xf>
    <xf numFmtId="15" fontId="35" fillId="0" borderId="8" xfId="0" applyNumberFormat="1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3" fontId="16" fillId="0" borderId="32" xfId="1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left" vertical="center"/>
    </xf>
    <xf numFmtId="0" fontId="13" fillId="0" borderId="20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2" fillId="9" borderId="14" xfId="0" applyFont="1" applyFill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3" fillId="0" borderId="16" xfId="0" applyFont="1" applyBorder="1" applyAlignment="1">
      <alignment vertical="center"/>
    </xf>
    <xf numFmtId="0" fontId="12" fillId="9" borderId="20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10" borderId="14" xfId="0" applyFont="1" applyFill="1" applyBorder="1" applyAlignment="1">
      <alignment horizontal="center" vertical="center" wrapText="1"/>
    </xf>
    <xf numFmtId="0" fontId="12" fillId="10" borderId="20" xfId="0" applyFont="1" applyFill="1" applyBorder="1" applyAlignment="1">
      <alignment horizontal="center" vertical="center" wrapText="1"/>
    </xf>
    <xf numFmtId="0" fontId="12" fillId="10" borderId="21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0" fillId="0" borderId="0" xfId="0" applyAlignment="1">
      <alignment vertical="center"/>
    </xf>
    <xf numFmtId="0" fontId="13" fillId="0" borderId="15" xfId="0" applyFont="1" applyBorder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3" fillId="0" borderId="18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2" fillId="9" borderId="23" xfId="0" applyFont="1" applyFill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/>
    </xf>
    <xf numFmtId="0" fontId="12" fillId="9" borderId="21" xfId="0" applyFont="1" applyFill="1" applyBorder="1" applyAlignment="1">
      <alignment horizontal="center" vertical="center" wrapText="1"/>
    </xf>
    <xf numFmtId="0" fontId="12" fillId="9" borderId="22" xfId="0" applyFont="1" applyFill="1" applyBorder="1" applyAlignment="1">
      <alignment horizontal="center" vertical="center" wrapText="1"/>
    </xf>
    <xf numFmtId="0" fontId="12" fillId="9" borderId="27" xfId="0" applyFont="1" applyFill="1" applyBorder="1" applyAlignment="1">
      <alignment horizontal="center" vertical="center" wrapText="1"/>
    </xf>
    <xf numFmtId="0" fontId="12" fillId="9" borderId="28" xfId="0" applyFont="1" applyFill="1" applyBorder="1" applyAlignment="1">
      <alignment horizontal="center" vertical="center" wrapText="1"/>
    </xf>
    <xf numFmtId="0" fontId="12" fillId="9" borderId="29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left" vertical="center"/>
    </xf>
    <xf numFmtId="0" fontId="12" fillId="9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2" fillId="0" borderId="8" xfId="0" applyFont="1" applyBorder="1" applyAlignment="1">
      <alignment horizontal="center" vertical="center" wrapText="1"/>
    </xf>
    <xf numFmtId="0" fontId="13" fillId="0" borderId="11" xfId="0" applyFont="1" applyBorder="1" applyAlignment="1">
      <alignment vertical="center"/>
    </xf>
    <xf numFmtId="0" fontId="7" fillId="8" borderId="15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5" fillId="8" borderId="15" xfId="0" applyFont="1" applyFill="1" applyBorder="1" applyAlignment="1">
      <alignment horizontal="center" vertical="center" wrapText="1"/>
    </xf>
    <xf numFmtId="0" fontId="26" fillId="0" borderId="16" xfId="0" applyFont="1" applyBorder="1"/>
    <xf numFmtId="0" fontId="10" fillId="8" borderId="15" xfId="0" applyFont="1" applyFill="1" applyBorder="1" applyAlignment="1">
      <alignment horizontal="center" vertical="center" wrapText="1"/>
    </xf>
    <xf numFmtId="0" fontId="24" fillId="0" borderId="16" xfId="0" applyFont="1" applyBorder="1"/>
  </cellXfs>
  <cellStyles count="3">
    <cellStyle name="Millares" xfId="1" builtinId="3"/>
    <cellStyle name="Moneda" xfId="2" builtinId="4"/>
    <cellStyle name="Normal" xfId="0" builtinId="0"/>
  </cellStyles>
  <dxfs count="1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rgb="FFEBEDEF"/>
          <bgColor rgb="FFEBEDE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rgb="FFEBEDEF"/>
          <bgColor rgb="FFEBEDE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rgb="FFEBEDEF"/>
          <bgColor rgb="FFEBEDE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4" formatCode="d/m/yyyy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4" formatCode="d/m/yyyy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7" formatCode="_-&quot;$&quot;\ * #,##0_-;\-&quot;$&quot;\ * #,##0_-;_-&quot;$&quot;\ * &quot;-&quot;??_-;_-@_-"/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medium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8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82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81" Type="http://customschemas.google.com/relationships/workbookmetadata" Target="metadata"/><Relationship Id="rId86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85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opuestas%20y%20proyectos%20Dani/UEC2026/Ejecuci&#243;n/246.%20ADRES/Inscripci&#243;n/Datos%20personal%20planta.xlsx" TargetMode="External"/><Relationship Id="rId2" Type="http://schemas.openxmlformats.org/officeDocument/2006/relationships/externalLinkPath" Target="https://unaledu-my.sharepoint.com/personal/uecproycefi_bog_unal_edu_co/Documents/Propuestas%20y%20proyectos%20Dani/UEC2026/Ejecuci&#243;n/246.%20ADRES/Inscripci&#243;n/Datos%20personal%20planta.xlsx" TargetMode="External"/><Relationship Id="rId1" Type="http://schemas.openxmlformats.org/officeDocument/2006/relationships/externalLinkPath" Target="/personal/uecproycefi_bog_unal_edu_co/Documents/Propuestas%20y%20proyectos%20Dani/UEC2026/Ejecuci&#243;n/246.%20ADRES/Inscripci&#243;n/Datos%20personal%20plan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  <sheetName val="Hoja2"/>
    </sheetNames>
    <sheetDataSet>
      <sheetData sheetId="0">
        <row r="1">
          <cell r="B1" t="str">
            <v>DOCUMENTO</v>
          </cell>
          <cell r="F1" t="str">
            <v>CARGO</v>
          </cell>
          <cell r="G1" t="str">
            <v>DEPENDENCIA</v>
          </cell>
        </row>
        <row r="2">
          <cell r="B2"/>
          <cell r="F2"/>
          <cell r="G2"/>
        </row>
        <row r="3">
          <cell r="B3">
            <v>52498179</v>
          </cell>
          <cell r="F3" t="str">
            <v>GESTOR DE OPERACIONES</v>
          </cell>
          <cell r="G3" t="str">
            <v>DIRECCIÓN ADMINISTRATIVA Y FINANCIERA</v>
          </cell>
        </row>
        <row r="4">
          <cell r="B4">
            <v>52230819</v>
          </cell>
          <cell r="F4" t="str">
            <v>GESTOR</v>
          </cell>
          <cell r="G4" t="str">
            <v>DIRECCIÓN ADMINISTRATIVA Y FINANCIERA</v>
          </cell>
        </row>
        <row r="5">
          <cell r="B5">
            <v>1020740232</v>
          </cell>
          <cell r="F5" t="str">
            <v>GESTOR DE OPERACIONES</v>
          </cell>
          <cell r="G5" t="str">
            <v>DIRECCIÓN DE OTRAS PRESTACIONES</v>
          </cell>
        </row>
        <row r="6">
          <cell r="B6">
            <v>1024573411</v>
          </cell>
          <cell r="F6" t="str">
            <v>GESTOR</v>
          </cell>
          <cell r="G6" t="str">
            <v>DIRECCIÓN DE GESTIÓN DE LOS RECURSOS FINANCIEROS DE LA SALUD</v>
          </cell>
        </row>
        <row r="7">
          <cell r="B7">
            <v>1015415271</v>
          </cell>
          <cell r="F7" t="str">
            <v>GESTOR DE OPERACIONES</v>
          </cell>
          <cell r="G7" t="str">
            <v>OFICINA ASESORA JURÍDICA</v>
          </cell>
        </row>
        <row r="8">
          <cell r="B8">
            <v>46458408</v>
          </cell>
          <cell r="F8" t="str">
            <v>GESTOR DE OPERACIONES</v>
          </cell>
          <cell r="G8" t="str">
            <v>DIRECCIÓN DE OTRAS PRESTACIONES</v>
          </cell>
        </row>
        <row r="9">
          <cell r="B9">
            <v>80242798</v>
          </cell>
          <cell r="F9" t="str">
            <v>GESTOR DE OPERACIONES</v>
          </cell>
          <cell r="G9" t="str">
            <v>DIRECCIÓN DE GESTIÓN DE LOS RECURSOS FINANCIEROS DE LA SALUD</v>
          </cell>
        </row>
        <row r="10">
          <cell r="B10">
            <v>52053044</v>
          </cell>
          <cell r="F10" t="str">
            <v>ASESOR</v>
          </cell>
          <cell r="G10" t="str">
            <v>DIRECCIÓN GENERAL</v>
          </cell>
        </row>
        <row r="11">
          <cell r="B11">
            <v>66713649</v>
          </cell>
          <cell r="F11" t="str">
            <v>GESTOR DE OPERACIONES</v>
          </cell>
          <cell r="G11" t="str">
            <v>DIRECCIÓN DE GESTIÓN DE LOS RECURSOS FINANCIEROS DE LA SALUD</v>
          </cell>
        </row>
        <row r="12">
          <cell r="B12">
            <v>35328640</v>
          </cell>
          <cell r="F12" t="str">
            <v>TECNICO ADMINISTRATIVO</v>
          </cell>
          <cell r="G12" t="str">
            <v>DIRECCIÓN ADMINISTRATIVA Y FINANCIERA</v>
          </cell>
        </row>
        <row r="13">
          <cell r="B13">
            <v>80198045</v>
          </cell>
          <cell r="F13" t="str">
            <v>GESTOR DE OPERACIONES</v>
          </cell>
          <cell r="G13" t="str">
            <v>DIRECCIÓN DE GESTIÓN DE TECNOLOGÍAS DE INFORMACIÓN Y COMUNICACIONES</v>
          </cell>
        </row>
        <row r="14">
          <cell r="B14">
            <v>1075660601</v>
          </cell>
          <cell r="F14" t="str">
            <v>GESTOR DE OPERACIONES</v>
          </cell>
          <cell r="G14" t="str">
            <v>OFICINA ASESORA JURÍDICA</v>
          </cell>
        </row>
        <row r="15">
          <cell r="B15">
            <v>11413726</v>
          </cell>
          <cell r="F15" t="str">
            <v>GESTOR DE OPERACIONES</v>
          </cell>
          <cell r="G15" t="str">
            <v>DIRECCIÓN DE LIQUIDACIONES Y GARANTÍAS</v>
          </cell>
        </row>
        <row r="16">
          <cell r="B16">
            <v>79487157</v>
          </cell>
          <cell r="F16" t="str">
            <v>GESTOR DE OPERACIONES</v>
          </cell>
          <cell r="G16" t="str">
            <v>DIRECCIÓN ADMINISTRATIVA Y FINANCIERA</v>
          </cell>
        </row>
        <row r="17">
          <cell r="B17">
            <v>10386382</v>
          </cell>
          <cell r="F17" t="str">
            <v>GESTOR DE OPERACIONES</v>
          </cell>
          <cell r="G17" t="str">
            <v>DIRECCIÓN DE GESTIÓN DE LOS RECURSOS FINANCIEROS DE LA SALUD</v>
          </cell>
        </row>
        <row r="18">
          <cell r="B18">
            <v>53051175</v>
          </cell>
          <cell r="F18" t="str">
            <v>GESTOR DE OPERACIONES</v>
          </cell>
          <cell r="G18" t="str">
            <v>DIRECCIÓN DE GESTIÓN DE LOS RECURSOS FINANCIEROS DE LA SALUD</v>
          </cell>
        </row>
        <row r="19">
          <cell r="B19">
            <v>1026257981</v>
          </cell>
          <cell r="F19" t="str">
            <v>GESTOR DE OPERACIONES</v>
          </cell>
          <cell r="G19" t="str">
            <v>DIRECCIÓN DE OTRAS PRESTACIONES</v>
          </cell>
        </row>
        <row r="20">
          <cell r="B20">
            <v>1015422254</v>
          </cell>
          <cell r="F20" t="str">
            <v>GESTOR DE OPERACIONES</v>
          </cell>
          <cell r="G20" t="str">
            <v>DIRECCIÓN ADMINISTRATIVA Y FINANCIERA</v>
          </cell>
        </row>
        <row r="21">
          <cell r="B21">
            <v>77024676</v>
          </cell>
          <cell r="F21" t="str">
            <v>GESTOR DE OPERACIONES</v>
          </cell>
          <cell r="G21" t="str">
            <v>DIRECCIÓN DE GESTIÓN DE TECNOLOGÍAS DE INFORMACIÓN Y COMUNICACIONES</v>
          </cell>
        </row>
        <row r="22">
          <cell r="B22">
            <v>1024463886</v>
          </cell>
          <cell r="F22" t="str">
            <v>GESTOR DE OPERACIONES</v>
          </cell>
          <cell r="G22" t="str">
            <v>DIRECCIÓN DE LIQUIDACIONES Y GARANTÍAS</v>
          </cell>
        </row>
        <row r="23">
          <cell r="B23">
            <v>79645745</v>
          </cell>
          <cell r="F23" t="str">
            <v>GESTOR DE OPERACIONES</v>
          </cell>
          <cell r="G23" t="str">
            <v>DIRECCIÓN DE LIQUIDACIONES Y GARANTÍAS</v>
          </cell>
        </row>
        <row r="24">
          <cell r="B24">
            <v>80467964</v>
          </cell>
          <cell r="F24" t="str">
            <v>GESTOR DE OPERACIONES</v>
          </cell>
          <cell r="G24" t="str">
            <v>DIRECCIÓN DE GESTIÓN DE TECNOLOGÍAS DE INFORMACIÓN Y COMUNICACIONES</v>
          </cell>
        </row>
        <row r="25">
          <cell r="B25">
            <v>1024517783</v>
          </cell>
          <cell r="F25" t="str">
            <v>GESTOR DE OPERACIONES</v>
          </cell>
          <cell r="G25" t="str">
            <v>SUBDIRECCIÓN DE LIQUIDACIONES DEL ASEGURAMIENTO</v>
          </cell>
        </row>
        <row r="26">
          <cell r="B26">
            <v>49721417</v>
          </cell>
          <cell r="F26" t="str">
            <v>GESTOR DE OPERACIONES</v>
          </cell>
          <cell r="G26" t="str">
            <v>DIRECCIÓN ADMINISTRATIVA Y FINANCIERA</v>
          </cell>
        </row>
        <row r="27">
          <cell r="B27">
            <v>1090372102</v>
          </cell>
          <cell r="F27" t="str">
            <v>GESTOR</v>
          </cell>
          <cell r="G27" t="str">
            <v>DIRECCIÓN ADMINISTRATIVA Y FINANCIERA</v>
          </cell>
        </row>
        <row r="28">
          <cell r="B28">
            <v>7187900</v>
          </cell>
          <cell r="F28" t="str">
            <v>GESTOR DE OPERACIONES</v>
          </cell>
          <cell r="G28" t="str">
            <v>DIRECCIÓN DE GESTIÓN DE LOS RECURSOS FINANCIEROS DE LA SALUD</v>
          </cell>
        </row>
        <row r="29">
          <cell r="B29">
            <v>52500983</v>
          </cell>
          <cell r="F29" t="str">
            <v>GESTOR DE OPERACIONES</v>
          </cell>
          <cell r="G29" t="str">
            <v>DIRECCIÓN ADMINISTRATIVA Y FINANCIERA</v>
          </cell>
        </row>
        <row r="30">
          <cell r="B30">
            <v>79517163</v>
          </cell>
          <cell r="F30" t="str">
            <v xml:space="preserve">ASESOR </v>
          </cell>
          <cell r="G30" t="str">
            <v xml:space="preserve">DIRECCIÓN GENERAL </v>
          </cell>
        </row>
        <row r="31">
          <cell r="B31">
            <v>28554091</v>
          </cell>
          <cell r="F31" t="str">
            <v>GESTOR DE OPERACIONES</v>
          </cell>
          <cell r="G31" t="str">
            <v>DIRECCIÓN ADMINISTRATIVA Y FINANCIERA</v>
          </cell>
        </row>
        <row r="32">
          <cell r="B32">
            <v>39740635</v>
          </cell>
          <cell r="F32" t="str">
            <v>GESTOR DE OPERACIONES</v>
          </cell>
          <cell r="G32" t="str">
            <v>DIRECCIÓN DE GESTIÓN DE LOS RECURSOS FINANCIEROS DE LA SALUD</v>
          </cell>
        </row>
        <row r="33">
          <cell r="B33">
            <v>52266124</v>
          </cell>
          <cell r="F33" t="str">
            <v>GESTOR DE OPERACIONES</v>
          </cell>
          <cell r="G33" t="str">
            <v>OFICINA ASESORA DE PLANEACIÓN Y CONTROL DE RIESGOS</v>
          </cell>
        </row>
        <row r="34">
          <cell r="B34">
            <v>52730780</v>
          </cell>
          <cell r="F34" t="str">
            <v>GESTOR DE OPERACIONES</v>
          </cell>
          <cell r="G34" t="str">
            <v>SUBDIRECCIÓN DE LIQUIDACIONES DEL ASEGURAMIENTO</v>
          </cell>
        </row>
        <row r="35">
          <cell r="B35">
            <v>1078366532</v>
          </cell>
          <cell r="F35" t="str">
            <v>GESTOR DE OPERACIONES</v>
          </cell>
          <cell r="G35" t="str">
            <v>DIRECCIÓN DE OTRAS PRESTACIONES</v>
          </cell>
        </row>
        <row r="36">
          <cell r="B36">
            <v>19598973</v>
          </cell>
          <cell r="F36" t="str">
            <v>GESTOR DE OPERACIONES</v>
          </cell>
          <cell r="G36" t="str">
            <v>DIRECCIÓN ADMINISTRATIVA Y FINANCIERA</v>
          </cell>
        </row>
        <row r="37">
          <cell r="B37">
            <v>1066573355</v>
          </cell>
          <cell r="F37" t="str">
            <v>GESTOR DE OPERACIONES</v>
          </cell>
          <cell r="G37" t="str">
            <v>DIRECCIÓN DE GESTIÓN DE LOS RECURSOS FINANCIEROS DE LA SALUD</v>
          </cell>
        </row>
        <row r="38">
          <cell r="B38">
            <v>1093755452</v>
          </cell>
          <cell r="F38" t="str">
            <v>GESTOR DE OPERACIONES</v>
          </cell>
          <cell r="G38" t="str">
            <v>DIRECCIÓN DE OTRAS PRESTACIONES</v>
          </cell>
        </row>
        <row r="39">
          <cell r="B39">
            <v>80000937</v>
          </cell>
          <cell r="F39" t="str">
            <v>GESTOR DE OPERACIONES</v>
          </cell>
          <cell r="G39" t="str">
            <v>SUBDIRECCIÓN DE LIQUIDACIONES DEL ASEGURAMIENTO</v>
          </cell>
        </row>
        <row r="40">
          <cell r="B40">
            <v>52981672</v>
          </cell>
          <cell r="F40" t="str">
            <v>AUXILIAR ADMINISTRATIVO</v>
          </cell>
          <cell r="G40" t="str">
            <v>DIRECCIÓN ADMINISTRATIVA Y FINANCIERA</v>
          </cell>
        </row>
        <row r="41">
          <cell r="B41">
            <v>1082915789</v>
          </cell>
          <cell r="F41" t="str">
            <v>GESTOR DE OPERACIONES</v>
          </cell>
          <cell r="G41" t="str">
            <v>OFICINA ASESORA JURÍDICA</v>
          </cell>
        </row>
        <row r="42">
          <cell r="B42">
            <v>1032400575</v>
          </cell>
          <cell r="F42" t="str">
            <v>GESTOR DE OPERACIONES</v>
          </cell>
          <cell r="G42" t="str">
            <v>DIRECCIÓN DE GESTIÓN DE TECNOLOGÍAS DE INFORMACIÓN Y COMUNICACIONES</v>
          </cell>
        </row>
        <row r="43">
          <cell r="B43">
            <v>1010173502</v>
          </cell>
          <cell r="F43" t="str">
            <v>GESTOR DE OPERACIONES</v>
          </cell>
          <cell r="G43" t="str">
            <v>SUBDIRECCIÓN DE LIQUIDACIONES DEL ASEGURAMIENTO</v>
          </cell>
        </row>
        <row r="44">
          <cell r="B44">
            <v>1110522729</v>
          </cell>
          <cell r="F44" t="str">
            <v>GESTOR DE OPERACIONES</v>
          </cell>
          <cell r="G44" t="str">
            <v>OFICINA ASESORA DE PLANEACIÓN Y CONTROL DE RIESGOS</v>
          </cell>
        </row>
        <row r="45">
          <cell r="B45">
            <v>80201138</v>
          </cell>
          <cell r="F45" t="str">
            <v>GESTOR DE OPERACIONES</v>
          </cell>
          <cell r="G45" t="str">
            <v>DIRECCIÓN DE GESTIÓN DE LOS RECURSOS FINANCIEROS DE LA SALUD</v>
          </cell>
        </row>
        <row r="46">
          <cell r="B46">
            <v>91151924</v>
          </cell>
          <cell r="F46" t="str">
            <v>GESTOR DE OPERACIONES</v>
          </cell>
          <cell r="G46" t="str">
            <v>DIRECCIÓN DE OTRAS PRESTACIONES</v>
          </cell>
        </row>
        <row r="47">
          <cell r="B47">
            <v>52536438</v>
          </cell>
          <cell r="F47" t="str">
            <v>GESTOR DE OPERACIONES</v>
          </cell>
          <cell r="G47" t="str">
            <v>DIRECCIÓN DE OTRAS PRESTACIONES</v>
          </cell>
        </row>
        <row r="48">
          <cell r="B48">
            <v>1024473480</v>
          </cell>
          <cell r="F48" t="str">
            <v>GESTOR</v>
          </cell>
          <cell r="G48" t="str">
            <v>DIRECCIÓN DE GESTIÓN DE LOS RECURSOS FINANCIEROS DE LA SALUD</v>
          </cell>
        </row>
        <row r="49">
          <cell r="B49">
            <v>39746976</v>
          </cell>
          <cell r="F49" t="str">
            <v xml:space="preserve">DIRECTOR TÉCNICO </v>
          </cell>
          <cell r="G49" t="str">
            <v>DIRECCIÓN ADMINISTRATIVA Y FINANCIERA</v>
          </cell>
        </row>
        <row r="50">
          <cell r="B50">
            <v>1015417093</v>
          </cell>
          <cell r="F50" t="str">
            <v>GESTOR DE OPERACIONES</v>
          </cell>
          <cell r="G50" t="str">
            <v>DIRECCIÓN DE GESTIÓN DE LOS RECURSOS FINANCIEROS DE LA SALUD</v>
          </cell>
        </row>
        <row r="51">
          <cell r="B51">
            <v>52854173</v>
          </cell>
          <cell r="F51" t="str">
            <v>GESTOR DE OPERACIONES</v>
          </cell>
          <cell r="G51" t="str">
            <v>DIRECCIÓN DE GESTIÓN DE LOS RECURSOS FINANCIEROS DE LA SALUD</v>
          </cell>
        </row>
        <row r="52">
          <cell r="B52">
            <v>80267547</v>
          </cell>
          <cell r="F52" t="str">
            <v>GESTOR</v>
          </cell>
          <cell r="G52" t="str">
            <v>DIRECCIÓN DE LIQUIDACIONES Y GARANTÍAS</v>
          </cell>
        </row>
        <row r="53">
          <cell r="B53">
            <v>51632748</v>
          </cell>
          <cell r="F53" t="str">
            <v>GESTOR DE OPERACIONES</v>
          </cell>
          <cell r="G53" t="str">
            <v>OFICINA ASESORA JURÍDICA</v>
          </cell>
        </row>
        <row r="54">
          <cell r="B54">
            <v>52634287</v>
          </cell>
          <cell r="F54" t="str">
            <v>GESTOR DE OPERACIONES</v>
          </cell>
          <cell r="G54" t="str">
            <v>SUBDIRECCIÓN DE LIQUIDACIONES DEL ASEGURAMIENTO</v>
          </cell>
        </row>
        <row r="55">
          <cell r="B55">
            <v>1032399404</v>
          </cell>
          <cell r="F55" t="str">
            <v>GESTOR DE OPERACIONES</v>
          </cell>
          <cell r="G55" t="str">
            <v>DIRECCIÓN DE OTRAS PRESTACIONES</v>
          </cell>
        </row>
        <row r="56">
          <cell r="B56">
            <v>79382033</v>
          </cell>
          <cell r="F56" t="str">
            <v>GESTOR DE OPERACIONES</v>
          </cell>
          <cell r="G56" t="str">
            <v>SUBDIRECCIÓN DE GARANTÍAS</v>
          </cell>
        </row>
        <row r="57">
          <cell r="B57">
            <v>52716266</v>
          </cell>
          <cell r="F57" t="str">
            <v>GESTOR DE OPERACIONES</v>
          </cell>
          <cell r="G57" t="str">
            <v>DIRECCIÓN DE GESTIÓN DE LOS RECURSOS FINANCIEROS DE LA SALUD</v>
          </cell>
        </row>
        <row r="58">
          <cell r="B58">
            <v>19462003</v>
          </cell>
          <cell r="F58" t="str">
            <v xml:space="preserve">ASESOR </v>
          </cell>
          <cell r="G58" t="str">
            <v xml:space="preserve">DIRECCIÓN GENERAL </v>
          </cell>
        </row>
        <row r="59">
          <cell r="B59">
            <v>52763356</v>
          </cell>
          <cell r="F59" t="str">
            <v>GESTOR DE OPERACIONES</v>
          </cell>
          <cell r="G59" t="str">
            <v>DIRECCIÓN DE GESTIÓN DE TECNOLOGÍAS DE INFORMACIÓN Y COMUNICACIONES</v>
          </cell>
        </row>
        <row r="60">
          <cell r="B60">
            <v>1020718487</v>
          </cell>
          <cell r="F60" t="str">
            <v>GESTOR DE OPERACIONES</v>
          </cell>
          <cell r="G60" t="str">
            <v>OFICINA ASESORA JURÍDICA</v>
          </cell>
        </row>
        <row r="61">
          <cell r="B61">
            <v>1082776699</v>
          </cell>
          <cell r="F61" t="str">
            <v>ASESOR</v>
          </cell>
          <cell r="G61" t="str">
            <v>DIRECCIÓN GENERAL</v>
          </cell>
        </row>
        <row r="62">
          <cell r="B62">
            <v>32769928</v>
          </cell>
          <cell r="F62" t="str">
            <v>ASESOR / DIRECTOR TECNICO (ENCARGO)</v>
          </cell>
          <cell r="G62" t="str">
            <v xml:space="preserve">DIRECCIÓN GENERAL </v>
          </cell>
        </row>
        <row r="63">
          <cell r="B63">
            <v>80163431</v>
          </cell>
          <cell r="F63" t="str">
            <v>GESTOR DE OPERACIONES</v>
          </cell>
          <cell r="G63" t="str">
            <v>DIRECCIÓN DE GESTIÓN DE TECNOLOGÍAS DE INFORMACIÓN Y COMUNICACIONES</v>
          </cell>
        </row>
        <row r="64">
          <cell r="B64">
            <v>80200994</v>
          </cell>
          <cell r="F64" t="str">
            <v>GESTOR DE OPERACIONES</v>
          </cell>
          <cell r="G64" t="str">
            <v>SUBDIRECCIÓN DE LIQUIDACIONES DEL ASEGURAMIENTO</v>
          </cell>
        </row>
        <row r="65">
          <cell r="B65">
            <v>63532359</v>
          </cell>
          <cell r="F65" t="str">
            <v>GESTOR DE OPERACIONES</v>
          </cell>
          <cell r="G65" t="str">
            <v>DIRECCIÓN ADMINISTRATIVA Y FINANCIERA</v>
          </cell>
        </row>
        <row r="66">
          <cell r="B66">
            <v>1063292489</v>
          </cell>
          <cell r="F66" t="str">
            <v>GESTOR DE OPERACIONES</v>
          </cell>
          <cell r="G66" t="str">
            <v>DIRECCIÓN DE GESTIÓN DE LOS RECURSOS FINANCIEROS DE LA SALUD</v>
          </cell>
        </row>
        <row r="67">
          <cell r="B67">
            <v>42082799</v>
          </cell>
          <cell r="F67" t="str">
            <v>ASESOR</v>
          </cell>
          <cell r="G67" t="str">
            <v>DIRECCIÓN GENERAL</v>
          </cell>
        </row>
        <row r="68">
          <cell r="B68">
            <v>80092686</v>
          </cell>
          <cell r="F68" t="str">
            <v>GESTOR DE OPERACIONES</v>
          </cell>
          <cell r="G68" t="str">
            <v>DIRECCIÓN DE GESTIÓN DE TECNOLOGÍAS DE INFORMACIÓN Y COMUNICACIONES</v>
          </cell>
        </row>
        <row r="69">
          <cell r="B69">
            <v>53116779</v>
          </cell>
          <cell r="F69" t="str">
            <v>ASESOR</v>
          </cell>
          <cell r="G69" t="str">
            <v>DIRECCIÓN GENERAL</v>
          </cell>
        </row>
        <row r="70">
          <cell r="B70">
            <v>37626870</v>
          </cell>
          <cell r="F70" t="str">
            <v>JEFE DE OFICINA</v>
          </cell>
          <cell r="G70" t="str">
            <v>OFICINA DE CONTROL INTERNO</v>
          </cell>
        </row>
        <row r="71">
          <cell r="B71">
            <v>4151945</v>
          </cell>
          <cell r="F71" t="str">
            <v>GESTOR DE OPERACIONES</v>
          </cell>
          <cell r="G71" t="str">
            <v>DIRECCIÓN DE LIQUIDACIONES Y GARANTÍAS</v>
          </cell>
        </row>
        <row r="72">
          <cell r="B72">
            <v>35353372</v>
          </cell>
          <cell r="F72" t="str">
            <v>AUXILIAR ADMINISTRATIVO</v>
          </cell>
          <cell r="G72" t="str">
            <v>OFICINA ASESORA DE PLANEACIÓN Y CONTROL DE RIESGOS</v>
          </cell>
        </row>
        <row r="73">
          <cell r="B73">
            <v>1121332079</v>
          </cell>
          <cell r="F73" t="str">
            <v>GESTOR DE OPERACIONES</v>
          </cell>
          <cell r="G73" t="str">
            <v>OFICINA DE CONTROL INTERNO</v>
          </cell>
        </row>
        <row r="74">
          <cell r="B74">
            <v>80090678</v>
          </cell>
          <cell r="F74" t="str">
            <v>GESTOR DE OPERACIONES</v>
          </cell>
          <cell r="G74" t="str">
            <v>OFICINA ASESORA JURÍDICA</v>
          </cell>
        </row>
        <row r="75">
          <cell r="B75">
            <v>1032371771</v>
          </cell>
          <cell r="F75" t="str">
            <v>ASESOR</v>
          </cell>
          <cell r="G75" t="str">
            <v>DIRECCIÓN GENERAL</v>
          </cell>
        </row>
        <row r="76">
          <cell r="B76">
            <v>1022964650</v>
          </cell>
          <cell r="F76" t="str">
            <v>GESTOR DE OPERACIONES</v>
          </cell>
          <cell r="G76" t="str">
            <v>DIRECCIÓN DE GESTIÓN DE TECNOLOGÍAS DE INFORMACIÓN Y COMUNICACIONES</v>
          </cell>
        </row>
        <row r="77">
          <cell r="B77">
            <v>80152956</v>
          </cell>
          <cell r="F77" t="str">
            <v>GESTOR DE OPERACIONES</v>
          </cell>
          <cell r="G77" t="str">
            <v>DIRECCIÓN DE GESTIÓN DE TECNOLOGÍAS DE INFORMACIÓN Y COMUNICACIONES</v>
          </cell>
        </row>
        <row r="78">
          <cell r="B78">
            <v>79660554</v>
          </cell>
          <cell r="F78" t="str">
            <v>GESTOR DE OPERACIONES</v>
          </cell>
          <cell r="G78" t="str">
            <v>DIRECCIÓN DE GESTIÓN DE LOS RECURSOS FINANCIEROS DE LA SALUD</v>
          </cell>
        </row>
        <row r="79">
          <cell r="B79">
            <v>79692715</v>
          </cell>
          <cell r="F79" t="str">
            <v>ASESOR</v>
          </cell>
          <cell r="G79" t="str">
            <v>DIRECCIÓN GENERAL</v>
          </cell>
        </row>
        <row r="80">
          <cell r="B80">
            <v>28559977</v>
          </cell>
          <cell r="F80" t="str">
            <v>GESTOR DE OPERACIONES</v>
          </cell>
          <cell r="G80" t="str">
            <v>DIRECCIÓN ADMINISTRATIVA Y FINANCIERA</v>
          </cell>
        </row>
        <row r="81">
          <cell r="B81">
            <v>79739611</v>
          </cell>
          <cell r="F81" t="str">
            <v>GESTOR DE OPERACIONES</v>
          </cell>
          <cell r="G81" t="str">
            <v>DIRECCIÓN DE GESTIÓN DE TECNOLOGÍAS DE INFORMACIÓN Y COMUNICACIONES</v>
          </cell>
        </row>
        <row r="82">
          <cell r="B82">
            <v>14139437</v>
          </cell>
          <cell r="F82" t="str">
            <v>GESTOR DE OPERACIONES</v>
          </cell>
          <cell r="G82" t="str">
            <v>SUBDIRECCIÓN DE LIQUIDACIONES DEL ASEGURAMIENTO</v>
          </cell>
        </row>
        <row r="83">
          <cell r="B83">
            <v>43262525</v>
          </cell>
          <cell r="F83" t="str">
            <v>GESTOR DE OPERACIONES</v>
          </cell>
          <cell r="G83" t="str">
            <v>DIRECCIÓN ADMINISTRATIVA Y FINANCIERA</v>
          </cell>
        </row>
        <row r="84">
          <cell r="B84">
            <v>79859706</v>
          </cell>
          <cell r="F84" t="str">
            <v>GESTOR DE OPERACIONES</v>
          </cell>
          <cell r="G84" t="str">
            <v>DIRECCIÓN DE LIQUIDACIONES Y GARANTÍAS</v>
          </cell>
        </row>
        <row r="85">
          <cell r="B85">
            <v>52528416</v>
          </cell>
          <cell r="F85" t="str">
            <v>GESTOR DE OPERACIONES</v>
          </cell>
          <cell r="G85" t="str">
            <v>DIRECCIÓN ADMINISTRATIVA Y FINANCIERA</v>
          </cell>
        </row>
        <row r="86">
          <cell r="B86">
            <v>80257682</v>
          </cell>
          <cell r="F86" t="str">
            <v>GESTOR DE OPERACIONES</v>
          </cell>
          <cell r="G86" t="str">
            <v>SUBDIRECCIÓN DE LIQUIDACIONES DEL ASEGURAMIENTO</v>
          </cell>
        </row>
        <row r="87">
          <cell r="B87">
            <v>80074021</v>
          </cell>
          <cell r="F87" t="str">
            <v>GESTOR DE OPERACIONES</v>
          </cell>
          <cell r="G87" t="str">
            <v>DIRECCIÓN DE OTRAS PRESTACIONES</v>
          </cell>
        </row>
        <row r="88">
          <cell r="B88">
            <v>1032425063</v>
          </cell>
          <cell r="F88" t="str">
            <v>ASESOR</v>
          </cell>
          <cell r="G88" t="str">
            <v>DIRECCIÓN GENERAL</v>
          </cell>
        </row>
        <row r="89">
          <cell r="B89">
            <v>1018476427</v>
          </cell>
          <cell r="F89" t="str">
            <v>GESTOR DE OPERACIONES</v>
          </cell>
          <cell r="G89" t="str">
            <v>OFICINA ASESORA JURÍDICA</v>
          </cell>
        </row>
        <row r="90">
          <cell r="B90">
            <v>1013579143</v>
          </cell>
          <cell r="F90" t="str">
            <v>GESTOR DE OPERACIONES</v>
          </cell>
          <cell r="G90" t="str">
            <v>SUBDIRECCIÓN DE LIQUIDACIONES DEL ASEGURAMIENTO</v>
          </cell>
        </row>
        <row r="91">
          <cell r="B91">
            <v>1030640231</v>
          </cell>
          <cell r="F91" t="str">
            <v>GESTOR DE OPERACIONES</v>
          </cell>
          <cell r="G91" t="str">
            <v>DIRECCIÓN ADMINISTRATIVA Y FINANCIERA</v>
          </cell>
        </row>
        <row r="92">
          <cell r="B92">
            <v>52098883</v>
          </cell>
          <cell r="F92" t="str">
            <v>TECNICO ADMINISTRATIVO</v>
          </cell>
          <cell r="G92" t="str">
            <v>DIRECCIÓN ADMINISTRATIVA Y FINANCIERA</v>
          </cell>
        </row>
        <row r="93">
          <cell r="B93">
            <v>1136882430</v>
          </cell>
          <cell r="F93" t="str">
            <v>TECNICO ADMINISTRATIVO</v>
          </cell>
          <cell r="G93" t="str">
            <v>DIRECCIÓN ADMINISTRATIVA Y FINANCIERA</v>
          </cell>
        </row>
        <row r="94">
          <cell r="B94">
            <v>80405754</v>
          </cell>
          <cell r="F94" t="str">
            <v>ASESOR / JEFE DE OFICINA ASESORA (ENCARGO)</v>
          </cell>
          <cell r="G94" t="str">
            <v xml:space="preserve">DIRECCIÓN GENERAL </v>
          </cell>
        </row>
        <row r="95">
          <cell r="B95">
            <v>1014201429</v>
          </cell>
          <cell r="F95" t="str">
            <v>GESTOR DE OPERACIONES</v>
          </cell>
          <cell r="G95" t="str">
            <v>DIRECCIÓN DE GESTIÓN DE TECNOLOGÍAS DE INFORMACIÓN Y COMUNICACIONES</v>
          </cell>
        </row>
        <row r="96">
          <cell r="B96">
            <v>1018441411</v>
          </cell>
          <cell r="F96" t="str">
            <v>GESTOR DE OPERACIONES</v>
          </cell>
          <cell r="G96" t="str">
            <v>DIRECCIÓN DE LIQUIDACIONES Y GARANTÍAS</v>
          </cell>
        </row>
        <row r="97">
          <cell r="B97">
            <v>13928254</v>
          </cell>
          <cell r="F97" t="str">
            <v>GESTOR</v>
          </cell>
          <cell r="G97" t="str">
            <v>DIRECCIÓN DE OTRAS PRESTACIONES</v>
          </cell>
        </row>
        <row r="98">
          <cell r="B98">
            <v>80813671</v>
          </cell>
          <cell r="F98" t="str">
            <v>GESTOR DE OPERACIONES</v>
          </cell>
          <cell r="G98" t="str">
            <v>DIRECCIÓN DE GESTIÓN DE TECNOLOGÍAS DE INFORMACIÓN Y COMUNICACIONES</v>
          </cell>
        </row>
        <row r="99">
          <cell r="B99">
            <v>1024463763</v>
          </cell>
          <cell r="F99" t="str">
            <v>GESTOR DE OPERACIONES</v>
          </cell>
          <cell r="G99" t="str">
            <v>DIRECCIÓN DE GESTIÓN DE LOS RECURSOS FINANCIEROS DE LA SALUD</v>
          </cell>
        </row>
        <row r="100">
          <cell r="B100">
            <v>52825355</v>
          </cell>
          <cell r="F100" t="str">
            <v>AUXILIAR ADMINISTRATIVO</v>
          </cell>
          <cell r="G100" t="str">
            <v>SUBDIRECCIÓN DE GARANTÍAS</v>
          </cell>
        </row>
        <row r="101">
          <cell r="B101">
            <v>1098713239</v>
          </cell>
          <cell r="F101" t="str">
            <v xml:space="preserve">DIRECTOR TÉCNICO </v>
          </cell>
          <cell r="G101" t="str">
            <v>DIRECCIÓN DE LIQUIDACIONES Y GARANTÍAS</v>
          </cell>
        </row>
        <row r="102">
          <cell r="B102">
            <v>79373365</v>
          </cell>
          <cell r="F102" t="str">
            <v>GESTOR DE OPERACIONES</v>
          </cell>
          <cell r="G102" t="str">
            <v>OFICINA ASESORA JURÍDICA</v>
          </cell>
        </row>
        <row r="103">
          <cell r="B103">
            <v>52777862</v>
          </cell>
          <cell r="F103" t="str">
            <v>ASESOR</v>
          </cell>
          <cell r="G103" t="str">
            <v>DIRECCIÓN GENERAL</v>
          </cell>
        </row>
        <row r="104">
          <cell r="B104">
            <v>79638866</v>
          </cell>
          <cell r="F104" t="str">
            <v>GESTOR DE OPERACIONES</v>
          </cell>
          <cell r="G104" t="str">
            <v>SUBDIRECCIÓN DE LIQUIDACIONES DEL ASEGURAMIENTO</v>
          </cell>
        </row>
        <row r="105">
          <cell r="B105">
            <v>31575313</v>
          </cell>
          <cell r="F105" t="str">
            <v>GESTOR DE OPERACIONES</v>
          </cell>
          <cell r="G105" t="str">
            <v>DIRECCIÓN DE GESTIÓN DE LOS RECURSOS FINANCIEROS DE LA SALUD</v>
          </cell>
        </row>
        <row r="106">
          <cell r="B106">
            <v>43016375</v>
          </cell>
          <cell r="F106" t="str">
            <v>GESTOR DE OPERACIONES</v>
          </cell>
          <cell r="G106" t="str">
            <v>DIRECCIÓN ADMINISTRATIVA Y FINANCIERA</v>
          </cell>
        </row>
        <row r="107">
          <cell r="B107">
            <v>1032476276</v>
          </cell>
          <cell r="F107" t="str">
            <v>ASESOR</v>
          </cell>
          <cell r="G107" t="str">
            <v>DIRECCIÓN GENERAL</v>
          </cell>
        </row>
        <row r="108">
          <cell r="B108">
            <v>53062135</v>
          </cell>
          <cell r="F108" t="str">
            <v>GESTOR DE OPERACIONES</v>
          </cell>
          <cell r="G108" t="str">
            <v>DIRECCIÓN DE OTRAS PRESTACIONES</v>
          </cell>
        </row>
        <row r="109">
          <cell r="B109">
            <v>1032404231</v>
          </cell>
          <cell r="F109" t="str">
            <v>ASESOR</v>
          </cell>
          <cell r="G109" t="str">
            <v>DIRECCIÓN GENERAL</v>
          </cell>
        </row>
        <row r="110">
          <cell r="B110">
            <v>1022431523</v>
          </cell>
          <cell r="F110" t="str">
            <v>GESTOR</v>
          </cell>
          <cell r="G110" t="str">
            <v>DIRECCIÓN DE GESTIÓN DE LOS RECURSOS FINANCIEROS DE LA SALUD</v>
          </cell>
        </row>
        <row r="111">
          <cell r="B111">
            <v>52693320</v>
          </cell>
          <cell r="F111" t="str">
            <v xml:space="preserve">SUBDIRECTOR TÉCNICO </v>
          </cell>
          <cell r="G111" t="str">
            <v>SUBDIRECCIÓN DE GARANTÍAS</v>
          </cell>
        </row>
        <row r="112">
          <cell r="B112">
            <v>6756020</v>
          </cell>
          <cell r="F112" t="str">
            <v>DIRECTOR GENERAL</v>
          </cell>
          <cell r="G112" t="str">
            <v>DIRECCIÓN GENERAL</v>
          </cell>
        </row>
        <row r="113">
          <cell r="B113">
            <v>81715532</v>
          </cell>
          <cell r="F113" t="str">
            <v>GESTOR DE OPERACIONES</v>
          </cell>
          <cell r="G113" t="str">
            <v>DIRECCIÓN ADMINISTRATIVA Y FINANCIERA</v>
          </cell>
        </row>
        <row r="114">
          <cell r="B114">
            <v>28544562</v>
          </cell>
          <cell r="F114" t="str">
            <v>GESTOR</v>
          </cell>
          <cell r="G114" t="str">
            <v>DIRECCIÓN ADMINISTRATIVA Y FINANCIERA</v>
          </cell>
        </row>
        <row r="115">
          <cell r="B115">
            <v>1016051844</v>
          </cell>
          <cell r="F115" t="str">
            <v>GESTOR DE OPERACIONES</v>
          </cell>
          <cell r="G115" t="str">
            <v>DIRECCIÓN ADMINISTRATIVA Y FINANCIERA</v>
          </cell>
        </row>
        <row r="116">
          <cell r="B116">
            <v>1015439858</v>
          </cell>
          <cell r="F116" t="str">
            <v>GESTOR DE OPERACIONES</v>
          </cell>
          <cell r="G116" t="str">
            <v>OFICINA ASESORA DE PLANEACIÓN Y CONTROL DE RIESGOS</v>
          </cell>
        </row>
        <row r="117">
          <cell r="B117">
            <v>1144147130</v>
          </cell>
          <cell r="F117" t="str">
            <v>ASESOR</v>
          </cell>
          <cell r="G117" t="str">
            <v>DIRECCIÓN GENERAL</v>
          </cell>
        </row>
        <row r="118">
          <cell r="B118">
            <v>1078366565</v>
          </cell>
          <cell r="F118" t="str">
            <v>GESTOR DE OPERACIONES</v>
          </cell>
          <cell r="G118" t="str">
            <v>DIRECCIÓN DE OTRAS PRESTACIONES</v>
          </cell>
        </row>
        <row r="119">
          <cell r="B119">
            <v>52897450</v>
          </cell>
          <cell r="F119" t="str">
            <v>GESTOR DE OPERACIONES</v>
          </cell>
          <cell r="G119" t="str">
            <v>OFICINA ASESORA JURÍDICA</v>
          </cell>
        </row>
        <row r="120">
          <cell r="B120">
            <v>52318058</v>
          </cell>
          <cell r="F120" t="str">
            <v>AUXILIAR ADMINISTRATIVO</v>
          </cell>
          <cell r="G120" t="str">
            <v>DIRECCIÓN DE GESTIÓN DE TECNOLOGÍAS DE INFORMACIÓN Y COMUNICACIONES</v>
          </cell>
        </row>
        <row r="121">
          <cell r="B121">
            <v>65780784</v>
          </cell>
          <cell r="F121" t="str">
            <v>GESTOR DE OPERACIONES</v>
          </cell>
          <cell r="G121" t="str">
            <v>SUBDIRECCIÓN DE GARANTÍAS</v>
          </cell>
        </row>
        <row r="122">
          <cell r="B122">
            <v>65799359</v>
          </cell>
          <cell r="F122" t="str">
            <v>GESTOR DE OPERACIONES</v>
          </cell>
          <cell r="G122" t="str">
            <v>SUBDIRECCIÓN DE LIQUIDACIONES DEL ASEGURAMIENTO</v>
          </cell>
        </row>
        <row r="123">
          <cell r="B123">
            <v>53139056</v>
          </cell>
          <cell r="F123" t="str">
            <v>GESTOR DE OPERACIONES</v>
          </cell>
          <cell r="G123" t="str">
            <v>DIRECCIÓN DE OTRAS PRESTACIONES</v>
          </cell>
        </row>
        <row r="124">
          <cell r="B124">
            <v>52036259</v>
          </cell>
          <cell r="F124" t="str">
            <v>AUXILIAR ADMINISTRATIVO</v>
          </cell>
          <cell r="G124" t="str">
            <v>DIRECCIÓN DE LIQUIDACIONES Y GARANTÍAS</v>
          </cell>
        </row>
        <row r="125">
          <cell r="B125">
            <v>52768770</v>
          </cell>
          <cell r="F125" t="str">
            <v>GESTOR DE OPERACIONES</v>
          </cell>
          <cell r="G125" t="str">
            <v>DIRECCIÓN DE GESTIÓN DE LOS RECURSOS FINANCIEROS DE LA SALUD</v>
          </cell>
        </row>
        <row r="126">
          <cell r="B126">
            <v>5204273</v>
          </cell>
          <cell r="F126" t="str">
            <v>GESTOR DE OPERACIONES</v>
          </cell>
          <cell r="G126" t="str">
            <v>OFICINA ASESORA JURÍDICA</v>
          </cell>
        </row>
        <row r="127">
          <cell r="B127">
            <v>1019048597</v>
          </cell>
          <cell r="F127" t="str">
            <v>GESTOR</v>
          </cell>
          <cell r="G127" t="str">
            <v>DIRECCIÓN DE GESTIÓN DE LOS RECURSOS FINANCIEROS DE LA SALUD</v>
          </cell>
        </row>
        <row r="128">
          <cell r="B128">
            <v>11318850</v>
          </cell>
          <cell r="F128" t="str">
            <v>GESTOR DE OPERACIONES</v>
          </cell>
          <cell r="G128" t="str">
            <v>DIRECCIÓN DE GESTIÓN DE TECNOLOGÍAS DE INFORMACIÓN Y COMUNICACIONES</v>
          </cell>
        </row>
        <row r="129">
          <cell r="B129">
            <v>52255929</v>
          </cell>
          <cell r="F129" t="str">
            <v xml:space="preserve">ASESOR </v>
          </cell>
          <cell r="G129" t="str">
            <v xml:space="preserve">DIRECCIÓN GENERAL </v>
          </cell>
        </row>
        <row r="130">
          <cell r="B130">
            <v>52353064</v>
          </cell>
          <cell r="F130" t="str">
            <v>GESTOR DE OPERACIONES</v>
          </cell>
          <cell r="G130" t="str">
            <v>SUBDIRECCIÓN DE LIQUIDACIONES DEL ASEGURAMIENTO</v>
          </cell>
        </row>
        <row r="131">
          <cell r="B131">
            <v>29662996</v>
          </cell>
          <cell r="F131" t="str">
            <v>GESTOR DE OPERACIONES</v>
          </cell>
          <cell r="G131" t="str">
            <v>OFICINA ASESORA DE PLANEACIÓN Y CONTROL DE RIESGOS</v>
          </cell>
        </row>
        <row r="132">
          <cell r="B132">
            <v>79359722</v>
          </cell>
          <cell r="F132" t="str">
            <v>GESTOR DE OPERACIONES</v>
          </cell>
          <cell r="G132" t="str">
            <v>DIRECCIÓN DE OTRAS PRESTACIONES</v>
          </cell>
        </row>
        <row r="133">
          <cell r="B133">
            <v>1143943602</v>
          </cell>
          <cell r="F133" t="str">
            <v>GESTOR DE OPERACIONES</v>
          </cell>
          <cell r="G133" t="str">
            <v>DIRECCIÓN DE GESTIÓN DE LOS RECURSOS FINANCIEROS DE LA SALUD</v>
          </cell>
        </row>
        <row r="134">
          <cell r="B134">
            <v>79782154</v>
          </cell>
          <cell r="F134" t="str">
            <v>GESTOR</v>
          </cell>
          <cell r="G134" t="str">
            <v>DIRECCIÓN DE LIQUIDACIONES Y GARANTÍAS</v>
          </cell>
        </row>
        <row r="135">
          <cell r="B135">
            <v>79976516</v>
          </cell>
          <cell r="F135" t="str">
            <v>ASESOR/ SUBDIRECTOR TÉCNICO (ENCARGO)</v>
          </cell>
          <cell r="G135" t="str">
            <v>DIRECCIÓN GENERAL</v>
          </cell>
        </row>
        <row r="136">
          <cell r="B136">
            <v>80009213</v>
          </cell>
          <cell r="F136" t="str">
            <v>GESTOR DE OPERACIONES</v>
          </cell>
          <cell r="G136" t="str">
            <v>SUBDIRECCIÓN DE LIQUIDACIONES DEL ASEGURAMIENTO</v>
          </cell>
        </row>
        <row r="137">
          <cell r="B137">
            <v>1049614764</v>
          </cell>
          <cell r="F137" t="str">
            <v>GESTOR DE OPERACIONES</v>
          </cell>
          <cell r="G137" t="str">
            <v>OFICINA ASESORA JURÍDICA</v>
          </cell>
        </row>
        <row r="138">
          <cell r="B138">
            <v>1026269124</v>
          </cell>
          <cell r="F138" t="str">
            <v>GESTOR DE OPERACIONES</v>
          </cell>
          <cell r="G138" t="str">
            <v>DIRECCIÓN DE GESTIÓN DE TECNOLOGÍAS DE INFORMACIÓN Y COMUNICACIONES</v>
          </cell>
        </row>
        <row r="139">
          <cell r="B139">
            <v>1010178182</v>
          </cell>
          <cell r="F139" t="str">
            <v>GESTOR DE OPERACIONES</v>
          </cell>
          <cell r="G139" t="str">
            <v>DIRECCIÓN DE OTRAS PRESTACIONES</v>
          </cell>
        </row>
        <row r="140">
          <cell r="B140">
            <v>63436556</v>
          </cell>
          <cell r="F140" t="str">
            <v>GESTOR DE OPERACIONES</v>
          </cell>
          <cell r="G140" t="str">
            <v>DIRECCIÓN ADMINISTRATIVA Y FINANCIERA</v>
          </cell>
        </row>
        <row r="141">
          <cell r="B141">
            <v>52455010</v>
          </cell>
          <cell r="F141" t="str">
            <v>GESTOR DE OPERACIONES</v>
          </cell>
          <cell r="G141" t="str">
            <v>DIRECCIÓN DE OTRAS PRESTACIONES</v>
          </cell>
        </row>
        <row r="142">
          <cell r="B142">
            <v>79126005</v>
          </cell>
          <cell r="F142" t="str">
            <v>JEFE DE OFICINA ASESORA</v>
          </cell>
          <cell r="G142" t="str">
            <v>OFICINA ASESORA JURÍDICA</v>
          </cell>
        </row>
        <row r="143">
          <cell r="B143">
            <v>51810570</v>
          </cell>
          <cell r="F143" t="str">
            <v>GESTOR DE OPERACIONES</v>
          </cell>
          <cell r="G143" t="str">
            <v>DIRECCIÓN ADMINISTRATIVA Y FINANCIERA</v>
          </cell>
        </row>
        <row r="144">
          <cell r="B144">
            <v>1026550881</v>
          </cell>
          <cell r="F144" t="str">
            <v>GESTOR DE OPERACIONES</v>
          </cell>
          <cell r="G144" t="str">
            <v>DIRECCIÓN DE OTRAS PRESTACIONES</v>
          </cell>
        </row>
        <row r="145">
          <cell r="B145">
            <v>1014242822</v>
          </cell>
          <cell r="F145" t="str">
            <v>GESTOR DE OPERACIONES</v>
          </cell>
          <cell r="G145" t="str">
            <v>OFICINA ASESORA JURÍDICA</v>
          </cell>
        </row>
        <row r="146">
          <cell r="B146">
            <v>1110561732</v>
          </cell>
          <cell r="F146" t="str">
            <v>ASESOR</v>
          </cell>
          <cell r="G146" t="str">
            <v>DIRECCIÓN GENERAL</v>
          </cell>
        </row>
        <row r="147">
          <cell r="B147">
            <v>52739632</v>
          </cell>
          <cell r="F147" t="str">
            <v>GESTOR DE OPERACIONES</v>
          </cell>
          <cell r="G147" t="str">
            <v>DIRECCIÓN DE GESTIÓN DE LOS RECURSOS FINANCIEROS DE LA SALUD</v>
          </cell>
        </row>
        <row r="148">
          <cell r="B148">
            <v>4151998</v>
          </cell>
          <cell r="F148" t="str">
            <v>GESTOR DE OPERACIONES</v>
          </cell>
          <cell r="G148" t="str">
            <v>DIRECCIÓN DE OTRAS PRESTACIONES</v>
          </cell>
        </row>
        <row r="149">
          <cell r="B149">
            <v>78735471</v>
          </cell>
          <cell r="F149" t="str">
            <v>GESTOR DE OPERACIONES</v>
          </cell>
          <cell r="G149" t="str">
            <v>DIRECCIÓN DE LIQUIDACIONES Y GARANTÍAS</v>
          </cell>
        </row>
        <row r="150">
          <cell r="B150">
            <v>36285447</v>
          </cell>
          <cell r="F150" t="str">
            <v>GESTOR DE OPERACIONES</v>
          </cell>
          <cell r="G150" t="str">
            <v>DIRECCIÓN DE GESTIÓN DE TECNOLOGÍAS DE INFORMACIÓN Y COMUNICACIONES</v>
          </cell>
        </row>
        <row r="151">
          <cell r="B151">
            <v>1075541557</v>
          </cell>
          <cell r="F151" t="str">
            <v>GESTOR DE OPERACIONES</v>
          </cell>
          <cell r="G151" t="str">
            <v>DIRECCIÓN DE GESTIÓN DE LOS RECURSOS FINANCIEROS DE LA SALUD</v>
          </cell>
        </row>
        <row r="152">
          <cell r="B152">
            <v>11004448</v>
          </cell>
          <cell r="F152" t="str">
            <v>GESTOR DE OPERACIONES</v>
          </cell>
          <cell r="G152" t="str">
            <v>SUBDIRECCIÓN DE LIQUIDACIONES DEL ASEGURAMIENTO</v>
          </cell>
        </row>
        <row r="153">
          <cell r="B153">
            <v>14253400</v>
          </cell>
          <cell r="F153" t="str">
            <v>ASESOR / SUBDIRECTOR TÉCNICO (ENCARGO)</v>
          </cell>
          <cell r="G153" t="str">
            <v>DIRECCIÓN GENERAL</v>
          </cell>
        </row>
        <row r="154">
          <cell r="B154">
            <v>52199439</v>
          </cell>
          <cell r="F154" t="str">
            <v>GESTOR DE OPERACIONES</v>
          </cell>
          <cell r="G154" t="str">
            <v>SUBDIRECCIÓN DE LIQUIDACIONES DEL ASEGURAMIENTO</v>
          </cell>
        </row>
        <row r="155">
          <cell r="B155">
            <v>80097261</v>
          </cell>
          <cell r="F155" t="str">
            <v>GESTOR DE OPERACIONES</v>
          </cell>
          <cell r="G155" t="str">
            <v>DIRECCIÓN DE GESTIÓN DE TECNOLOGÍAS DE INFORMACIÓN Y COMUNICACIONES</v>
          </cell>
        </row>
        <row r="156">
          <cell r="B156">
            <v>40048243</v>
          </cell>
          <cell r="F156" t="str">
            <v xml:space="preserve">DIRECTOR TÉCNICO </v>
          </cell>
          <cell r="G156" t="str">
            <v>DIRECCIÓN DE GESTIÓN DE LOS RECURSOS FINANCIEROS DE LA SALUD</v>
          </cell>
        </row>
        <row r="157">
          <cell r="B157">
            <v>79741615</v>
          </cell>
          <cell r="F157" t="str">
            <v>GESTOR DE OPERACIONES</v>
          </cell>
          <cell r="G157" t="str">
            <v>DIRECCIÓN DE GESTIÓN DE LOS RECURSOS FINANCIEROS DE LA SALUD</v>
          </cell>
        </row>
        <row r="158">
          <cell r="B158">
            <v>70663332</v>
          </cell>
          <cell r="F158" t="str">
            <v>GESTOR DE OPERACIONES</v>
          </cell>
          <cell r="G158" t="str">
            <v>DIRECCIÓN DE OTRAS PRESTACIONES</v>
          </cell>
        </row>
        <row r="159">
          <cell r="B159">
            <v>52545497</v>
          </cell>
          <cell r="F159" t="str">
            <v>GESTOR DE OPERACIONES</v>
          </cell>
          <cell r="G159" t="str">
            <v>DIRECCIÓN DE GESTIÓN DE LOS RECURSOS FINANCIEROS DE LA SALUD</v>
          </cell>
        </row>
        <row r="160">
          <cell r="B160">
            <v>1014183716</v>
          </cell>
          <cell r="F160" t="str">
            <v>GESTOR DE OPERACIONES</v>
          </cell>
          <cell r="G160" t="str">
            <v>DIRECCIÓN DE GESTIÓN DE LOS RECURSOS FINANCIEROS DE LA SALUD</v>
          </cell>
        </row>
        <row r="161">
          <cell r="B161">
            <v>51791922</v>
          </cell>
          <cell r="F161" t="str">
            <v>GESTOR DE OPERACIONES</v>
          </cell>
          <cell r="G161" t="str">
            <v>OFICINA ASESORA JURÍDICA</v>
          </cell>
        </row>
        <row r="162">
          <cell r="B162">
            <v>1013597193</v>
          </cell>
          <cell r="F162" t="str">
            <v>GESTOR DE OPERACIONES</v>
          </cell>
          <cell r="G162" t="str">
            <v>DIRECCIÓN DE GESTIÓN DE LOS RECURSOS FINANCIEROS DE LA SALUD</v>
          </cell>
        </row>
        <row r="163">
          <cell r="B163">
            <v>79657405</v>
          </cell>
          <cell r="F163" t="str">
            <v xml:space="preserve">DIRECTOR TÉCNICO </v>
          </cell>
          <cell r="G163" t="str">
            <v>DIRECCIÓN DE GESTIÓN DE TECNOLOGÍAS DE INFORMACIÓN Y COMUNICACIONES</v>
          </cell>
        </row>
        <row r="164">
          <cell r="B164">
            <v>74186851</v>
          </cell>
          <cell r="F164" t="str">
            <v>GESTOR DE OPERACIONES</v>
          </cell>
          <cell r="G164" t="str">
            <v>OFICINA ASESORA JURÍDICA</v>
          </cell>
        </row>
        <row r="165">
          <cell r="B165">
            <v>39628355</v>
          </cell>
          <cell r="F165" t="str">
            <v>GESTOR DE OPERACIONES</v>
          </cell>
          <cell r="G165" t="str">
            <v>DIRECCIÓN DE GESTIÓN DE LOS RECURSOS FINANCIEROS DE LA SALUD</v>
          </cell>
        </row>
        <row r="166">
          <cell r="B166">
            <v>1085251376</v>
          </cell>
          <cell r="F166" t="str">
            <v>GESTOR DE OPERACIONES</v>
          </cell>
          <cell r="G166" t="str">
            <v>OFICINA ASESORA JURÍDICA</v>
          </cell>
        </row>
        <row r="167">
          <cell r="B167">
            <v>1068976502</v>
          </cell>
          <cell r="F167" t="str">
            <v>GESTOR DE OPERACIONES</v>
          </cell>
          <cell r="G167" t="str">
            <v>DIRECCIÓN DE LIQUIDACIONES Y GARANTÍAS</v>
          </cell>
        </row>
        <row r="168">
          <cell r="B168">
            <v>79943655</v>
          </cell>
          <cell r="F168" t="str">
            <v>GESTOR DE OPERACIONES</v>
          </cell>
          <cell r="G168" t="str">
            <v>DIRECCIÓN DE GESTIÓN DE TECNOLOGÍAS DE INFORMACIÓN Y COMUNICACIONES</v>
          </cell>
        </row>
        <row r="169">
          <cell r="B169">
            <v>79139672</v>
          </cell>
          <cell r="F169" t="str">
            <v>GESTOR DE OPERACIONES</v>
          </cell>
          <cell r="G169" t="str">
            <v>SUBDIRECCIÓN DE LIQUIDACIONES DEL ASEGURAMIENTO</v>
          </cell>
        </row>
        <row r="170">
          <cell r="B170">
            <v>11439696</v>
          </cell>
          <cell r="F170" t="str">
            <v>GESTOR DE OPERACIONES</v>
          </cell>
          <cell r="G170" t="str">
            <v>DIRECCIÓN DE GESTIÓN DE TECNOLOGÍAS DE INFORMACIÓN Y COMUNICACIONES</v>
          </cell>
        </row>
        <row r="171">
          <cell r="B171">
            <v>29532349</v>
          </cell>
          <cell r="F171" t="str">
            <v>GESTOR DE OPERACIONES</v>
          </cell>
          <cell r="G171" t="str">
            <v>DIRECCIÓN ADMINISTRATIVA Y FINANCIERA</v>
          </cell>
        </row>
        <row r="172">
          <cell r="B172">
            <v>52394998</v>
          </cell>
          <cell r="F172" t="str">
            <v>GESTOR DE OPERACIONES</v>
          </cell>
          <cell r="G172" t="str">
            <v>DIRECCIÓN DE OTRAS PRESTACIONES</v>
          </cell>
        </row>
        <row r="173">
          <cell r="B173">
            <v>52858702</v>
          </cell>
          <cell r="F173" t="str">
            <v>GESTOR DE OPERACIONES</v>
          </cell>
          <cell r="G173" t="str">
            <v>SUBDIRECCIÓN DE LIQUIDACIONES DEL ASEGURAMIENTO</v>
          </cell>
        </row>
        <row r="174">
          <cell r="B174">
            <v>1010177030</v>
          </cell>
          <cell r="F174" t="str">
            <v>GESTOR DE OPERACIONES</v>
          </cell>
          <cell r="G174" t="str">
            <v>SUBDIRECCIÓN DE LIQUIDACIONES DEL ASEGURAMIENTO</v>
          </cell>
        </row>
        <row r="175">
          <cell r="B175">
            <v>1014203321</v>
          </cell>
          <cell r="F175" t="str">
            <v>GESTOR DE OPERACIONES</v>
          </cell>
          <cell r="G175" t="str">
            <v>DIRECCIÓN ADMINISTRATIVA Y FINANCIERA</v>
          </cell>
        </row>
        <row r="176">
          <cell r="B176">
            <v>1069719379</v>
          </cell>
          <cell r="F176" t="str">
            <v>AUXILIAR ADMINISTRATIVO</v>
          </cell>
          <cell r="G176" t="str">
            <v>DIRECCIÓN GENERAL / DIRECCIÓN OTRAS PRESTACIONES</v>
          </cell>
        </row>
        <row r="177">
          <cell r="B177">
            <v>79893474</v>
          </cell>
          <cell r="F177" t="str">
            <v>GESTOR DE OPERACIONES</v>
          </cell>
          <cell r="G177" t="str">
            <v>DIRECCIÓN DE LIQUIDACIONES Y GARANTÍAS</v>
          </cell>
        </row>
        <row r="178">
          <cell r="B178">
            <v>5825404</v>
          </cell>
          <cell r="F178" t="str">
            <v>GESTOR DE OPERACIONES</v>
          </cell>
          <cell r="G178" t="str">
            <v>DIRECCIÓN DE GESTIÓN DE LOS RECURSOS FINANCIEROS DE LA SALUD</v>
          </cell>
        </row>
        <row r="179">
          <cell r="B179">
            <v>1030693121</v>
          </cell>
          <cell r="F179" t="str">
            <v>TECNICO ADMINISTRATIVO</v>
          </cell>
          <cell r="G179" t="str">
            <v>DIRECCIÓN DE OTRAS PRESTACIONES / DIRECCIÓN GENERAL</v>
          </cell>
        </row>
        <row r="180">
          <cell r="B180">
            <v>86051326</v>
          </cell>
          <cell r="F180" t="str">
            <v>GESTOR DE OPERACIONES</v>
          </cell>
          <cell r="G180" t="str">
            <v>DIRECCIÓN DE GESTIÓN DE TECNOLOGÍAS DE INFORMACIÓN Y COMUNICACIONES</v>
          </cell>
        </row>
        <row r="181">
          <cell r="B181">
            <v>80409100</v>
          </cell>
          <cell r="F181" t="str">
            <v xml:space="preserve">AUXILIAR ADMINISTRATIVO  </v>
          </cell>
          <cell r="G181" t="str">
            <v>OFICINA DE CONTROL INTERNO</v>
          </cell>
        </row>
        <row r="182">
          <cell r="B182">
            <v>1026261054</v>
          </cell>
          <cell r="F182" t="str">
            <v>GESTOR DE OPERACIONES</v>
          </cell>
          <cell r="G182" t="str">
            <v>DIRECCIÓN ADMINISTRATIVA Y FINANCIERA</v>
          </cell>
        </row>
        <row r="183">
          <cell r="B183">
            <v>80164550</v>
          </cell>
          <cell r="F183" t="str">
            <v>GESTOR DE OPERACIONES</v>
          </cell>
          <cell r="G183" t="str">
            <v>DIRECCIÓN DE LIQUIDACIONES Y GARANTÍAS</v>
          </cell>
        </row>
        <row r="184">
          <cell r="B184">
            <v>28977244</v>
          </cell>
          <cell r="F184" t="str">
            <v>GESTOR DE OPERACIONES</v>
          </cell>
          <cell r="G184" t="str">
            <v>OFICINA DE CONTROL INTERNO</v>
          </cell>
        </row>
        <row r="185">
          <cell r="B185">
            <v>1024497489</v>
          </cell>
          <cell r="F185" t="str">
            <v>AUXILIAR ADMINISTRATIVO</v>
          </cell>
          <cell r="G185" t="str">
            <v>OFICINA ASESORA JURÍDICA</v>
          </cell>
        </row>
        <row r="186">
          <cell r="B186">
            <v>1078367163</v>
          </cell>
          <cell r="F186" t="str">
            <v>ASESOR</v>
          </cell>
          <cell r="G186" t="str">
            <v>DIRECCIÓN GENERAL</v>
          </cell>
        </row>
        <row r="187">
          <cell r="B187">
            <v>79455950</v>
          </cell>
          <cell r="F187" t="str">
            <v>GESTOR DE OPERACIONES</v>
          </cell>
          <cell r="G187" t="str">
            <v>DIRECCIÓN DE GESTIÓN DE LOS RECURSOS FINANCIEROS DE LA SALUD</v>
          </cell>
        </row>
        <row r="188">
          <cell r="B188">
            <v>51983216</v>
          </cell>
          <cell r="F188" t="str">
            <v>GESTOR DE OPERACIONES</v>
          </cell>
          <cell r="G188" t="str">
            <v>SUBDIRECCIÓN DE LIQUIDACIONES DEL ASEGURAMIENTO</v>
          </cell>
        </row>
        <row r="189">
          <cell r="B189">
            <v>4914146</v>
          </cell>
          <cell r="F189" t="str">
            <v>GESTOR DE OPERACIONES</v>
          </cell>
          <cell r="G189" t="str">
            <v>DIRECCIÓN ADMINISTRATIVA Y FINANCIERA</v>
          </cell>
        </row>
        <row r="190">
          <cell r="B190">
            <v>41902646</v>
          </cell>
          <cell r="F190" t="str">
            <v>GESTOR DE OPERACIONES</v>
          </cell>
          <cell r="G190" t="str">
            <v>DIRECCIÓN ADMINISTRATIVA Y FINANCIERA</v>
          </cell>
        </row>
        <row r="191">
          <cell r="B191">
            <v>79455491</v>
          </cell>
          <cell r="F191" t="str">
            <v xml:space="preserve">ASESOR </v>
          </cell>
          <cell r="G191" t="str">
            <v>DIRECCIÓN GENERAL</v>
          </cell>
        </row>
        <row r="192">
          <cell r="B192">
            <v>53029962</v>
          </cell>
          <cell r="F192" t="str">
            <v>GESTOR DE OPERACIONES</v>
          </cell>
          <cell r="G192" t="str">
            <v>SUBDIRECCIÓN DE LIQUIDACIONES DEL ASEGURAMIENTO</v>
          </cell>
        </row>
        <row r="193">
          <cell r="B193">
            <v>52758406</v>
          </cell>
          <cell r="F193" t="str">
            <v>GESTOR DE OPERACIONES</v>
          </cell>
          <cell r="G193" t="str">
            <v>OFICINA ASESORA DE PLANEACIÓN Y CONTROL DE RIESGOS</v>
          </cell>
        </row>
        <row r="194">
          <cell r="B194">
            <v>11275886</v>
          </cell>
          <cell r="F194" t="str">
            <v>GESTOR DE OPERACIONES</v>
          </cell>
          <cell r="G194" t="str">
            <v>DIRECCIÓN DE OTRAS PRESTACIONES</v>
          </cell>
        </row>
        <row r="195">
          <cell r="B195">
            <v>53017089</v>
          </cell>
          <cell r="F195" t="str">
            <v>GESTOR DE OPERACIONES</v>
          </cell>
          <cell r="G195" t="str">
            <v>OFICINA ASESORA JURÍDICA</v>
          </cell>
        </row>
        <row r="196">
          <cell r="B196">
            <v>19492909</v>
          </cell>
          <cell r="F196" t="str">
            <v>ASESOR</v>
          </cell>
          <cell r="G196" t="str">
            <v>DIRECCIÓN GENERAL</v>
          </cell>
        </row>
        <row r="197">
          <cell r="B197">
            <v>52315691</v>
          </cell>
          <cell r="F197" t="str">
            <v>GESTOR DE OPERACIONES</v>
          </cell>
          <cell r="G197" t="str">
            <v>SUBDIRECCIÓN DE LIQUIDACIONES DEL ASEGURAMIENTO</v>
          </cell>
        </row>
        <row r="198">
          <cell r="B198">
            <v>80215478</v>
          </cell>
          <cell r="F198" t="str">
            <v>GESTOR DE OPERACIONES</v>
          </cell>
          <cell r="G198" t="str">
            <v>DIRECCIÓN DE GESTIÓN DE TECNOLOGÍAS DE INFORMACIÓN Y COMUNICACIONES</v>
          </cell>
        </row>
        <row r="199">
          <cell r="B199">
            <v>1024482790</v>
          </cell>
          <cell r="F199" t="str">
            <v>GESTOR DE OPERACIONES</v>
          </cell>
          <cell r="G199" t="str">
            <v>DIRECCIÓN DE GESTIÓN DE LOS RECURSOS FINANCIEROS DE LA SALUD</v>
          </cell>
        </row>
        <row r="200">
          <cell r="B200">
            <v>53006387</v>
          </cell>
          <cell r="F200" t="str">
            <v>GESTOR DE OPERACIONES</v>
          </cell>
          <cell r="G200" t="str">
            <v>SUBDIRECCIÓN DE GARANTÍAS</v>
          </cell>
        </row>
        <row r="201">
          <cell r="B201">
            <v>1023957053</v>
          </cell>
          <cell r="F201" t="str">
            <v>TECNICO ADMINISTRATIVO</v>
          </cell>
          <cell r="G201" t="str">
            <v>DIRECCIÓN GENERAL</v>
          </cell>
        </row>
        <row r="202">
          <cell r="B202">
            <v>52319110</v>
          </cell>
          <cell r="F202" t="str">
            <v>AUXILIAR ADMINISTRATIVO</v>
          </cell>
          <cell r="G202" t="str">
            <v>SUBDIRECCIÓN DE LIQUIDACIONES DEL ASEGURAMIENTO</v>
          </cell>
        </row>
        <row r="203">
          <cell r="B203">
            <v>53121904</v>
          </cell>
          <cell r="F203" t="str">
            <v>GESTOR DE OPERACIONES</v>
          </cell>
          <cell r="G203" t="str">
            <v>SUBDIRECCIÓN DE LIQUIDACIONES DEL ASEGURAMIENTO</v>
          </cell>
        </row>
        <row r="204">
          <cell r="B204">
            <v>52761826</v>
          </cell>
          <cell r="F204" t="str">
            <v>GESTOR DE OPERACIONES</v>
          </cell>
          <cell r="G204" t="str">
            <v>DIRECCIÓN ADMINISTRATIVA Y FINANCIERA</v>
          </cell>
        </row>
        <row r="205">
          <cell r="B205">
            <v>79541341</v>
          </cell>
          <cell r="F205" t="str">
            <v>GESTOR DE OPERACIONES</v>
          </cell>
          <cell r="G205" t="str">
            <v>DIRECCIÓN DE OTRAS PRESTACIONES</v>
          </cell>
        </row>
        <row r="206">
          <cell r="B206">
            <v>52454760</v>
          </cell>
          <cell r="F206" t="str">
            <v>GESTOR DE OPERACIONES</v>
          </cell>
          <cell r="G206" t="str">
            <v>OFICINA ASESORA DE PLANEACIÓN Y CONTROL DE RIESGOS</v>
          </cell>
        </row>
        <row r="207">
          <cell r="B207">
            <v>52812336</v>
          </cell>
          <cell r="F207" t="str">
            <v>AUXILIAR ADMINISTRATIVO</v>
          </cell>
          <cell r="G207" t="str">
            <v>OFICINA ASESORA JURÍDICA</v>
          </cell>
        </row>
        <row r="208">
          <cell r="B208">
            <v>52356252</v>
          </cell>
          <cell r="F208" t="str">
            <v>GESTOR DE OPERACIONES</v>
          </cell>
          <cell r="G208" t="str">
            <v>SUBDIRECCIÓN DE LIQUIDACIONES DEL ASEGURAMIENTO</v>
          </cell>
        </row>
        <row r="209">
          <cell r="B209">
            <v>19259792</v>
          </cell>
          <cell r="F209" t="str">
            <v>GESTOR DE OPERACIONES</v>
          </cell>
          <cell r="G209" t="str">
            <v>DIRECCIÓN DE GESTIÓN DE TECNOLOGÍAS DE INFORMACIÓN Y COMUNICACIONES</v>
          </cell>
        </row>
        <row r="210">
          <cell r="B210"/>
          <cell r="F210"/>
          <cell r="G210"/>
        </row>
        <row r="211">
          <cell r="B211"/>
          <cell r="F211"/>
          <cell r="G211"/>
        </row>
        <row r="212">
          <cell r="B212"/>
          <cell r="F212"/>
          <cell r="G212"/>
        </row>
        <row r="213">
          <cell r="B213"/>
          <cell r="F213"/>
          <cell r="G213"/>
        </row>
        <row r="214">
          <cell r="B214"/>
          <cell r="F214"/>
          <cell r="G214"/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79D0A7-7AE7-486D-A3A9-29455ABEA7E7}" name="Tabla_PIC" displayName="Tabla_PIC" ref="A3:M18" totalsRowShown="0" headerRowDxfId="185" dataDxfId="184" tableBorderDxfId="183">
  <autoFilter ref="A3:M18" xr:uid="{CD79D0A7-7AE7-486D-A3A9-29455ABEA7E7}"/>
  <tableColumns count="13">
    <tableColumn id="1" xr3:uid="{064B5465-B615-47C4-8D8C-C0A4EB6C85BB}" name="Ítem" dataDxfId="182"/>
    <tableColumn id="2" xr3:uid="{DA54017F-3081-4830-A12D-AE99889D51F0}" name="Eje" dataDxfId="181"/>
    <tableColumn id="3" xr3:uid="{525E2490-63CE-45CF-86F7-C0938C2D4CD1}" name=" Actividad Académica" dataDxfId="180"/>
    <tableColumn id="13" xr3:uid="{060F1DF3-3202-495A-A22E-8459DAEA17DF}" name="Valor" dataDxfId="179" dataCellStyle="Moneda"/>
    <tableColumn id="4" xr3:uid="{C6095D34-471F-40EE-B305-A1EDC5716251}" name="Tipología" dataDxfId="178"/>
    <tableColumn id="5" xr3:uid="{C5CC7F97-BDDB-4216-A9D6-478FC0A06DDD}" name="Docentes" dataDxfId="177"/>
    <tableColumn id="6" xr3:uid="{275134F9-3664-442A-A45F-CC8E9C215349}" name="No. Participantes" dataDxfId="176"/>
    <tableColumn id="7" xr3:uid="{E2B0DDE9-77F9-446D-A030-F3EB610A025E}" name="No. Certificados" dataDxfId="175"/>
    <tableColumn id="8" xr3:uid="{EA80A34B-745D-4FA1-AD0A-C37DDF6C8C43}" name="No. Horas_x000a_P: Presencial_x000a_V: Virtual" dataDxfId="174"/>
    <tableColumn id="9" xr3:uid="{7855EBEC-E84F-4F45-986A-3DBE471A321B}" name="No. Sesiones_x000a_P: Presencial_x000a_V: Virtual" dataDxfId="173"/>
    <tableColumn id="10" xr3:uid="{CC47A004-5A01-4AB8-87B5-0EBC1979CF8F}" name="Fecha de Inicio" dataDxfId="172"/>
    <tableColumn id="11" xr3:uid="{92AE833F-FB37-4798-8BA3-2A0E23FFE787}" name="Fecha de Terminación" dataDxfId="171"/>
    <tableColumn id="12" xr3:uid="{3F431C5C-5105-42A7-ABE1-8F12878EABB6}" name="Horario_x000a_P: Presencial_x000a_V: Virtual" dataDxfId="170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59D645-993E-4095-B4F0-CB531F71F815}" name="Tabla_AtnDiferencial" displayName="Tabla_AtnDiferencial" ref="A12:BA20" totalsRowShown="0" headerRowDxfId="169" dataDxfId="168" tableBorderDxfId="167">
  <autoFilter ref="A12:BA20" xr:uid="{9C59D645-993E-4095-B4F0-CB531F71F815}"/>
  <tableColumns count="53">
    <tableColumn id="1" xr3:uid="{B5662FB4-191F-4077-9477-FE68DA2D8A57}" name="NO" dataDxfId="166"/>
    <tableColumn id="2" xr3:uid="{DB08A579-1EEF-40D3-B8E5-504FA1B6AD6E}" name="NOMBRE Y APELLIDOS" dataDxfId="165"/>
    <tableColumn id="3" xr3:uid="{D393A139-488A-4428-91B1-5C7A216CE07B}" name="DOCUMENTO" dataDxfId="164" dataCellStyle="Millares"/>
    <tableColumn id="4" xr3:uid="{B591EC9E-FCC6-44FD-BBB0-CA79785C0FEC}" name="TIPO DE VINCULACIÓN CON LA ENTIDAD" dataDxfId="163"/>
    <tableColumn id="5" xr3:uid="{77166577-4800-4374-ADA7-8146F97E9EBB}" name="ÁREA A LA QUE PERTENECE" dataDxfId="162"/>
    <tableColumn id="6" xr3:uid="{9124F4DB-E08F-4EC8-B7AA-A0F4CF76F1DE}" name="NOMBRE DEL CARGO" dataDxfId="161"/>
    <tableColumn id="7" xr3:uid="{361AA9CF-DCBE-4CFE-A40F-393811A531C4}" name="1" dataDxfId="160"/>
    <tableColumn id="8" xr3:uid="{E6CC5315-DDBC-4668-A373-69220D154EBE}" name="2" dataDxfId="159"/>
    <tableColumn id="9" xr3:uid="{50A26C04-17F6-4C54-B196-A2C5A0EFF1BB}" name="3" dataDxfId="158"/>
    <tableColumn id="10" xr3:uid="{2C59F30A-71E8-4D07-8FAE-C99B8C706068}" name="4" dataDxfId="157"/>
    <tableColumn id="11" xr3:uid="{B79CC05B-6942-42B7-A84A-9A52AFCA8873}" name="5" dataDxfId="156"/>
    <tableColumn id="12" xr3:uid="{57E1E6FF-BF59-496A-A7C8-FB135447776B}" name="6" dataDxfId="155"/>
    <tableColumn id="13" xr3:uid="{D8415BF6-7DBD-4DDE-BF56-2E8C2B7F68A9}" name="7" dataDxfId="154"/>
    <tableColumn id="14" xr3:uid="{A908E5C7-1384-4F92-B6FC-D7D2CDA8EDF0}" name="8" dataDxfId="153"/>
    <tableColumn id="15" xr3:uid="{CE4BF7B1-0BC5-431D-A907-CD7BBC2AE4C7}" name="9" dataDxfId="152"/>
    <tableColumn id="16" xr3:uid="{007919B1-4008-4979-BBDE-841B7EA77F39}" name="10" dataDxfId="151"/>
    <tableColumn id="17" xr3:uid="{FA7ABB85-975F-4E1E-B912-A8FFF045B371}" name="11" dataDxfId="150"/>
    <tableColumn id="18" xr3:uid="{C4886940-EDF8-4F17-8667-015B2464DA29}" name="12" dataDxfId="149"/>
    <tableColumn id="19" xr3:uid="{401D6FD7-28D1-45EB-AE77-78BB3EE70135}" name="13" dataDxfId="148"/>
    <tableColumn id="20" xr3:uid="{4DBE9AD9-AFA3-4E85-8C52-71E6CA36F144}" name="14" dataDxfId="147"/>
    <tableColumn id="21" xr3:uid="{C24B0B23-04B6-4497-9C55-B1592E6DDF6A}" name="HORAS ACUMULADAS" dataDxfId="146">
      <calculatedColumnFormula>IF(B13&lt;&gt;"",SUM(G13:T13),"")</calculatedColumnFormula>
    </tableColumn>
    <tableColumn id="22" xr3:uid="{63B4EBB9-04DD-46DD-86E9-609905A30919}" name="SESIONES ASISTIDAS" dataDxfId="145">
      <calculatedColumnFormula>IF(B13&lt;&gt;"",COUNTA(G13:T13),"")</calculatedColumnFormula>
    </tableColumn>
    <tableColumn id="23" xr3:uid="{93DA61C1-C4EA-41A7-B831-0D6DFDED4B8D}" name="% ASISTENCIA" dataDxfId="144">
      <calculatedColumnFormula>IF(B13&lt;&gt;"",SUM(G13:T13)/32,"")</calculatedColumnFormula>
    </tableColumn>
    <tableColumn id="24" xr3:uid="{B6FF0210-3ACD-4ACE-BDEE-C41E0335CAB6}" name="¿CUMPLE ASISTENCIA?" dataDxfId="143">
      <calculatedColumnFormula>IF(W13="","",IF(W13&gt;=80%,"Certificado","No certificado"))</calculatedColumnFormula>
    </tableColumn>
    <tableColumn id="25" xr3:uid="{F1D4E608-9A49-4CA0-A6E1-F90ADCE32077}" name="PRE" dataDxfId="142"/>
    <tableColumn id="26" xr3:uid="{2FDF3BF2-1B91-498B-B534-286BB5CAD6CD}" name="POST" dataDxfId="141"/>
    <tableColumn id="27" xr3:uid="{B0CA19CC-FBF2-420D-9B09-AFA27F4C36DE}" name="FINAL" dataDxfId="140"/>
    <tableColumn id="28" xr3:uid="{77F75AE6-09F3-415A-9F66-61E23AD7CEC7}" name="APROBACIÓN" dataDxfId="139">
      <calculatedColumnFormula>IF(B13="","",IF(AND(W13&gt;=0.8,AA13&gt;=3),"Aprobado","No aprobado"))</calculatedColumnFormula>
    </tableColumn>
    <tableColumn id="29" xr3:uid="{C6485CA6-B677-40F5-BD92-24DD7B7DFDD3}" name="1,1 El cumplimiento de los objetivos y desarrollo del contenido de la actividad fue" dataDxfId="138"/>
    <tableColumn id="30" xr3:uid="{532BE444-0BEE-4C13-8B20-6AEC6A14FFAC}" name="1,2 Actualización en el área" dataDxfId="137"/>
    <tableColumn id="31" xr3:uid="{5C017B3E-ACB2-47F9-9E54-39CC16DBA6BE}" name="1,3 Capacidad para comunicar ideas" dataDxfId="136"/>
    <tableColumn id="32" xr3:uid="{EAE2DD36-E390-4B5B-852E-73351508F799}" name="1,4 Pertinencia de la metodología empleada" dataDxfId="135"/>
    <tableColumn id="33" xr3:uid="{536C3643-B849-4CD0-9310-FA725329E272}" name="1,5 Cumplimiento de los horarios previstos en el cronograma de la actividad" dataDxfId="134"/>
    <tableColumn id="34" xr3:uid="{8459281D-5CAC-41FC-BED2-6A87DDED3813}" name="1,6 Conocimiento y dominio de los temas" dataDxfId="133"/>
    <tableColumn id="35" xr3:uid="{47034B1C-DEC2-4711-87C1-1CF2CFB1C2B0}" name="2,1 Apoyo al conferencista y asistentes en las tareas previstas en la actividad" dataDxfId="132"/>
    <tableColumn id="36" xr3:uid="{D1E5F70D-83C3-4A67-B811-CFAA43F8A8EC}" name="2,2 Acompañamiento en cada una de las sesiones de la actividad" dataDxfId="131"/>
    <tableColumn id="37" xr3:uid="{6D72EB6A-B069-4C99-927D-A4192A3197B6}" name="2,3 Disposición y actitud frente a los asistentes" dataDxfId="130"/>
    <tableColumn id="38" xr3:uid="{16D4F376-6AD4-422F-84E2-E7DE8071A7A1}" name="3,1 Contenido del material suministrado" dataDxfId="129"/>
    <tableColumn id="39" xr3:uid="{423A4A66-C5FA-4553-9572-1792D99EDAEB}" name="3,2 Presentación del material suministrado" dataDxfId="128"/>
    <tableColumn id="40" xr3:uid="{125DD03C-E676-46F8-8151-CE718EB96182}" name="3,3 Atención de refrigerios" dataDxfId="127"/>
    <tableColumn id="41" xr3:uid="{A737EDEF-31B1-48E7-A58D-77DAEDE52C15}" name="3,4 Instalaciones Físicas" dataDxfId="126"/>
    <tableColumn id="42" xr3:uid="{D8A407C2-C097-48A0-9511-517BE5BB3AC5}" name="3,5  Ayudas audiovisuales" dataDxfId="125"/>
    <tableColumn id="43" xr3:uid="{3F686636-1910-4F32-ADEA-5EE23770CA37}" name="3,6 Atención en el proceso de inscripción" dataDxfId="124"/>
    <tableColumn id="44" xr3:uid="{3DCD9B90-FCDC-4DB0-9774-722DB298ABBD}" name="3,7 Disponibilidad del aula virtual" dataDxfId="123"/>
    <tableColumn id="45" xr3:uid="{137C615E-B25F-41CC-AB9A-ED19AE41561A}" name="3,8 Contacto con el docente" dataDxfId="122"/>
    <tableColumn id="46" xr3:uid="{96459596-2F8A-4334-B597-84336FE83FDA}" name="3,9 Pertinencia del material dispuesto en la plataforma" dataDxfId="121"/>
    <tableColumn id="47" xr3:uid="{0B32C460-6058-4682-9D98-9AFE788B0911}" name="3,10 Manejo de las herramientas digitales" dataDxfId="120"/>
    <tableColumn id="48" xr3:uid="{3FF1F6C9-90EF-4688-8667-72FF82AD8F2A}" name="4,1 ¿Qué temas considera necesarios profundizar en este actividad?" dataDxfId="119"/>
    <tableColumn id="49" xr3:uid="{A3905478-0E2B-4D59-951B-2D14430D86AA}" name="4,2 ¿Qué recomendaciones haría para mejorar las actividades?" dataDxfId="118"/>
    <tableColumn id="50" xr3:uid="{3CD5AB4B-7A0C-4B88-818B-0A9E4443B474}" name="4,3 ¿En qué áreas desearía obtener información y/o actualización a través de las actividades de Educación Continua y Permanente?" dataDxfId="117"/>
    <tableColumn id="51" xr3:uid="{85E30F7D-06AD-4DF4-BBE4-D5EADFC6B272}" name="4,4 ¿Asistiría a otra actividad programada por nosotros?" dataDxfId="116"/>
    <tableColumn id="52" xr3:uid="{6A3DD845-5CAB-420B-A70B-1B6376F180DB}" name="4,5 ¿La actividad fue satisfactoria?" dataDxfId="115"/>
    <tableColumn id="53" xr3:uid="{ECD5E560-57FF-4EBF-B0B5-ED75558ED8BB}" name="Promedio" dataDxfId="114">
      <calculatedColumnFormula>AVERAGE(Tabla_AtnDiferencial[[#This Row],[1,1 El cumplimiento de los objetivos y desarrollo del contenido de la actividad fue]:[4,5 ¿La actividad fue satisfactoria?]])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610E93-8EB5-4C60-B178-7261776A1E4C}" name="Tabla_ComAsertiva" displayName="Tabla_ComAsertiva" ref="A12:BB23" totalsRowShown="0" headerRowDxfId="113" dataDxfId="112" tableBorderDxfId="111">
  <autoFilter ref="A12:BB23" xr:uid="{B5610E93-8EB5-4C60-B178-7261776A1E4C}"/>
  <tableColumns count="54">
    <tableColumn id="1" xr3:uid="{52345EDD-A7AF-402B-9B4A-56C2A1E3F841}" name="NO" dataDxfId="110"/>
    <tableColumn id="2" xr3:uid="{BA3038D6-D018-40ED-94D5-BF140C3CF7F2}" name="NOMBRE Y APELLIDOS" dataDxfId="109"/>
    <tableColumn id="3" xr3:uid="{7991F0B2-A8BF-4101-8FBE-924E3C0B0440}" name="DOCUMENTO" dataDxfId="108" dataCellStyle="Millares"/>
    <tableColumn id="4" xr3:uid="{DCD0BC13-9BD6-40F2-9DB2-C64219187893}" name="TIPO DE VINCULACIÓN CON LA ENTIDAD" dataDxfId="107"/>
    <tableColumn id="5" xr3:uid="{F9C12665-EF65-42AE-AB8A-9E04136C5F8C}" name="ÁREA A LA QUE PERTENECE" dataDxfId="106"/>
    <tableColumn id="6" xr3:uid="{7F1CEA0D-3C8C-452C-A462-316DC79BF382}" name="NOMBRE DEL CARGO" dataDxfId="105"/>
    <tableColumn id="7" xr3:uid="{3E21177A-42BA-4BCC-9823-8EB650C6BF6A}" name="1" dataDxfId="104"/>
    <tableColumn id="8" xr3:uid="{EF8E8205-C1BC-426F-BC08-D62E1933BF6C}" name="2" dataDxfId="103"/>
    <tableColumn id="9" xr3:uid="{E32058F5-0701-4B0E-9290-70DBF46EF5A6}" name="3" dataDxfId="102"/>
    <tableColumn id="10" xr3:uid="{077C1854-6D7A-4E9D-8434-DDD1BC8A47C7}" name="4" dataDxfId="101"/>
    <tableColumn id="11" xr3:uid="{49FD81F6-14B6-440B-8774-502152EB9DDA}" name="5" dataDxfId="100"/>
    <tableColumn id="12" xr3:uid="{6045D12E-A6B1-4053-9FD2-7DE42E2CDEC4}" name="6" dataDxfId="99"/>
    <tableColumn id="13" xr3:uid="{24997DCD-C6E1-46F3-BCE0-A677EDF80708}" name="7" dataDxfId="98"/>
    <tableColumn id="14" xr3:uid="{BA23EF4D-48F9-4D90-A681-FB01ED27A8F6}" name="8" dataDxfId="97"/>
    <tableColumn id="15" xr3:uid="{5B2ECB0C-D5D0-491A-A062-4D5E0B897582}" name="9" dataDxfId="96"/>
    <tableColumn id="16" xr3:uid="{789B9CE5-D23C-447A-96C6-1E8F3AA41749}" name="10" dataDxfId="95"/>
    <tableColumn id="17" xr3:uid="{60289777-ABCB-42C8-812A-1C2688570D10}" name="11" dataDxfId="94"/>
    <tableColumn id="18" xr3:uid="{3B037851-C7DA-4457-A3CA-07A698739D0B}" name="12" dataDxfId="93"/>
    <tableColumn id="19" xr3:uid="{2F50F4B6-B767-4CB1-AC9D-B4DEA45E8F7E}" name="13" dataDxfId="92"/>
    <tableColumn id="20" xr3:uid="{D3E270F7-4968-420F-8AAC-164C385DA847}" name="14" dataDxfId="91"/>
    <tableColumn id="21" xr3:uid="{4BCF08C6-E046-42BE-A1AB-36462C5B2DE6}" name="15" dataDxfId="90"/>
    <tableColumn id="22" xr3:uid="{0232BF49-CC54-496D-950B-01824DFA7F91}" name="HORAS ACUMULADAS" dataDxfId="89">
      <calculatedColumnFormula>IF(B13&lt;&gt;"",SUM(G13:U13),"")</calculatedColumnFormula>
    </tableColumn>
    <tableColumn id="23" xr3:uid="{DB02A000-A67C-4743-9851-E4B885F17D49}" name="SESIONES ASISTIDAS" dataDxfId="88">
      <calculatedColumnFormula>IF(B13&lt;&gt;"",COUNTA(G13:U13),"")</calculatedColumnFormula>
    </tableColumn>
    <tableColumn id="24" xr3:uid="{5A44736A-990F-4199-B056-FEFBD61CA00C}" name="% ASISTENCIA" dataDxfId="87">
      <calculatedColumnFormula>IF(B13&lt;&gt;"",SUM(G13:U13)/32,"")</calculatedColumnFormula>
    </tableColumn>
    <tableColumn id="25" xr3:uid="{CC6311F5-AF08-4D45-8366-4EFC0153CB11}" name="¿CUMPLE ASISTENCIA?" dataDxfId="86">
      <calculatedColumnFormula>IF(X13="","",IF(X13&gt;=80%,"Certificado","No certificado"))</calculatedColumnFormula>
    </tableColumn>
    <tableColumn id="26" xr3:uid="{263E631B-105C-4978-B2B2-DE5A5757C99B}" name="PRE" dataDxfId="85"/>
    <tableColumn id="27" xr3:uid="{8D5E77A0-CFE9-4C7A-ABCC-0A4B3AC1962B}" name="POST" dataDxfId="84"/>
    <tableColumn id="28" xr3:uid="{5D76841B-0B97-4DCD-A14F-C33E66742522}" name="FINAL" dataDxfId="83"/>
    <tableColumn id="29" xr3:uid="{818F2024-1F77-42B0-8C65-6722CC2377FA}" name="APROBACIÓN" dataDxfId="82">
      <calculatedColumnFormula>IF(B13="","",IF(AND(X13&gt;=0.8,AB13&gt;=3),"Aprobado","No aprobado"))</calculatedColumnFormula>
    </tableColumn>
    <tableColumn id="30" xr3:uid="{9BB3DFD1-4BCB-4386-AD30-06D76A90A96A}" name="1,1 El cumplimiento de los objetivos y desarrollo del contenido de la actividad fue" dataDxfId="81"/>
    <tableColumn id="31" xr3:uid="{40EDE4DE-0BE9-4555-8924-E4749F24E9CE}" name="1,2 Actualización en el área" dataDxfId="80"/>
    <tableColumn id="32" xr3:uid="{3B4F3737-5AF7-41D7-874C-8D8700434796}" name="1,3 Capacidad para comunicar ideas" dataDxfId="79"/>
    <tableColumn id="33" xr3:uid="{9E838098-5BD9-4287-9396-68CC292B1430}" name="1,4 Pertinencia de la metodología empleada" dataDxfId="78"/>
    <tableColumn id="34" xr3:uid="{DC3C350B-22CA-418C-A301-8BD4AAE625A8}" name="1,5 Cumplimiento de los horarios previstos en el cronograma de la actividad" dataDxfId="77"/>
    <tableColumn id="35" xr3:uid="{373D0FAD-2670-4FFC-8914-EEFAF6A79B9B}" name="1,6 Conocimiento y dominio de los temas" dataDxfId="76"/>
    <tableColumn id="36" xr3:uid="{B37805E2-572B-4DE6-9D66-CC3B7AE99F88}" name="2,1 Apoyo al conferencista y asistentes en las tareas previstas en la actividad" dataDxfId="75"/>
    <tableColumn id="37" xr3:uid="{156DA584-38EB-4A6A-99AA-4C944F38A08B}" name="2,2 Acompañamiento en cada una de las sesiones de la actividad" dataDxfId="74"/>
    <tableColumn id="38" xr3:uid="{92B6B92E-44B8-4CF1-B5D9-0A1537446A87}" name="2,3 Disposición y actitud frente a los asistentes" dataDxfId="73"/>
    <tableColumn id="39" xr3:uid="{D7580833-FEC5-4176-AD95-8784ACE02967}" name="3,1 Contenido del material suministrado" dataDxfId="72"/>
    <tableColumn id="40" xr3:uid="{96FCBD1C-2634-4C96-A0C8-D5C1F0C419CF}" name="3,2 Presentación del material suministrado" dataDxfId="71"/>
    <tableColumn id="41" xr3:uid="{1DA1C18F-CBB9-42C9-8464-D6E7FAEE1AE2}" name="3,3 Atención de refrigerios" dataDxfId="70"/>
    <tableColumn id="42" xr3:uid="{3FBA4E5F-154C-4215-8022-EBA3B977DA07}" name="3,4 Instalaciones Físicas" dataDxfId="69"/>
    <tableColumn id="43" xr3:uid="{CBEA1A8C-242F-4A66-AC3B-D3404216CBA3}" name="3,5  Ayudas audiovisuales" dataDxfId="68"/>
    <tableColumn id="44" xr3:uid="{3CE5922B-2138-4994-8FE4-3FDD3137FA73}" name="3,6 Atención en el proceso de inscripción" dataDxfId="67"/>
    <tableColumn id="45" xr3:uid="{EEBEE0BB-F452-4E70-94D8-D6FEC4B45823}" name="3,7 Disponibilidad del aula virtual" dataDxfId="66"/>
    <tableColumn id="46" xr3:uid="{D32B9730-BCE8-4AEA-B766-74F289BCFF65}" name="3,8 Contacto con el docente" dataDxfId="65"/>
    <tableColumn id="47" xr3:uid="{6CD16480-70D0-47F8-92E3-0CCEECC314E9}" name="3,9 Pertinencia del material dispuesto en la plataforma" dataDxfId="64"/>
    <tableColumn id="48" xr3:uid="{A3410440-8C75-4173-ACD1-FEFA2A9981D3}" name="3,10 Manejo de las herramientas digitales" dataDxfId="63"/>
    <tableColumn id="49" xr3:uid="{B2CC4E0A-D57A-428D-9665-4D225F568D15}" name="4,1 ¿Qué temas considera necesarios profundizar en este actividad?" dataDxfId="62"/>
    <tableColumn id="50" xr3:uid="{BC77959D-4C68-400D-8F29-F1E8E210ABAB}" name="4,2 ¿Qué recomendaciones haría para mejorar las actividades?" dataDxfId="61"/>
    <tableColumn id="51" xr3:uid="{1E5B39FC-3A19-4C0B-988E-A25908A61EBF}" name="4,3 ¿En qué áreas desearía obtener información y/o actualización a través de las actividades de Educación Continua y Permanente?" dataDxfId="60"/>
    <tableColumn id="52" xr3:uid="{0D88B257-4ACF-4705-B2BB-74504977F973}" name="4,4 ¿Asistiría a otra actividad programada por nosotros?" dataDxfId="59"/>
    <tableColumn id="53" xr3:uid="{55AF2D66-57B8-486C-8728-BFD5898DAAE0}" name="4,5 ¿La actividad fue satisfactoria?" dataDxfId="58"/>
    <tableColumn id="54" xr3:uid="{4D616774-F9B7-4240-AAF4-155537C8827E}" name="Promedio" dataDxfId="5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08130F-69F2-4749-8444-4AFB5EF4C36F}" name="Tabla_PensamientoCrit" displayName="Tabla_PensamientoCrit" ref="A12:BB19" totalsRowShown="0" headerRowDxfId="56" dataDxfId="55" tableBorderDxfId="54">
  <autoFilter ref="A12:BB19" xr:uid="{2308130F-69F2-4749-8444-4AFB5EF4C36F}"/>
  <tableColumns count="54">
    <tableColumn id="1" xr3:uid="{F134C8FB-00B9-42AD-A07E-370BAAEC4A28}" name="NO" dataDxfId="53"/>
    <tableColumn id="2" xr3:uid="{0C1E5208-68A6-464F-A581-171A99AF3B79}" name="NOMBRE Y APELLIDOS" dataDxfId="52"/>
    <tableColumn id="3" xr3:uid="{116F7C03-4165-41F2-8AC3-6AA6F7B8A5D4}" name="DOCUMENTO" dataDxfId="51" dataCellStyle="Millares"/>
    <tableColumn id="4" xr3:uid="{9E4A5825-72DE-4EB5-9197-0A10DAE112E3}" name="TIPO DE VINCULACIÓN CON LA ENTIDAD" dataDxfId="50"/>
    <tableColumn id="5" xr3:uid="{060959C9-07B7-42AA-A6BE-1754C8012F73}" name="ÁREA A LA QUE PERTENECE" dataDxfId="49"/>
    <tableColumn id="6" xr3:uid="{D1534DD6-7ED6-4236-8783-39C23B158FAD}" name="NOMBRE DEL CARGO" dataDxfId="48"/>
    <tableColumn id="7" xr3:uid="{1511BA6F-853F-44D6-8684-93CF0743A764}" name="1" dataDxfId="47"/>
    <tableColumn id="8" xr3:uid="{46BFDF8F-6193-4427-967E-4DC418E11298}" name="2" dataDxfId="46"/>
    <tableColumn id="9" xr3:uid="{E16F91F6-2DEB-4C31-82FD-F09579817217}" name="3" dataDxfId="45"/>
    <tableColumn id="10" xr3:uid="{F6C19232-DEA3-4C60-994F-2EB7B862D3EB}" name="4" dataDxfId="44"/>
    <tableColumn id="11" xr3:uid="{24016456-62AA-4D28-9E59-23CE0818D585}" name="5" dataDxfId="43"/>
    <tableColumn id="12" xr3:uid="{38B65F85-0385-46D4-8411-BE13C6E69B86}" name="6" dataDxfId="42"/>
    <tableColumn id="13" xr3:uid="{03AC50BC-CD08-4F32-A976-53AEF06A0A8E}" name="7" dataDxfId="41"/>
    <tableColumn id="14" xr3:uid="{86A18460-12CC-4942-A88A-48DDEBB247F0}" name="8" dataDxfId="40"/>
    <tableColumn id="15" xr3:uid="{843803CB-B847-4BC8-A148-C1BE959CA0BD}" name="9" dataDxfId="39"/>
    <tableColumn id="16" xr3:uid="{F46ABF22-5147-40C8-BC5D-58A0CE7228AB}" name="10" dataDxfId="38"/>
    <tableColumn id="17" xr3:uid="{EE1D9100-9B51-4089-8BCA-1998DCC34CCB}" name="11" dataDxfId="37"/>
    <tableColumn id="18" xr3:uid="{469003D1-5976-4791-BDF3-3827C364E89E}" name="12" dataDxfId="36"/>
    <tableColumn id="19" xr3:uid="{3BBEA862-6FFB-42C4-BC04-964946497D9E}" name="13" dataDxfId="35"/>
    <tableColumn id="20" xr3:uid="{E6798690-D6DA-4BED-A557-18C0708579B7}" name="14" dataDxfId="34"/>
    <tableColumn id="21" xr3:uid="{08CA1579-13AD-4695-943C-BEEEE3D1EEB7}" name="15" dataDxfId="33"/>
    <tableColumn id="22" xr3:uid="{022BA539-BACD-482D-8E6F-7052391C1FAA}" name="HORAS ACUMULADAS" dataDxfId="32">
      <calculatedColumnFormula>IF(B13&lt;&gt;"",SUM(G13:U13),"")</calculatedColumnFormula>
    </tableColumn>
    <tableColumn id="23" xr3:uid="{F02C97DF-06AF-4E41-B7B0-7EF2510FFECF}" name="SESIONES ASISTIDAS" dataDxfId="31">
      <calculatedColumnFormula>IF(B13&lt;&gt;"",COUNTA(G13:U13),"")</calculatedColumnFormula>
    </tableColumn>
    <tableColumn id="24" xr3:uid="{C5C662AD-0056-460E-9887-D972C21D538B}" name="% ASISTENCIA" dataDxfId="30">
      <calculatedColumnFormula>IF(B13&lt;&gt;"",SUM(G13:U13)/32,"")</calculatedColumnFormula>
    </tableColumn>
    <tableColumn id="25" xr3:uid="{E68E7DC0-4098-4DFC-ACC3-1C1ACCA64219}" name="¿CUMPLE ASISTENCIA?" dataDxfId="29">
      <calculatedColumnFormula>IF(X13="","",IF(X13&gt;=80%,"Certificado","No certificado"))</calculatedColumnFormula>
    </tableColumn>
    <tableColumn id="26" xr3:uid="{51EF1366-EE5B-4AE4-B2B1-CFC3CFA3DE47}" name="PRE" dataDxfId="28"/>
    <tableColumn id="27" xr3:uid="{CB0E8AC3-2327-4BEE-81C3-DF986EACF04F}" name="POST" dataDxfId="27"/>
    <tableColumn id="28" xr3:uid="{0E019B47-4797-455D-9825-2ED25E4E5FE7}" name="FINAL" dataDxfId="26"/>
    <tableColumn id="29" xr3:uid="{053D3967-956F-4CA1-8FE7-D74D258C0364}" name="APROBACIÓN" dataDxfId="25">
      <calculatedColumnFormula>IF(B13="","",IF(AND(X13&gt;=0.8,AB13&gt;=3),"Aprobado","No aprobado"))</calculatedColumnFormula>
    </tableColumn>
    <tableColumn id="30" xr3:uid="{A517A9A1-3253-441C-8B2D-DCF759B640FD}" name="1,1 El cumplimiento de los objetivos y desarrollo del contenido de la actividad fue" dataDxfId="24"/>
    <tableColumn id="31" xr3:uid="{724D052D-47C3-4A0D-93DB-092A2F1D94FA}" name="1,2 Actualización en el área" dataDxfId="23"/>
    <tableColumn id="32" xr3:uid="{FD0B8E7E-5C52-4779-BB63-AB3E05503BBF}" name="1,3 Capacidad para comunicar ideas" dataDxfId="22"/>
    <tableColumn id="33" xr3:uid="{D99B132A-474F-4A01-9414-18FE7EE2006F}" name="1,4 Pertinencia de la metodología empleada" dataDxfId="21"/>
    <tableColumn id="34" xr3:uid="{F72AB2C4-E8F9-4F24-8FA6-A816D5729722}" name="1,5 Cumplimiento de los horarios previstos en el cronograma de la actividad" dataDxfId="20"/>
    <tableColumn id="35" xr3:uid="{370B2C87-0B76-46DB-8E7C-3BABBD983957}" name="1,6 Conocimiento y dominio de los temas" dataDxfId="19"/>
    <tableColumn id="36" xr3:uid="{1FD6007D-A070-43E0-A3E9-BAA820B8E535}" name="2,1 Apoyo al conferencista y asistentes en las tareas previstas en la actividad" dataDxfId="18"/>
    <tableColumn id="37" xr3:uid="{1CA6DA61-DA2D-4FB5-8B2C-16C6986DAC77}" name="2,2 Acompañamiento en cada una de las sesiones de la actividad" dataDxfId="17"/>
    <tableColumn id="38" xr3:uid="{61EE8AFB-97D5-4FF6-BADD-CE91D80DF317}" name="2,3 Disposición y actitud frente a los asistentes" dataDxfId="16"/>
    <tableColumn id="39" xr3:uid="{DDFA77CA-15FD-4C0D-A069-81352EC00803}" name="3,1 Contenido del material suministrado" dataDxfId="15"/>
    <tableColumn id="40" xr3:uid="{668FAB2E-5979-4058-9B3D-A84F4F708236}" name="3,2 Presentación del material suministrado" dataDxfId="14"/>
    <tableColumn id="41" xr3:uid="{DBADA219-AB1C-4511-A59D-8D3CFCB70896}" name="3,3 Atención de refrigerios" dataDxfId="13"/>
    <tableColumn id="42" xr3:uid="{BBDB7BB1-316F-4715-9551-F28B5DFF86CB}" name="3,4 Instalaciones Físicas" dataDxfId="12"/>
    <tableColumn id="43" xr3:uid="{106D3D39-79D9-4D0E-9D91-3282C25EE474}" name="3,5  Ayudas audiovisuales" dataDxfId="11"/>
    <tableColumn id="44" xr3:uid="{DA5F3F4B-3C63-4DDF-9B59-69C36F1C38CD}" name="3,6 Atención en el proceso de inscripción" dataDxfId="10"/>
    <tableColumn id="45" xr3:uid="{FA998BB5-77FD-4C9D-B830-049F00769520}" name="3,7 Disponibilidad del aula virtual" dataDxfId="9"/>
    <tableColumn id="46" xr3:uid="{5365803D-DEE1-4CB9-8F3D-D5ED7F0B20A6}" name="3,8 Contacto con el docente" dataDxfId="8"/>
    <tableColumn id="47" xr3:uid="{D86594D9-939C-49AE-A3EB-4E91D43000CF}" name="3,9 Pertinencia del material dispuesto en la plataforma" dataDxfId="7"/>
    <tableColumn id="48" xr3:uid="{18234CEE-3949-4D3F-A6CB-BBF97812C35E}" name="3,10 Manejo de las herramientas digitales" dataDxfId="6"/>
    <tableColumn id="49" xr3:uid="{4A2CC099-DBF1-49D3-B15A-F5793F3FF2CE}" name="4,1 ¿Qué temas considera necesarios profundizar en este actividad?" dataDxfId="5"/>
    <tableColumn id="50" xr3:uid="{07C51901-827F-460B-BB8D-E4978E7139F6}" name="4,2 ¿Qué recomendaciones haría para mejorar las actividades?" dataDxfId="4"/>
    <tableColumn id="51" xr3:uid="{E3772CED-1795-4972-98FD-FE7562F81832}" name="4,3 ¿En qué áreas desearía obtener información y/o actualización a través de las actividades de Educación Continua y Permanente?" dataDxfId="3"/>
    <tableColumn id="52" xr3:uid="{B37E803C-F0DA-488B-9E7A-D4E4506A7D73}" name="4,4 ¿Asistiría a otra actividad programada por nosotros?" dataDxfId="2"/>
    <tableColumn id="53" xr3:uid="{1E43FCEF-310C-48F0-9D6C-841B68998950}" name="4,5 ¿La actividad fue satisfactoria?" dataDxfId="1"/>
    <tableColumn id="54" xr3:uid="{61477442-E44B-461B-A025-41B697504870}" name="Promedio" dataDxfId="0">
      <calculatedColumnFormula>AVERAGE(Tabla_PensamientoCrit[[#This Row],[1,1 El cumplimiento de los objetivos y desarrollo del contenido de la actividad fue]:[4,5 ¿La actividad fue satisfactoria?]])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N18"/>
  <sheetViews>
    <sheetView tabSelected="1" workbookViewId="0">
      <pane xSplit="13" ySplit="3" topLeftCell="N9" activePane="bottomRight" state="frozen"/>
      <selection pane="topRight" activeCell="N1" sqref="N1"/>
      <selection pane="bottomLeft" activeCell="A4" sqref="A4"/>
      <selection pane="bottomRight" activeCell="G13" sqref="G13"/>
    </sheetView>
  </sheetViews>
  <sheetFormatPr baseColWidth="10" defaultColWidth="14.44140625" defaultRowHeight="15" customHeight="1" x14ac:dyDescent="0.3"/>
  <cols>
    <col min="1" max="1" width="6.44140625" customWidth="1"/>
    <col min="2" max="2" width="5.33203125" customWidth="1"/>
    <col min="3" max="4" width="16.5546875" customWidth="1"/>
    <col min="5" max="5" width="15" customWidth="1"/>
    <col min="6" max="6" width="26" customWidth="1"/>
    <col min="7" max="8" width="10.88671875" customWidth="1"/>
    <col min="9" max="9" width="9.6640625" customWidth="1"/>
    <col min="10" max="10" width="11" customWidth="1"/>
    <col min="11" max="12" width="12.109375" customWidth="1"/>
    <col min="13" max="13" width="16.33203125" customWidth="1"/>
    <col min="14" max="14" width="3" hidden="1" customWidth="1"/>
    <col min="15" max="15" width="2.5546875" hidden="1" customWidth="1"/>
    <col min="16" max="16" width="3" hidden="1" customWidth="1"/>
    <col min="17" max="17" width="3.109375" hidden="1" customWidth="1"/>
    <col min="18" max="18" width="3.88671875" hidden="1" customWidth="1"/>
    <col min="19" max="19" width="3.44140625" hidden="1" customWidth="1"/>
    <col min="20" max="21" width="3" hidden="1" customWidth="1"/>
    <col min="22" max="22" width="3.109375" hidden="1" customWidth="1"/>
    <col min="23" max="23" width="3.88671875" hidden="1" customWidth="1"/>
    <col min="24" max="24" width="3.44140625" hidden="1" customWidth="1"/>
    <col min="25" max="26" width="3" hidden="1" customWidth="1"/>
    <col min="27" max="27" width="3.109375" hidden="1" customWidth="1"/>
    <col min="28" max="28" width="3.88671875" hidden="1" customWidth="1"/>
    <col min="29" max="29" width="3.44140625" hidden="1" customWidth="1"/>
    <col min="30" max="31" width="3" hidden="1" customWidth="1"/>
    <col min="32" max="32" width="2.88671875" hidden="1" customWidth="1"/>
    <col min="33" max="33" width="3.109375" hidden="1" customWidth="1"/>
    <col min="34" max="34" width="3.88671875" hidden="1" customWidth="1"/>
    <col min="35" max="35" width="3.44140625" hidden="1" customWidth="1"/>
    <col min="36" max="37" width="3" hidden="1" customWidth="1"/>
    <col min="38" max="38" width="3.109375" hidden="1" customWidth="1"/>
    <col min="39" max="39" width="3.88671875" hidden="1" customWidth="1"/>
    <col min="40" max="40" width="3.44140625" hidden="1" customWidth="1"/>
    <col min="41" max="42" width="3" customWidth="1"/>
    <col min="43" max="43" width="2.88671875" customWidth="1"/>
    <col min="44" max="44" width="3.109375" customWidth="1"/>
    <col min="45" max="45" width="3.88671875" customWidth="1"/>
    <col min="46" max="46" width="3.44140625" customWidth="1"/>
    <col min="47" max="48" width="3" customWidth="1"/>
    <col min="49" max="49" width="2.88671875" customWidth="1"/>
    <col min="50" max="50" width="3.109375" customWidth="1"/>
    <col min="51" max="51" width="3.88671875" customWidth="1"/>
    <col min="52" max="52" width="3.44140625" customWidth="1"/>
    <col min="53" max="54" width="3" customWidth="1"/>
    <col min="55" max="55" width="2.88671875" customWidth="1"/>
    <col min="56" max="56" width="3.109375" customWidth="1"/>
    <col min="57" max="57" width="3.88671875" customWidth="1"/>
    <col min="58" max="58" width="3.44140625" customWidth="1"/>
    <col min="59" max="60" width="3" customWidth="1"/>
    <col min="61" max="61" width="2.88671875" customWidth="1"/>
    <col min="62" max="62" width="3.109375" customWidth="1"/>
    <col min="63" max="63" width="3.88671875" customWidth="1"/>
    <col min="64" max="64" width="3.44140625" customWidth="1"/>
    <col min="65" max="66" width="3" customWidth="1"/>
    <col min="67" max="67" width="3.33203125" customWidth="1"/>
    <col min="68" max="68" width="3.109375" customWidth="1"/>
    <col min="69" max="69" width="3.88671875" customWidth="1"/>
    <col min="70" max="70" width="3.44140625" customWidth="1"/>
    <col min="71" max="72" width="3" customWidth="1"/>
    <col min="73" max="73" width="2.88671875" customWidth="1"/>
    <col min="74" max="74" width="3.109375" customWidth="1"/>
    <col min="75" max="75" width="3.88671875" customWidth="1"/>
    <col min="76" max="76" width="3.44140625" customWidth="1"/>
    <col min="77" max="78" width="3" customWidth="1"/>
    <col min="79" max="79" width="2.88671875" customWidth="1"/>
    <col min="80" max="80" width="3.109375" customWidth="1"/>
    <col min="81" max="81" width="3.88671875" customWidth="1"/>
    <col min="82" max="82" width="3.44140625" customWidth="1"/>
    <col min="83" max="84" width="3" customWidth="1"/>
    <col min="85" max="85" width="2.88671875" customWidth="1"/>
    <col min="86" max="86" width="3.109375" customWidth="1"/>
    <col min="87" max="87" width="3.88671875" customWidth="1"/>
    <col min="88" max="88" width="3.44140625" customWidth="1"/>
    <col min="89" max="90" width="3" customWidth="1"/>
    <col min="91" max="91" width="2.88671875" customWidth="1"/>
    <col min="92" max="92" width="3.109375" customWidth="1"/>
    <col min="93" max="93" width="3.88671875" customWidth="1"/>
    <col min="94" max="94" width="3.44140625" customWidth="1"/>
    <col min="95" max="96" width="3" customWidth="1"/>
    <col min="97" max="97" width="2.88671875" customWidth="1"/>
    <col min="98" max="98" width="3.109375" customWidth="1"/>
    <col min="99" max="99" width="3.88671875" customWidth="1"/>
    <col min="100" max="100" width="3.44140625" customWidth="1"/>
    <col min="101" max="102" width="3" customWidth="1"/>
    <col min="103" max="103" width="2.88671875" customWidth="1"/>
    <col min="104" max="104" width="3.109375" customWidth="1"/>
    <col min="105" max="105" width="3.88671875" customWidth="1"/>
    <col min="106" max="106" width="3.44140625" customWidth="1"/>
    <col min="107" max="108" width="3" customWidth="1"/>
    <col min="109" max="109" width="2.88671875" customWidth="1"/>
    <col min="110" max="110" width="3.109375" customWidth="1"/>
    <col min="111" max="111" width="3.88671875" customWidth="1"/>
    <col min="112" max="112" width="3.44140625" customWidth="1"/>
    <col min="113" max="114" width="3" customWidth="1"/>
    <col min="115" max="115" width="2.88671875" customWidth="1"/>
    <col min="116" max="116" width="3.109375" customWidth="1"/>
    <col min="117" max="117" width="3.88671875" customWidth="1"/>
    <col min="118" max="118" width="3.44140625" customWidth="1"/>
    <col min="119" max="120" width="3" customWidth="1"/>
    <col min="121" max="121" width="2.88671875" customWidth="1"/>
    <col min="122" max="122" width="3.109375" customWidth="1"/>
    <col min="123" max="123" width="3.88671875" customWidth="1"/>
    <col min="124" max="124" width="3.44140625" customWidth="1"/>
    <col min="125" max="126" width="3" customWidth="1"/>
    <col min="127" max="127" width="2.88671875" customWidth="1"/>
    <col min="128" max="128" width="3.109375" customWidth="1"/>
    <col min="129" max="129" width="3.88671875" customWidth="1"/>
    <col min="130" max="130" width="3.44140625" customWidth="1"/>
    <col min="131" max="132" width="3" customWidth="1"/>
    <col min="133" max="133" width="2.88671875" customWidth="1"/>
    <col min="134" max="134" width="3.109375" customWidth="1"/>
    <col min="135" max="135" width="3.88671875" customWidth="1"/>
    <col min="136" max="136" width="3.44140625" customWidth="1"/>
    <col min="137" max="138" width="3" customWidth="1"/>
    <col min="139" max="139" width="2.88671875" customWidth="1"/>
    <col min="140" max="140" width="3.109375" customWidth="1"/>
    <col min="141" max="141" width="3.88671875" customWidth="1"/>
    <col min="142" max="142" width="3.44140625" customWidth="1"/>
    <col min="143" max="144" width="3" customWidth="1"/>
    <col min="145" max="145" width="2.88671875" customWidth="1"/>
    <col min="146" max="146" width="3.109375" customWidth="1"/>
    <col min="147" max="147" width="3.88671875" customWidth="1"/>
    <col min="148" max="148" width="3.44140625" customWidth="1"/>
    <col min="149" max="150" width="3" customWidth="1"/>
    <col min="151" max="151" width="2.88671875" customWidth="1"/>
    <col min="152" max="152" width="3.109375" customWidth="1"/>
    <col min="153" max="153" width="3.88671875" customWidth="1"/>
    <col min="154" max="154" width="3.44140625" customWidth="1"/>
    <col min="155" max="156" width="3" customWidth="1"/>
    <col min="157" max="157" width="2.88671875" customWidth="1"/>
    <col min="158" max="158" width="3.109375" customWidth="1"/>
    <col min="159" max="159" width="3.88671875" customWidth="1"/>
    <col min="160" max="160" width="3.44140625" customWidth="1"/>
    <col min="161" max="162" width="3" customWidth="1"/>
    <col min="163" max="163" width="2.88671875" customWidth="1"/>
    <col min="164" max="164" width="3.109375" customWidth="1"/>
    <col min="165" max="165" width="3.88671875" customWidth="1"/>
    <col min="166" max="166" width="3.44140625" customWidth="1"/>
    <col min="167" max="168" width="3" customWidth="1"/>
    <col min="169" max="169" width="2.88671875" customWidth="1"/>
    <col min="170" max="170" width="3.109375" customWidth="1"/>
    <col min="171" max="171" width="3.88671875" customWidth="1"/>
    <col min="172" max="172" width="3.44140625" customWidth="1"/>
    <col min="173" max="174" width="3" customWidth="1"/>
    <col min="175" max="175" width="2.88671875" customWidth="1"/>
    <col min="176" max="176" width="3.109375" customWidth="1"/>
    <col min="177" max="177" width="3.88671875" customWidth="1"/>
    <col min="178" max="178" width="3.44140625" customWidth="1"/>
    <col min="179" max="180" width="3" customWidth="1"/>
    <col min="181" max="181" width="2.88671875" customWidth="1"/>
    <col min="182" max="182" width="3.109375" customWidth="1"/>
    <col min="183" max="183" width="3.88671875" customWidth="1"/>
    <col min="184" max="184" width="3.44140625" customWidth="1"/>
    <col min="185" max="186" width="3" customWidth="1"/>
    <col min="187" max="187" width="2.88671875" customWidth="1"/>
    <col min="188" max="188" width="3.109375" customWidth="1"/>
    <col min="189" max="189" width="3.88671875" customWidth="1"/>
    <col min="190" max="190" width="3.44140625" customWidth="1"/>
    <col min="191" max="192" width="3" customWidth="1"/>
    <col min="193" max="193" width="2.88671875" customWidth="1"/>
    <col min="194" max="194" width="3.109375" customWidth="1"/>
    <col min="195" max="195" width="3.88671875" customWidth="1"/>
    <col min="196" max="196" width="3.44140625" customWidth="1"/>
    <col min="197" max="198" width="3" customWidth="1"/>
    <col min="199" max="199" width="2.88671875" customWidth="1"/>
    <col min="200" max="200" width="3.109375" customWidth="1"/>
    <col min="201" max="201" width="3.88671875" customWidth="1"/>
    <col min="202" max="202" width="3.44140625" customWidth="1"/>
    <col min="203" max="204" width="3" customWidth="1"/>
    <col min="205" max="205" width="2.88671875" customWidth="1"/>
    <col min="206" max="206" width="3.109375" customWidth="1"/>
    <col min="207" max="207" width="3.88671875" customWidth="1"/>
    <col min="208" max="208" width="3.44140625" customWidth="1"/>
    <col min="209" max="210" width="3" customWidth="1"/>
    <col min="211" max="211" width="2.88671875" customWidth="1"/>
    <col min="212" max="212" width="3.109375" customWidth="1"/>
    <col min="213" max="213" width="3.88671875" customWidth="1"/>
    <col min="214" max="214" width="3.44140625" customWidth="1"/>
    <col min="215" max="216" width="3" customWidth="1"/>
    <col min="217" max="217" width="2.88671875" customWidth="1"/>
    <col min="218" max="218" width="3.109375" customWidth="1"/>
    <col min="219" max="219" width="3.88671875" customWidth="1"/>
    <col min="220" max="220" width="3.44140625" customWidth="1"/>
    <col min="221" max="222" width="3" customWidth="1"/>
    <col min="223" max="223" width="2.88671875" customWidth="1"/>
    <col min="224" max="224" width="3.109375" customWidth="1"/>
    <col min="225" max="225" width="3.88671875" customWidth="1"/>
    <col min="226" max="226" width="3.44140625" customWidth="1"/>
    <col min="227" max="228" width="3" customWidth="1"/>
    <col min="229" max="229" width="2.88671875" customWidth="1"/>
    <col min="230" max="230" width="3.109375" customWidth="1"/>
    <col min="231" max="231" width="3.88671875" customWidth="1"/>
    <col min="232" max="232" width="3.44140625" customWidth="1"/>
    <col min="233" max="234" width="3" customWidth="1"/>
    <col min="235" max="235" width="2.88671875" customWidth="1"/>
    <col min="236" max="236" width="3.109375" customWidth="1"/>
    <col min="237" max="237" width="3.88671875" customWidth="1"/>
    <col min="238" max="238" width="3.44140625" customWidth="1"/>
    <col min="239" max="240" width="3" customWidth="1"/>
    <col min="241" max="241" width="2.88671875" customWidth="1"/>
    <col min="242" max="242" width="3.109375" customWidth="1"/>
    <col min="243" max="243" width="3.88671875" customWidth="1"/>
    <col min="244" max="244" width="3.44140625" customWidth="1"/>
    <col min="245" max="246" width="3" customWidth="1"/>
    <col min="247" max="247" width="2.88671875" customWidth="1"/>
    <col min="248" max="248" width="3.109375" customWidth="1"/>
    <col min="249" max="249" width="3.88671875" customWidth="1"/>
    <col min="250" max="250" width="3.44140625" customWidth="1"/>
    <col min="251" max="252" width="3" customWidth="1"/>
    <col min="253" max="253" width="2.88671875" customWidth="1"/>
    <col min="254" max="254" width="3.109375" customWidth="1"/>
    <col min="255" max="255" width="3.88671875" customWidth="1"/>
    <col min="256" max="256" width="3.44140625" customWidth="1"/>
    <col min="257" max="258" width="3" customWidth="1"/>
    <col min="259" max="259" width="2.88671875" customWidth="1"/>
    <col min="260" max="260" width="3.109375" customWidth="1"/>
    <col min="261" max="261" width="3.88671875" customWidth="1"/>
    <col min="262" max="262" width="3.44140625" customWidth="1"/>
    <col min="263" max="264" width="3" customWidth="1"/>
    <col min="265" max="265" width="2.88671875" customWidth="1"/>
    <col min="266" max="266" width="3.109375" customWidth="1"/>
    <col min="267" max="267" width="3.88671875" customWidth="1"/>
    <col min="268" max="268" width="3.44140625" customWidth="1"/>
    <col min="269" max="270" width="3" customWidth="1"/>
    <col min="271" max="271" width="2.88671875" customWidth="1"/>
    <col min="272" max="272" width="3.109375" customWidth="1"/>
    <col min="273" max="273" width="3.88671875" customWidth="1"/>
    <col min="274" max="274" width="3.44140625" customWidth="1"/>
    <col min="275" max="276" width="3" customWidth="1"/>
    <col min="277" max="277" width="2.88671875" customWidth="1"/>
    <col min="278" max="278" width="3.109375" customWidth="1"/>
    <col min="279" max="279" width="3.88671875" customWidth="1"/>
    <col min="280" max="280" width="3.44140625" customWidth="1"/>
    <col min="281" max="282" width="3" customWidth="1"/>
    <col min="283" max="283" width="2.88671875" customWidth="1"/>
    <col min="284" max="284" width="3.109375" customWidth="1"/>
    <col min="285" max="285" width="3.88671875" customWidth="1"/>
    <col min="286" max="286" width="3.44140625" customWidth="1"/>
    <col min="287" max="288" width="3" customWidth="1"/>
    <col min="289" max="289" width="2.88671875" customWidth="1"/>
    <col min="290" max="290" width="3.109375" customWidth="1"/>
    <col min="291" max="291" width="3.88671875" customWidth="1"/>
    <col min="292" max="292" width="3.44140625" customWidth="1"/>
    <col min="293" max="294" width="3" customWidth="1"/>
    <col min="295" max="295" width="2.88671875" customWidth="1"/>
    <col min="296" max="296" width="3.109375" customWidth="1"/>
    <col min="297" max="297" width="3.88671875" customWidth="1"/>
    <col min="298" max="298" width="3.44140625" customWidth="1"/>
    <col min="299" max="300" width="3" customWidth="1"/>
    <col min="301" max="301" width="2.88671875" customWidth="1"/>
    <col min="302" max="302" width="3.109375" customWidth="1"/>
    <col min="303" max="303" width="3.88671875" customWidth="1"/>
    <col min="304" max="304" width="3.44140625" customWidth="1"/>
    <col min="305" max="306" width="3" customWidth="1"/>
    <col min="307" max="307" width="2.88671875" customWidth="1"/>
    <col min="308" max="308" width="3.109375" customWidth="1"/>
    <col min="309" max="309" width="3.88671875" customWidth="1"/>
    <col min="310" max="310" width="3.44140625" customWidth="1"/>
    <col min="311" max="312" width="3" customWidth="1"/>
    <col min="313" max="313" width="2.88671875" customWidth="1"/>
    <col min="314" max="314" width="3.109375" customWidth="1"/>
    <col min="315" max="315" width="3.88671875" customWidth="1"/>
    <col min="316" max="316" width="3.44140625" customWidth="1"/>
    <col min="317" max="318" width="3" customWidth="1"/>
    <col min="319" max="319" width="2.88671875" customWidth="1"/>
    <col min="320" max="320" width="3.109375" customWidth="1"/>
    <col min="321" max="321" width="3.88671875" customWidth="1"/>
    <col min="322" max="322" width="3" customWidth="1"/>
    <col min="323" max="326" width="3.88671875" customWidth="1"/>
  </cols>
  <sheetData>
    <row r="1" spans="1:326" ht="15.75" customHeight="1" x14ac:dyDescent="0.3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2"/>
      <c r="N1" s="139" t="s">
        <v>1</v>
      </c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8"/>
      <c r="AO1" s="140" t="s">
        <v>2</v>
      </c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F1" s="137"/>
      <c r="BG1" s="137"/>
      <c r="BH1" s="137"/>
      <c r="BI1" s="137"/>
      <c r="BJ1" s="137"/>
      <c r="BK1" s="137"/>
      <c r="BL1" s="138"/>
      <c r="BM1" s="139" t="s">
        <v>3</v>
      </c>
      <c r="BN1" s="137"/>
      <c r="BO1" s="137"/>
      <c r="BP1" s="137"/>
      <c r="BQ1" s="137"/>
      <c r="BR1" s="137"/>
      <c r="BS1" s="137"/>
      <c r="BT1" s="137"/>
      <c r="BU1" s="137"/>
      <c r="BV1" s="137"/>
      <c r="BW1" s="137"/>
      <c r="BX1" s="137"/>
      <c r="BY1" s="137"/>
      <c r="BZ1" s="137"/>
      <c r="CA1" s="137"/>
      <c r="CB1" s="137"/>
      <c r="CC1" s="137"/>
      <c r="CD1" s="137"/>
      <c r="CE1" s="137"/>
      <c r="CF1" s="137"/>
      <c r="CG1" s="137"/>
      <c r="CH1" s="137"/>
      <c r="CI1" s="137"/>
      <c r="CJ1" s="137"/>
      <c r="CK1" s="137"/>
      <c r="CL1" s="138"/>
      <c r="CM1" s="140" t="s">
        <v>4</v>
      </c>
      <c r="CN1" s="137"/>
      <c r="CO1" s="137"/>
      <c r="CP1" s="137"/>
      <c r="CQ1" s="137"/>
      <c r="CR1" s="137"/>
      <c r="CS1" s="137"/>
      <c r="CT1" s="137"/>
      <c r="CU1" s="137"/>
      <c r="CV1" s="137"/>
      <c r="CW1" s="137"/>
      <c r="CX1" s="137"/>
      <c r="CY1" s="137"/>
      <c r="CZ1" s="137"/>
      <c r="DA1" s="137"/>
      <c r="DB1" s="137"/>
      <c r="DC1" s="137"/>
      <c r="DD1" s="137"/>
      <c r="DE1" s="137"/>
      <c r="DF1" s="137"/>
      <c r="DG1" s="137"/>
      <c r="DH1" s="137"/>
      <c r="DI1" s="137"/>
      <c r="DJ1" s="137"/>
      <c r="DK1" s="137"/>
      <c r="DL1" s="138"/>
      <c r="DM1" s="139" t="s">
        <v>5</v>
      </c>
      <c r="DN1" s="137"/>
      <c r="DO1" s="137"/>
      <c r="DP1" s="137"/>
      <c r="DQ1" s="137"/>
      <c r="DR1" s="137"/>
      <c r="DS1" s="137"/>
      <c r="DT1" s="137"/>
      <c r="DU1" s="137"/>
      <c r="DV1" s="137"/>
      <c r="DW1" s="137"/>
      <c r="DX1" s="137"/>
      <c r="DY1" s="137"/>
      <c r="DZ1" s="137"/>
      <c r="EA1" s="137"/>
      <c r="EB1" s="137"/>
      <c r="EC1" s="137"/>
      <c r="ED1" s="137"/>
      <c r="EE1" s="137"/>
      <c r="EF1" s="137"/>
      <c r="EG1" s="137"/>
      <c r="EH1" s="137"/>
      <c r="EI1" s="137"/>
      <c r="EJ1" s="137"/>
      <c r="EK1" s="137"/>
      <c r="EL1" s="138"/>
      <c r="EM1" s="140" t="s">
        <v>6</v>
      </c>
      <c r="EN1" s="137"/>
      <c r="EO1" s="137"/>
      <c r="EP1" s="137"/>
      <c r="EQ1" s="137"/>
      <c r="ER1" s="137"/>
      <c r="ES1" s="137"/>
      <c r="ET1" s="137"/>
      <c r="EU1" s="137"/>
      <c r="EV1" s="137"/>
      <c r="EW1" s="137"/>
      <c r="EX1" s="137"/>
      <c r="EY1" s="137"/>
      <c r="EZ1" s="137"/>
      <c r="FA1" s="137"/>
      <c r="FB1" s="137"/>
      <c r="FC1" s="137"/>
      <c r="FD1" s="137"/>
      <c r="FE1" s="137"/>
      <c r="FF1" s="137"/>
      <c r="FG1" s="137"/>
      <c r="FH1" s="137"/>
      <c r="FI1" s="137"/>
      <c r="FJ1" s="137"/>
      <c r="FK1" s="137"/>
      <c r="FL1" s="138"/>
      <c r="FM1" s="141" t="s">
        <v>7</v>
      </c>
      <c r="FN1" s="137"/>
      <c r="FO1" s="137"/>
      <c r="FP1" s="137"/>
      <c r="FQ1" s="137"/>
      <c r="FR1" s="137"/>
      <c r="FS1" s="137"/>
      <c r="FT1" s="137"/>
      <c r="FU1" s="137"/>
      <c r="FV1" s="137"/>
      <c r="FW1" s="137"/>
      <c r="FX1" s="137"/>
      <c r="FY1" s="137"/>
      <c r="FZ1" s="137"/>
      <c r="GA1" s="137"/>
      <c r="GB1" s="137"/>
      <c r="GC1" s="137"/>
      <c r="GD1" s="137"/>
      <c r="GE1" s="137"/>
      <c r="GF1" s="137"/>
      <c r="GG1" s="137"/>
      <c r="GH1" s="137"/>
      <c r="GI1" s="137"/>
      <c r="GJ1" s="137"/>
      <c r="GK1" s="137"/>
      <c r="GL1" s="137"/>
      <c r="GM1" s="138"/>
      <c r="GN1" s="140" t="s">
        <v>8</v>
      </c>
      <c r="GO1" s="137"/>
      <c r="GP1" s="137"/>
      <c r="GQ1" s="137"/>
      <c r="GR1" s="137"/>
      <c r="GS1" s="137"/>
      <c r="GT1" s="137"/>
      <c r="GU1" s="137"/>
      <c r="GV1" s="137"/>
      <c r="GW1" s="137"/>
      <c r="GX1" s="137"/>
      <c r="GY1" s="137"/>
      <c r="GZ1" s="137"/>
      <c r="HA1" s="137"/>
      <c r="HB1" s="137"/>
      <c r="HC1" s="137"/>
      <c r="HD1" s="137"/>
      <c r="HE1" s="137"/>
      <c r="HF1" s="137"/>
      <c r="HG1" s="137"/>
      <c r="HH1" s="137"/>
      <c r="HI1" s="137"/>
      <c r="HJ1" s="137"/>
      <c r="HK1" s="137"/>
      <c r="HL1" s="137"/>
      <c r="HM1" s="138"/>
      <c r="HN1" s="139" t="s">
        <v>9</v>
      </c>
      <c r="HO1" s="137"/>
      <c r="HP1" s="137"/>
      <c r="HQ1" s="137"/>
      <c r="HR1" s="137"/>
      <c r="HS1" s="137"/>
      <c r="HT1" s="137"/>
      <c r="HU1" s="137"/>
      <c r="HV1" s="137"/>
      <c r="HW1" s="137"/>
      <c r="HX1" s="137"/>
      <c r="HY1" s="137"/>
      <c r="HZ1" s="137"/>
      <c r="IA1" s="137"/>
      <c r="IB1" s="137"/>
      <c r="IC1" s="137"/>
      <c r="ID1" s="137"/>
      <c r="IE1" s="137"/>
      <c r="IF1" s="137"/>
      <c r="IG1" s="137"/>
      <c r="IH1" s="137"/>
      <c r="II1" s="137"/>
      <c r="IJ1" s="137"/>
      <c r="IK1" s="137"/>
      <c r="IL1" s="137"/>
      <c r="IM1" s="138"/>
      <c r="IN1" s="140" t="s">
        <v>10</v>
      </c>
      <c r="IO1" s="137"/>
      <c r="IP1" s="137"/>
      <c r="IQ1" s="137"/>
      <c r="IR1" s="137"/>
      <c r="IS1" s="137"/>
      <c r="IT1" s="137"/>
      <c r="IU1" s="137"/>
      <c r="IV1" s="137"/>
      <c r="IW1" s="137"/>
      <c r="IX1" s="137"/>
      <c r="IY1" s="137"/>
      <c r="IZ1" s="137"/>
      <c r="JA1" s="137"/>
      <c r="JB1" s="137"/>
      <c r="JC1" s="137"/>
      <c r="JD1" s="137"/>
      <c r="JE1" s="137"/>
      <c r="JF1" s="137"/>
      <c r="JG1" s="137"/>
      <c r="JH1" s="137"/>
      <c r="JI1" s="137"/>
      <c r="JJ1" s="137"/>
      <c r="JK1" s="137"/>
      <c r="JL1" s="137"/>
      <c r="JM1" s="137"/>
      <c r="JN1" s="138"/>
      <c r="JO1" s="139" t="s">
        <v>11</v>
      </c>
      <c r="JP1" s="137"/>
      <c r="JQ1" s="137"/>
      <c r="JR1" s="137"/>
      <c r="JS1" s="137"/>
      <c r="JT1" s="137"/>
      <c r="JU1" s="137"/>
      <c r="JV1" s="137"/>
      <c r="JW1" s="137"/>
      <c r="JX1" s="137"/>
      <c r="JY1" s="137"/>
      <c r="JZ1" s="137"/>
      <c r="KA1" s="137"/>
      <c r="KB1" s="137"/>
      <c r="KC1" s="137"/>
      <c r="KD1" s="137"/>
      <c r="KE1" s="137"/>
      <c r="KF1" s="137"/>
      <c r="KG1" s="137"/>
      <c r="KH1" s="137"/>
      <c r="KI1" s="137"/>
      <c r="KJ1" s="137"/>
      <c r="KK1" s="137"/>
      <c r="KL1" s="137"/>
      <c r="KM1" s="138"/>
      <c r="KN1" s="136" t="s">
        <v>12</v>
      </c>
      <c r="KO1" s="137"/>
      <c r="KP1" s="137"/>
      <c r="KQ1" s="137"/>
      <c r="KR1" s="137"/>
      <c r="KS1" s="137"/>
      <c r="KT1" s="137"/>
      <c r="KU1" s="137"/>
      <c r="KV1" s="137"/>
      <c r="KW1" s="137"/>
      <c r="KX1" s="137"/>
      <c r="KY1" s="137"/>
      <c r="KZ1" s="137"/>
      <c r="LA1" s="137"/>
      <c r="LB1" s="137"/>
      <c r="LC1" s="137"/>
      <c r="LD1" s="137"/>
      <c r="LE1" s="137"/>
      <c r="LF1" s="137"/>
      <c r="LG1" s="137"/>
      <c r="LH1" s="137"/>
      <c r="LI1" s="137"/>
      <c r="LJ1" s="137"/>
      <c r="LK1" s="137"/>
      <c r="LL1" s="137"/>
      <c r="LM1" s="137"/>
      <c r="LN1" s="138"/>
    </row>
    <row r="2" spans="1:326" ht="12" customHeight="1" thickBot="1" x14ac:dyDescent="0.35">
      <c r="A2" s="133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5"/>
      <c r="N2" s="1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13</v>
      </c>
      <c r="U2" s="2" t="s">
        <v>14</v>
      </c>
      <c r="V2" s="2" t="s">
        <v>15</v>
      </c>
      <c r="W2" s="2" t="s">
        <v>16</v>
      </c>
      <c r="X2" s="2" t="s">
        <v>17</v>
      </c>
      <c r="Y2" s="2" t="s">
        <v>18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13</v>
      </c>
      <c r="AG2" s="2" t="s">
        <v>14</v>
      </c>
      <c r="AH2" s="2" t="s">
        <v>15</v>
      </c>
      <c r="AI2" s="2" t="s">
        <v>16</v>
      </c>
      <c r="AJ2" s="2" t="s">
        <v>17</v>
      </c>
      <c r="AK2" s="2" t="s">
        <v>18</v>
      </c>
      <c r="AL2" s="2" t="s">
        <v>13</v>
      </c>
      <c r="AM2" s="2" t="s">
        <v>14</v>
      </c>
      <c r="AN2" s="3" t="s">
        <v>15</v>
      </c>
      <c r="AO2" s="1" t="s">
        <v>16</v>
      </c>
      <c r="AP2" s="2" t="s">
        <v>17</v>
      </c>
      <c r="AQ2" s="2" t="s">
        <v>18</v>
      </c>
      <c r="AR2" s="2" t="s">
        <v>13</v>
      </c>
      <c r="AS2" s="2" t="s">
        <v>14</v>
      </c>
      <c r="AT2" s="2" t="s">
        <v>15</v>
      </c>
      <c r="AU2" s="2" t="s">
        <v>16</v>
      </c>
      <c r="AV2" s="2" t="s">
        <v>17</v>
      </c>
      <c r="AW2" s="2" t="s">
        <v>18</v>
      </c>
      <c r="AX2" s="2" t="s">
        <v>13</v>
      </c>
      <c r="AY2" s="2" t="s">
        <v>14</v>
      </c>
      <c r="AZ2" s="2" t="s">
        <v>15</v>
      </c>
      <c r="BA2" s="2" t="s">
        <v>16</v>
      </c>
      <c r="BB2" s="2" t="s">
        <v>17</v>
      </c>
      <c r="BC2" s="2" t="s">
        <v>18</v>
      </c>
      <c r="BD2" s="2" t="s">
        <v>13</v>
      </c>
      <c r="BE2" s="2" t="s">
        <v>14</v>
      </c>
      <c r="BF2" s="2" t="s">
        <v>15</v>
      </c>
      <c r="BG2" s="2" t="s">
        <v>16</v>
      </c>
      <c r="BH2" s="2" t="s">
        <v>17</v>
      </c>
      <c r="BI2" s="2" t="s">
        <v>18</v>
      </c>
      <c r="BJ2" s="2" t="s">
        <v>13</v>
      </c>
      <c r="BK2" s="2" t="s">
        <v>14</v>
      </c>
      <c r="BL2" s="3" t="s">
        <v>15</v>
      </c>
      <c r="BM2" s="1" t="s">
        <v>16</v>
      </c>
      <c r="BN2" s="2" t="s">
        <v>17</v>
      </c>
      <c r="BO2" s="2" t="s">
        <v>18</v>
      </c>
      <c r="BP2" s="2" t="s">
        <v>13</v>
      </c>
      <c r="BQ2" s="2" t="s">
        <v>14</v>
      </c>
      <c r="BR2" s="2" t="s">
        <v>15</v>
      </c>
      <c r="BS2" s="2" t="s">
        <v>16</v>
      </c>
      <c r="BT2" s="2" t="s">
        <v>17</v>
      </c>
      <c r="BU2" s="2" t="s">
        <v>18</v>
      </c>
      <c r="BV2" s="2" t="s">
        <v>13</v>
      </c>
      <c r="BW2" s="2" t="s">
        <v>14</v>
      </c>
      <c r="BX2" s="2" t="s">
        <v>15</v>
      </c>
      <c r="BY2" s="2" t="s">
        <v>16</v>
      </c>
      <c r="BZ2" s="2" t="s">
        <v>17</v>
      </c>
      <c r="CA2" s="2" t="s">
        <v>18</v>
      </c>
      <c r="CB2" s="2" t="s">
        <v>13</v>
      </c>
      <c r="CC2" s="2" t="s">
        <v>14</v>
      </c>
      <c r="CD2" s="2" t="s">
        <v>15</v>
      </c>
      <c r="CE2" s="2" t="s">
        <v>16</v>
      </c>
      <c r="CF2" s="2" t="s">
        <v>17</v>
      </c>
      <c r="CG2" s="2" t="s">
        <v>18</v>
      </c>
      <c r="CH2" s="2" t="s">
        <v>13</v>
      </c>
      <c r="CI2" s="2" t="s">
        <v>14</v>
      </c>
      <c r="CJ2" s="2" t="s">
        <v>15</v>
      </c>
      <c r="CK2" s="2" t="s">
        <v>16</v>
      </c>
      <c r="CL2" s="3" t="s">
        <v>17</v>
      </c>
      <c r="CM2" s="1" t="s">
        <v>18</v>
      </c>
      <c r="CN2" s="2" t="s">
        <v>13</v>
      </c>
      <c r="CO2" s="2" t="s">
        <v>14</v>
      </c>
      <c r="CP2" s="2" t="s">
        <v>15</v>
      </c>
      <c r="CQ2" s="2" t="s">
        <v>16</v>
      </c>
      <c r="CR2" s="2" t="s">
        <v>17</v>
      </c>
      <c r="CS2" s="2" t="s">
        <v>18</v>
      </c>
      <c r="CT2" s="2" t="s">
        <v>13</v>
      </c>
      <c r="CU2" s="2" t="s">
        <v>14</v>
      </c>
      <c r="CV2" s="2" t="s">
        <v>15</v>
      </c>
      <c r="CW2" s="2" t="s">
        <v>16</v>
      </c>
      <c r="CX2" s="2" t="s">
        <v>17</v>
      </c>
      <c r="CY2" s="2" t="s">
        <v>18</v>
      </c>
      <c r="CZ2" s="2" t="s">
        <v>13</v>
      </c>
      <c r="DA2" s="2" t="s">
        <v>14</v>
      </c>
      <c r="DB2" s="2" t="s">
        <v>15</v>
      </c>
      <c r="DC2" s="2" t="s">
        <v>16</v>
      </c>
      <c r="DD2" s="2" t="s">
        <v>17</v>
      </c>
      <c r="DE2" s="2" t="s">
        <v>18</v>
      </c>
      <c r="DF2" s="2" t="s">
        <v>13</v>
      </c>
      <c r="DG2" s="2" t="s">
        <v>14</v>
      </c>
      <c r="DH2" s="2" t="s">
        <v>15</v>
      </c>
      <c r="DI2" s="2" t="s">
        <v>16</v>
      </c>
      <c r="DJ2" s="2" t="s">
        <v>17</v>
      </c>
      <c r="DK2" s="2" t="s">
        <v>18</v>
      </c>
      <c r="DL2" s="3" t="s">
        <v>13</v>
      </c>
      <c r="DM2" s="1" t="s">
        <v>14</v>
      </c>
      <c r="DN2" s="2" t="s">
        <v>15</v>
      </c>
      <c r="DO2" s="2" t="s">
        <v>16</v>
      </c>
      <c r="DP2" s="2" t="s">
        <v>17</v>
      </c>
      <c r="DQ2" s="2" t="s">
        <v>18</v>
      </c>
      <c r="DR2" s="2" t="s">
        <v>13</v>
      </c>
      <c r="DS2" s="2" t="s">
        <v>14</v>
      </c>
      <c r="DT2" s="2" t="s">
        <v>15</v>
      </c>
      <c r="DU2" s="2" t="s">
        <v>16</v>
      </c>
      <c r="DV2" s="2" t="s">
        <v>17</v>
      </c>
      <c r="DW2" s="2" t="s">
        <v>18</v>
      </c>
      <c r="DX2" s="2" t="s">
        <v>13</v>
      </c>
      <c r="DY2" s="2" t="s">
        <v>14</v>
      </c>
      <c r="DZ2" s="2" t="s">
        <v>15</v>
      </c>
      <c r="EA2" s="2" t="s">
        <v>16</v>
      </c>
      <c r="EB2" s="2" t="s">
        <v>17</v>
      </c>
      <c r="EC2" s="2" t="s">
        <v>18</v>
      </c>
      <c r="ED2" s="2" t="s">
        <v>13</v>
      </c>
      <c r="EE2" s="2" t="s">
        <v>14</v>
      </c>
      <c r="EF2" s="2" t="s">
        <v>15</v>
      </c>
      <c r="EG2" s="2" t="s">
        <v>16</v>
      </c>
      <c r="EH2" s="2" t="s">
        <v>17</v>
      </c>
      <c r="EI2" s="2" t="s">
        <v>18</v>
      </c>
      <c r="EJ2" s="2" t="s">
        <v>13</v>
      </c>
      <c r="EK2" s="2" t="s">
        <v>14</v>
      </c>
      <c r="EL2" s="3" t="s">
        <v>15</v>
      </c>
      <c r="EM2" s="1" t="s">
        <v>16</v>
      </c>
      <c r="EN2" s="2" t="s">
        <v>17</v>
      </c>
      <c r="EO2" s="2" t="s">
        <v>18</v>
      </c>
      <c r="EP2" s="2" t="s">
        <v>13</v>
      </c>
      <c r="EQ2" s="2" t="s">
        <v>14</v>
      </c>
      <c r="ER2" s="2" t="s">
        <v>15</v>
      </c>
      <c r="ES2" s="2" t="s">
        <v>16</v>
      </c>
      <c r="ET2" s="2" t="s">
        <v>17</v>
      </c>
      <c r="EU2" s="2" t="s">
        <v>18</v>
      </c>
      <c r="EV2" s="2" t="s">
        <v>13</v>
      </c>
      <c r="EW2" s="2" t="s">
        <v>14</v>
      </c>
      <c r="EX2" s="2" t="s">
        <v>15</v>
      </c>
      <c r="EY2" s="2" t="s">
        <v>16</v>
      </c>
      <c r="EZ2" s="2" t="s">
        <v>17</v>
      </c>
      <c r="FA2" s="2" t="s">
        <v>18</v>
      </c>
      <c r="FB2" s="2" t="s">
        <v>13</v>
      </c>
      <c r="FC2" s="2" t="s">
        <v>14</v>
      </c>
      <c r="FD2" s="2" t="s">
        <v>15</v>
      </c>
      <c r="FE2" s="2" t="s">
        <v>16</v>
      </c>
      <c r="FF2" s="2" t="s">
        <v>17</v>
      </c>
      <c r="FG2" s="2" t="s">
        <v>18</v>
      </c>
      <c r="FH2" s="2" t="s">
        <v>13</v>
      </c>
      <c r="FI2" s="2" t="s">
        <v>14</v>
      </c>
      <c r="FJ2" s="2" t="s">
        <v>15</v>
      </c>
      <c r="FK2" s="2" t="s">
        <v>16</v>
      </c>
      <c r="FL2" s="3" t="s">
        <v>17</v>
      </c>
      <c r="FM2" s="1" t="s">
        <v>18</v>
      </c>
      <c r="FN2" s="2" t="s">
        <v>13</v>
      </c>
      <c r="FO2" s="2" t="s">
        <v>14</v>
      </c>
      <c r="FP2" s="2" t="s">
        <v>15</v>
      </c>
      <c r="FQ2" s="2" t="s">
        <v>16</v>
      </c>
      <c r="FR2" s="2" t="s">
        <v>17</v>
      </c>
      <c r="FS2" s="2" t="s">
        <v>18</v>
      </c>
      <c r="FT2" s="2" t="s">
        <v>13</v>
      </c>
      <c r="FU2" s="2" t="s">
        <v>14</v>
      </c>
      <c r="FV2" s="2" t="s">
        <v>15</v>
      </c>
      <c r="FW2" s="2" t="s">
        <v>16</v>
      </c>
      <c r="FX2" s="2" t="s">
        <v>17</v>
      </c>
      <c r="FY2" s="2" t="s">
        <v>18</v>
      </c>
      <c r="FZ2" s="2" t="s">
        <v>13</v>
      </c>
      <c r="GA2" s="2" t="s">
        <v>14</v>
      </c>
      <c r="GB2" s="2" t="s">
        <v>15</v>
      </c>
      <c r="GC2" s="2" t="s">
        <v>16</v>
      </c>
      <c r="GD2" s="2" t="s">
        <v>17</v>
      </c>
      <c r="GE2" s="2" t="s">
        <v>18</v>
      </c>
      <c r="GF2" s="2" t="s">
        <v>13</v>
      </c>
      <c r="GG2" s="2" t="s">
        <v>14</v>
      </c>
      <c r="GH2" s="2" t="s">
        <v>15</v>
      </c>
      <c r="GI2" s="2" t="s">
        <v>16</v>
      </c>
      <c r="GJ2" s="2" t="s">
        <v>17</v>
      </c>
      <c r="GK2" s="2" t="s">
        <v>18</v>
      </c>
      <c r="GL2" s="2" t="s">
        <v>13</v>
      </c>
      <c r="GM2" s="3" t="s">
        <v>14</v>
      </c>
      <c r="GN2" s="1" t="s">
        <v>15</v>
      </c>
      <c r="GO2" s="2" t="s">
        <v>16</v>
      </c>
      <c r="GP2" s="2" t="s">
        <v>17</v>
      </c>
      <c r="GQ2" s="2" t="s">
        <v>18</v>
      </c>
      <c r="GR2" s="2" t="s">
        <v>13</v>
      </c>
      <c r="GS2" s="2" t="s">
        <v>14</v>
      </c>
      <c r="GT2" s="2" t="s">
        <v>15</v>
      </c>
      <c r="GU2" s="2" t="s">
        <v>16</v>
      </c>
      <c r="GV2" s="2" t="s">
        <v>17</v>
      </c>
      <c r="GW2" s="2" t="s">
        <v>18</v>
      </c>
      <c r="GX2" s="2" t="s">
        <v>13</v>
      </c>
      <c r="GY2" s="2" t="s">
        <v>14</v>
      </c>
      <c r="GZ2" s="2" t="s">
        <v>15</v>
      </c>
      <c r="HA2" s="2" t="s">
        <v>16</v>
      </c>
      <c r="HB2" s="2" t="s">
        <v>17</v>
      </c>
      <c r="HC2" s="2" t="s">
        <v>18</v>
      </c>
      <c r="HD2" s="2" t="s">
        <v>13</v>
      </c>
      <c r="HE2" s="2" t="s">
        <v>14</v>
      </c>
      <c r="HF2" s="2" t="s">
        <v>15</v>
      </c>
      <c r="HG2" s="2" t="s">
        <v>16</v>
      </c>
      <c r="HH2" s="2" t="s">
        <v>17</v>
      </c>
      <c r="HI2" s="2" t="s">
        <v>18</v>
      </c>
      <c r="HJ2" s="2" t="s">
        <v>13</v>
      </c>
      <c r="HK2" s="2" t="s">
        <v>14</v>
      </c>
      <c r="HL2" s="2" t="s">
        <v>15</v>
      </c>
      <c r="HM2" s="3" t="s">
        <v>16</v>
      </c>
      <c r="HN2" s="1" t="s">
        <v>17</v>
      </c>
      <c r="HO2" s="2" t="s">
        <v>18</v>
      </c>
      <c r="HP2" s="2" t="s">
        <v>13</v>
      </c>
      <c r="HQ2" s="2" t="s">
        <v>14</v>
      </c>
      <c r="HR2" s="2" t="s">
        <v>15</v>
      </c>
      <c r="HS2" s="2" t="s">
        <v>16</v>
      </c>
      <c r="HT2" s="2" t="s">
        <v>17</v>
      </c>
      <c r="HU2" s="2" t="s">
        <v>18</v>
      </c>
      <c r="HV2" s="2" t="s">
        <v>13</v>
      </c>
      <c r="HW2" s="2" t="s">
        <v>14</v>
      </c>
      <c r="HX2" s="2" t="s">
        <v>15</v>
      </c>
      <c r="HY2" s="2" t="s">
        <v>16</v>
      </c>
      <c r="HZ2" s="2" t="s">
        <v>17</v>
      </c>
      <c r="IA2" s="2" t="s">
        <v>18</v>
      </c>
      <c r="IB2" s="2" t="s">
        <v>13</v>
      </c>
      <c r="IC2" s="2" t="s">
        <v>14</v>
      </c>
      <c r="ID2" s="2" t="s">
        <v>15</v>
      </c>
      <c r="IE2" s="2" t="s">
        <v>16</v>
      </c>
      <c r="IF2" s="2" t="s">
        <v>17</v>
      </c>
      <c r="IG2" s="2" t="s">
        <v>18</v>
      </c>
      <c r="IH2" s="2" t="s">
        <v>13</v>
      </c>
      <c r="II2" s="2" t="s">
        <v>14</v>
      </c>
      <c r="IJ2" s="2" t="s">
        <v>15</v>
      </c>
      <c r="IK2" s="2" t="s">
        <v>16</v>
      </c>
      <c r="IL2" s="2" t="s">
        <v>17</v>
      </c>
      <c r="IM2" s="3" t="s">
        <v>18</v>
      </c>
      <c r="IN2" s="1" t="s">
        <v>13</v>
      </c>
      <c r="IO2" s="2" t="s">
        <v>14</v>
      </c>
      <c r="IP2" s="2" t="s">
        <v>15</v>
      </c>
      <c r="IQ2" s="2" t="s">
        <v>16</v>
      </c>
      <c r="IR2" s="2" t="s">
        <v>17</v>
      </c>
      <c r="IS2" s="2" t="s">
        <v>18</v>
      </c>
      <c r="IT2" s="2" t="s">
        <v>13</v>
      </c>
      <c r="IU2" s="2" t="s">
        <v>14</v>
      </c>
      <c r="IV2" s="2" t="s">
        <v>15</v>
      </c>
      <c r="IW2" s="2" t="s">
        <v>16</v>
      </c>
      <c r="IX2" s="2" t="s">
        <v>17</v>
      </c>
      <c r="IY2" s="2" t="s">
        <v>18</v>
      </c>
      <c r="IZ2" s="2" t="s">
        <v>13</v>
      </c>
      <c r="JA2" s="2" t="s">
        <v>14</v>
      </c>
      <c r="JB2" s="2" t="s">
        <v>15</v>
      </c>
      <c r="JC2" s="2" t="s">
        <v>16</v>
      </c>
      <c r="JD2" s="2" t="s">
        <v>17</v>
      </c>
      <c r="JE2" s="2" t="s">
        <v>18</v>
      </c>
      <c r="JF2" s="2" t="s">
        <v>13</v>
      </c>
      <c r="JG2" s="2" t="s">
        <v>14</v>
      </c>
      <c r="JH2" s="2" t="s">
        <v>15</v>
      </c>
      <c r="JI2" s="2" t="s">
        <v>16</v>
      </c>
      <c r="JJ2" s="2" t="s">
        <v>17</v>
      </c>
      <c r="JK2" s="2" t="s">
        <v>18</v>
      </c>
      <c r="JL2" s="2" t="s">
        <v>13</v>
      </c>
      <c r="JM2" s="2" t="s">
        <v>14</v>
      </c>
      <c r="JN2" s="3" t="s">
        <v>15</v>
      </c>
      <c r="JO2" s="1" t="s">
        <v>16</v>
      </c>
      <c r="JP2" s="2" t="s">
        <v>17</v>
      </c>
      <c r="JQ2" s="2" t="s">
        <v>18</v>
      </c>
      <c r="JR2" s="2" t="s">
        <v>13</v>
      </c>
      <c r="JS2" s="2" t="s">
        <v>14</v>
      </c>
      <c r="JT2" s="2" t="s">
        <v>15</v>
      </c>
      <c r="JU2" s="2" t="s">
        <v>16</v>
      </c>
      <c r="JV2" s="2" t="s">
        <v>17</v>
      </c>
      <c r="JW2" s="2" t="s">
        <v>18</v>
      </c>
      <c r="JX2" s="2" t="s">
        <v>13</v>
      </c>
      <c r="JY2" s="2" t="s">
        <v>14</v>
      </c>
      <c r="JZ2" s="2" t="s">
        <v>15</v>
      </c>
      <c r="KA2" s="2" t="s">
        <v>16</v>
      </c>
      <c r="KB2" s="2" t="s">
        <v>17</v>
      </c>
      <c r="KC2" s="2" t="s">
        <v>18</v>
      </c>
      <c r="KD2" s="2" t="s">
        <v>13</v>
      </c>
      <c r="KE2" s="2" t="s">
        <v>14</v>
      </c>
      <c r="KF2" s="2" t="s">
        <v>15</v>
      </c>
      <c r="KG2" s="2" t="s">
        <v>16</v>
      </c>
      <c r="KH2" s="2" t="s">
        <v>17</v>
      </c>
      <c r="KI2" s="2" t="s">
        <v>18</v>
      </c>
      <c r="KJ2" s="2" t="s">
        <v>13</v>
      </c>
      <c r="KK2" s="2" t="s">
        <v>14</v>
      </c>
      <c r="KL2" s="2" t="s">
        <v>15</v>
      </c>
      <c r="KM2" s="3" t="s">
        <v>16</v>
      </c>
      <c r="KN2" s="1" t="s">
        <v>17</v>
      </c>
      <c r="KO2" s="2" t="s">
        <v>18</v>
      </c>
      <c r="KP2" s="2" t="s">
        <v>13</v>
      </c>
      <c r="KQ2" s="2" t="s">
        <v>14</v>
      </c>
      <c r="KR2" s="2" t="s">
        <v>15</v>
      </c>
      <c r="KS2" s="2" t="s">
        <v>16</v>
      </c>
      <c r="KT2" s="2" t="s">
        <v>17</v>
      </c>
      <c r="KU2" s="2" t="s">
        <v>18</v>
      </c>
      <c r="KV2" s="2" t="s">
        <v>13</v>
      </c>
      <c r="KW2" s="2" t="s">
        <v>14</v>
      </c>
      <c r="KX2" s="2" t="s">
        <v>15</v>
      </c>
      <c r="KY2" s="2" t="s">
        <v>16</v>
      </c>
      <c r="KZ2" s="2" t="s">
        <v>17</v>
      </c>
      <c r="LA2" s="2" t="s">
        <v>18</v>
      </c>
      <c r="LB2" s="2" t="s">
        <v>13</v>
      </c>
      <c r="LC2" s="2" t="s">
        <v>14</v>
      </c>
      <c r="LD2" s="2" t="s">
        <v>15</v>
      </c>
      <c r="LE2" s="2" t="s">
        <v>16</v>
      </c>
      <c r="LF2" s="2" t="s">
        <v>17</v>
      </c>
      <c r="LG2" s="2" t="s">
        <v>18</v>
      </c>
      <c r="LH2" s="2" t="s">
        <v>13</v>
      </c>
      <c r="LI2" s="2" t="s">
        <v>14</v>
      </c>
      <c r="LJ2" s="2" t="s">
        <v>15</v>
      </c>
      <c r="LK2" s="2" t="s">
        <v>16</v>
      </c>
      <c r="LL2" s="2" t="s">
        <v>17</v>
      </c>
      <c r="LM2" s="2" t="s">
        <v>18</v>
      </c>
      <c r="LN2" s="3" t="s">
        <v>13</v>
      </c>
    </row>
    <row r="3" spans="1:326" s="97" customFormat="1" ht="50.25" customHeight="1" x14ac:dyDescent="0.3">
      <c r="A3" s="89" t="s">
        <v>19</v>
      </c>
      <c r="B3" s="87" t="s">
        <v>20</v>
      </c>
      <c r="C3" s="87" t="s">
        <v>21</v>
      </c>
      <c r="D3" s="100" t="s">
        <v>22</v>
      </c>
      <c r="E3" s="88" t="s">
        <v>23</v>
      </c>
      <c r="F3" s="88" t="s">
        <v>24</v>
      </c>
      <c r="G3" s="88" t="s">
        <v>25</v>
      </c>
      <c r="H3" s="88" t="s">
        <v>26</v>
      </c>
      <c r="I3" s="88" t="s">
        <v>27</v>
      </c>
      <c r="J3" s="88" t="s">
        <v>28</v>
      </c>
      <c r="K3" s="88" t="s">
        <v>29</v>
      </c>
      <c r="L3" s="88" t="s">
        <v>30</v>
      </c>
      <c r="M3" s="96" t="s">
        <v>31</v>
      </c>
      <c r="N3" s="91">
        <v>1</v>
      </c>
      <c r="O3" s="5">
        <v>2</v>
      </c>
      <c r="P3" s="5">
        <v>3</v>
      </c>
      <c r="Q3" s="5">
        <v>5</v>
      </c>
      <c r="R3" s="5">
        <v>6</v>
      </c>
      <c r="S3" s="5">
        <v>7</v>
      </c>
      <c r="T3" s="5">
        <v>8</v>
      </c>
      <c r="U3" s="5">
        <v>9</v>
      </c>
      <c r="V3" s="5">
        <v>10</v>
      </c>
      <c r="W3" s="6">
        <v>12</v>
      </c>
      <c r="X3" s="5">
        <v>13</v>
      </c>
      <c r="Y3" s="5">
        <v>14</v>
      </c>
      <c r="Z3" s="5">
        <v>15</v>
      </c>
      <c r="AA3" s="5">
        <v>16</v>
      </c>
      <c r="AB3" s="5">
        <v>17</v>
      </c>
      <c r="AC3" s="5">
        <v>19</v>
      </c>
      <c r="AD3" s="5">
        <v>20</v>
      </c>
      <c r="AE3" s="5">
        <v>21</v>
      </c>
      <c r="AF3" s="5">
        <v>22</v>
      </c>
      <c r="AG3" s="5">
        <v>23</v>
      </c>
      <c r="AH3" s="5">
        <v>24</v>
      </c>
      <c r="AI3" s="5">
        <v>26</v>
      </c>
      <c r="AJ3" s="5">
        <v>27</v>
      </c>
      <c r="AK3" s="5">
        <v>28</v>
      </c>
      <c r="AL3" s="5">
        <v>29</v>
      </c>
      <c r="AM3" s="5">
        <v>30</v>
      </c>
      <c r="AN3" s="7">
        <v>31</v>
      </c>
      <c r="AO3" s="8">
        <v>2</v>
      </c>
      <c r="AP3" s="5">
        <v>3</v>
      </c>
      <c r="AQ3" s="5">
        <v>4</v>
      </c>
      <c r="AR3" s="5">
        <v>5</v>
      </c>
      <c r="AS3" s="5">
        <v>6</v>
      </c>
      <c r="AT3" s="5">
        <v>7</v>
      </c>
      <c r="AU3" s="5">
        <v>9</v>
      </c>
      <c r="AV3" s="5">
        <v>10</v>
      </c>
      <c r="AW3" s="5">
        <v>11</v>
      </c>
      <c r="AX3" s="5">
        <v>12</v>
      </c>
      <c r="AY3" s="5">
        <v>13</v>
      </c>
      <c r="AZ3" s="5">
        <v>14</v>
      </c>
      <c r="BA3" s="5">
        <v>16</v>
      </c>
      <c r="BB3" s="5">
        <v>17</v>
      </c>
      <c r="BC3" s="5">
        <v>18</v>
      </c>
      <c r="BD3" s="5">
        <v>19</v>
      </c>
      <c r="BE3" s="5">
        <v>20</v>
      </c>
      <c r="BF3" s="5">
        <v>21</v>
      </c>
      <c r="BG3" s="5">
        <v>23</v>
      </c>
      <c r="BH3" s="5">
        <v>24</v>
      </c>
      <c r="BI3" s="5">
        <v>25</v>
      </c>
      <c r="BJ3" s="5">
        <v>26</v>
      </c>
      <c r="BK3" s="5">
        <v>27</v>
      </c>
      <c r="BL3" s="7">
        <v>28</v>
      </c>
      <c r="BM3" s="8">
        <v>2</v>
      </c>
      <c r="BN3" s="5">
        <v>3</v>
      </c>
      <c r="BO3" s="5">
        <v>4</v>
      </c>
      <c r="BP3" s="6">
        <v>5</v>
      </c>
      <c r="BQ3" s="5">
        <v>6</v>
      </c>
      <c r="BR3" s="5">
        <v>7</v>
      </c>
      <c r="BS3" s="5">
        <v>9</v>
      </c>
      <c r="BT3" s="6">
        <v>10</v>
      </c>
      <c r="BU3" s="5">
        <v>11</v>
      </c>
      <c r="BV3" s="6">
        <v>12</v>
      </c>
      <c r="BW3" s="5">
        <v>13</v>
      </c>
      <c r="BX3" s="5">
        <v>14</v>
      </c>
      <c r="BY3" s="5">
        <v>16</v>
      </c>
      <c r="BZ3" s="5">
        <v>17</v>
      </c>
      <c r="CA3" s="6">
        <v>18</v>
      </c>
      <c r="CB3" s="5">
        <v>19</v>
      </c>
      <c r="CC3" s="5">
        <v>20</v>
      </c>
      <c r="CD3" s="5">
        <v>21</v>
      </c>
      <c r="CE3" s="6">
        <v>23</v>
      </c>
      <c r="CF3" s="5">
        <v>24</v>
      </c>
      <c r="CG3" s="6">
        <v>25</v>
      </c>
      <c r="CH3" s="5">
        <v>26</v>
      </c>
      <c r="CI3" s="5">
        <v>27</v>
      </c>
      <c r="CJ3" s="5">
        <v>28</v>
      </c>
      <c r="CK3" s="5">
        <v>30</v>
      </c>
      <c r="CL3" s="7">
        <v>31</v>
      </c>
      <c r="CM3" s="6">
        <v>1</v>
      </c>
      <c r="CN3" s="6">
        <v>2</v>
      </c>
      <c r="CO3" s="6">
        <v>3</v>
      </c>
      <c r="CP3" s="5">
        <v>4</v>
      </c>
      <c r="CQ3" s="5">
        <v>6</v>
      </c>
      <c r="CR3" s="5">
        <v>7</v>
      </c>
      <c r="CS3" s="5">
        <v>8</v>
      </c>
      <c r="CT3" s="5">
        <v>9</v>
      </c>
      <c r="CU3" s="5">
        <v>10</v>
      </c>
      <c r="CV3" s="5">
        <v>11</v>
      </c>
      <c r="CW3" s="5">
        <v>13</v>
      </c>
      <c r="CX3" s="5">
        <v>14</v>
      </c>
      <c r="CY3" s="9">
        <v>15</v>
      </c>
      <c r="CZ3" s="5">
        <v>16</v>
      </c>
      <c r="DA3" s="5">
        <v>17</v>
      </c>
      <c r="DB3" s="5">
        <v>18</v>
      </c>
      <c r="DC3" s="5">
        <v>20</v>
      </c>
      <c r="DD3" s="5">
        <v>21</v>
      </c>
      <c r="DE3" s="5">
        <v>22</v>
      </c>
      <c r="DF3" s="5">
        <v>23</v>
      </c>
      <c r="DG3" s="5">
        <v>24</v>
      </c>
      <c r="DH3" s="5">
        <v>25</v>
      </c>
      <c r="DI3" s="5">
        <v>27</v>
      </c>
      <c r="DJ3" s="5">
        <v>28</v>
      </c>
      <c r="DK3" s="9">
        <v>29</v>
      </c>
      <c r="DL3" s="7">
        <v>30</v>
      </c>
      <c r="DM3" s="4">
        <v>1</v>
      </c>
      <c r="DN3" s="5">
        <v>2</v>
      </c>
      <c r="DO3" s="5">
        <v>4</v>
      </c>
      <c r="DP3" s="5">
        <v>5</v>
      </c>
      <c r="DQ3" s="5">
        <v>6</v>
      </c>
      <c r="DR3" s="5">
        <v>7</v>
      </c>
      <c r="DS3" s="5">
        <v>8</v>
      </c>
      <c r="DT3" s="5">
        <v>9</v>
      </c>
      <c r="DU3" s="5">
        <v>11</v>
      </c>
      <c r="DV3" s="5">
        <v>12</v>
      </c>
      <c r="DW3" s="6">
        <v>13</v>
      </c>
      <c r="DX3" s="5">
        <v>14</v>
      </c>
      <c r="DY3" s="9">
        <v>15</v>
      </c>
      <c r="DZ3" s="5">
        <v>16</v>
      </c>
      <c r="EA3" s="6">
        <v>18</v>
      </c>
      <c r="EB3" s="5">
        <v>19</v>
      </c>
      <c r="EC3" s="5">
        <v>20</v>
      </c>
      <c r="ED3" s="5">
        <v>21</v>
      </c>
      <c r="EE3" s="5">
        <v>22</v>
      </c>
      <c r="EF3" s="5">
        <v>23</v>
      </c>
      <c r="EG3" s="5">
        <v>25</v>
      </c>
      <c r="EH3" s="5">
        <v>26</v>
      </c>
      <c r="EI3" s="6">
        <v>27</v>
      </c>
      <c r="EJ3" s="5">
        <v>28</v>
      </c>
      <c r="EK3" s="9">
        <v>29</v>
      </c>
      <c r="EL3" s="7">
        <v>30</v>
      </c>
      <c r="EM3" s="8">
        <v>1</v>
      </c>
      <c r="EN3" s="5">
        <v>2</v>
      </c>
      <c r="EO3" s="5">
        <v>3</v>
      </c>
      <c r="EP3" s="5">
        <v>4</v>
      </c>
      <c r="EQ3" s="5">
        <v>5</v>
      </c>
      <c r="ER3" s="5">
        <v>6</v>
      </c>
      <c r="ES3" s="6">
        <v>8</v>
      </c>
      <c r="ET3" s="9">
        <v>9</v>
      </c>
      <c r="EU3" s="6">
        <v>10</v>
      </c>
      <c r="EV3" s="5">
        <v>11</v>
      </c>
      <c r="EW3" s="5">
        <v>12</v>
      </c>
      <c r="EX3" s="5">
        <v>13</v>
      </c>
      <c r="EY3" s="6">
        <v>15</v>
      </c>
      <c r="EZ3" s="5">
        <v>16</v>
      </c>
      <c r="FA3" s="5">
        <v>17</v>
      </c>
      <c r="FB3" s="9">
        <v>18</v>
      </c>
      <c r="FC3" s="6">
        <v>19</v>
      </c>
      <c r="FD3" s="5">
        <v>20</v>
      </c>
      <c r="FE3" s="5">
        <v>22</v>
      </c>
      <c r="FF3" s="5">
        <v>23</v>
      </c>
      <c r="FG3" s="9">
        <v>24</v>
      </c>
      <c r="FH3" s="5">
        <v>25</v>
      </c>
      <c r="FI3" s="5">
        <v>26</v>
      </c>
      <c r="FJ3" s="5">
        <v>27</v>
      </c>
      <c r="FK3" s="6">
        <v>29</v>
      </c>
      <c r="FL3" s="9">
        <v>30</v>
      </c>
      <c r="FM3" s="8">
        <v>1</v>
      </c>
      <c r="FN3" s="5">
        <v>2</v>
      </c>
      <c r="FO3" s="5">
        <v>3</v>
      </c>
      <c r="FP3" s="5">
        <v>4</v>
      </c>
      <c r="FQ3" s="5">
        <v>6</v>
      </c>
      <c r="FR3" s="5">
        <v>7</v>
      </c>
      <c r="FS3" s="5">
        <v>8</v>
      </c>
      <c r="FT3" s="5">
        <v>9</v>
      </c>
      <c r="FU3" s="6">
        <v>10</v>
      </c>
      <c r="FV3" s="5">
        <v>11</v>
      </c>
      <c r="FW3" s="5">
        <v>13</v>
      </c>
      <c r="FX3" s="5">
        <v>14</v>
      </c>
      <c r="FY3" s="6">
        <v>15</v>
      </c>
      <c r="FZ3" s="5">
        <v>16</v>
      </c>
      <c r="GA3" s="5">
        <v>17</v>
      </c>
      <c r="GB3" s="5">
        <v>18</v>
      </c>
      <c r="GC3" s="6">
        <v>20</v>
      </c>
      <c r="GD3" s="9">
        <v>21</v>
      </c>
      <c r="GE3" s="6">
        <v>22</v>
      </c>
      <c r="GF3" s="5">
        <v>23</v>
      </c>
      <c r="GG3" s="6">
        <v>24</v>
      </c>
      <c r="GH3" s="5">
        <v>25</v>
      </c>
      <c r="GI3" s="5">
        <v>27</v>
      </c>
      <c r="GJ3" s="5">
        <v>28</v>
      </c>
      <c r="GK3" s="5">
        <v>29</v>
      </c>
      <c r="GL3" s="5">
        <v>30</v>
      </c>
      <c r="GM3" s="7">
        <v>31</v>
      </c>
      <c r="GN3" s="8">
        <v>1</v>
      </c>
      <c r="GO3" s="5">
        <v>3</v>
      </c>
      <c r="GP3" s="5">
        <v>4</v>
      </c>
      <c r="GQ3" s="9">
        <v>5</v>
      </c>
      <c r="GR3" s="5">
        <v>6</v>
      </c>
      <c r="GS3" s="5">
        <v>7</v>
      </c>
      <c r="GT3" s="5">
        <v>8</v>
      </c>
      <c r="GU3" s="5">
        <v>10</v>
      </c>
      <c r="GV3" s="5">
        <v>11</v>
      </c>
      <c r="GW3" s="6">
        <v>12</v>
      </c>
      <c r="GX3" s="5">
        <v>13</v>
      </c>
      <c r="GY3" s="5">
        <v>14</v>
      </c>
      <c r="GZ3" s="5">
        <v>15</v>
      </c>
      <c r="HA3" s="6">
        <v>17</v>
      </c>
      <c r="HB3" s="5">
        <v>18</v>
      </c>
      <c r="HC3" s="5">
        <v>19</v>
      </c>
      <c r="HD3" s="9">
        <v>20</v>
      </c>
      <c r="HE3" s="5">
        <v>21</v>
      </c>
      <c r="HF3" s="5">
        <v>22</v>
      </c>
      <c r="HG3" s="5">
        <v>24</v>
      </c>
      <c r="HH3" s="5">
        <v>25</v>
      </c>
      <c r="HI3" s="5">
        <v>26</v>
      </c>
      <c r="HJ3" s="5">
        <v>27</v>
      </c>
      <c r="HK3" s="5">
        <v>28</v>
      </c>
      <c r="HL3" s="5">
        <v>29</v>
      </c>
      <c r="HM3" s="7">
        <v>31</v>
      </c>
      <c r="HN3" s="8">
        <v>1</v>
      </c>
      <c r="HO3" s="5">
        <v>2</v>
      </c>
      <c r="HP3" s="9">
        <v>3</v>
      </c>
      <c r="HQ3" s="5">
        <v>4</v>
      </c>
      <c r="HR3" s="5">
        <v>5</v>
      </c>
      <c r="HS3" s="5">
        <v>7</v>
      </c>
      <c r="HT3" s="5">
        <v>8</v>
      </c>
      <c r="HU3" s="5">
        <v>9</v>
      </c>
      <c r="HV3" s="5">
        <v>10</v>
      </c>
      <c r="HW3" s="5">
        <v>11</v>
      </c>
      <c r="HX3" s="5">
        <v>12</v>
      </c>
      <c r="HY3" s="5">
        <v>14</v>
      </c>
      <c r="HZ3" s="9">
        <v>15</v>
      </c>
      <c r="IA3" s="5">
        <v>16</v>
      </c>
      <c r="IB3" s="5">
        <v>17</v>
      </c>
      <c r="IC3" s="5">
        <v>18</v>
      </c>
      <c r="ID3" s="5">
        <v>19</v>
      </c>
      <c r="IE3" s="6">
        <v>21</v>
      </c>
      <c r="IF3" s="6">
        <v>22</v>
      </c>
      <c r="IG3" s="6">
        <v>23</v>
      </c>
      <c r="IH3" s="6">
        <v>24</v>
      </c>
      <c r="II3" s="6">
        <v>25</v>
      </c>
      <c r="IJ3" s="5">
        <v>26</v>
      </c>
      <c r="IK3" s="5">
        <v>28</v>
      </c>
      <c r="IL3" s="9">
        <v>29</v>
      </c>
      <c r="IM3" s="7">
        <v>30</v>
      </c>
      <c r="IN3" s="8">
        <v>1</v>
      </c>
      <c r="IO3" s="5">
        <v>2</v>
      </c>
      <c r="IP3" s="5">
        <v>3</v>
      </c>
      <c r="IQ3" s="6">
        <v>5</v>
      </c>
      <c r="IR3" s="6">
        <v>6</v>
      </c>
      <c r="IS3" s="6">
        <v>7</v>
      </c>
      <c r="IT3" s="6">
        <v>8</v>
      </c>
      <c r="IU3" s="6">
        <v>9</v>
      </c>
      <c r="IV3" s="5">
        <v>10</v>
      </c>
      <c r="IW3" s="6">
        <v>12</v>
      </c>
      <c r="IX3" s="5">
        <v>13</v>
      </c>
      <c r="IY3" s="5">
        <v>14</v>
      </c>
      <c r="IZ3" s="9">
        <v>15</v>
      </c>
      <c r="JA3" s="5">
        <v>16</v>
      </c>
      <c r="JB3" s="5">
        <v>17</v>
      </c>
      <c r="JC3" s="5">
        <v>19</v>
      </c>
      <c r="JD3" s="5">
        <v>20</v>
      </c>
      <c r="JE3" s="5">
        <v>21</v>
      </c>
      <c r="JF3" s="5">
        <v>22</v>
      </c>
      <c r="JG3" s="5">
        <v>23</v>
      </c>
      <c r="JH3" s="5">
        <v>24</v>
      </c>
      <c r="JI3" s="5">
        <v>26</v>
      </c>
      <c r="JJ3" s="9">
        <v>27</v>
      </c>
      <c r="JK3" s="5">
        <v>28</v>
      </c>
      <c r="JL3" s="5">
        <v>29</v>
      </c>
      <c r="JM3" s="5">
        <v>30</v>
      </c>
      <c r="JN3" s="7">
        <v>31</v>
      </c>
      <c r="JO3" s="4">
        <v>2</v>
      </c>
      <c r="JP3" s="9">
        <v>3</v>
      </c>
      <c r="JQ3" s="5">
        <v>4</v>
      </c>
      <c r="JR3" s="5">
        <v>5</v>
      </c>
      <c r="JS3" s="5">
        <v>6</v>
      </c>
      <c r="JT3" s="5">
        <v>7</v>
      </c>
      <c r="JU3" s="5">
        <v>9</v>
      </c>
      <c r="JV3" s="5">
        <v>10</v>
      </c>
      <c r="JW3" s="5">
        <v>11</v>
      </c>
      <c r="JX3" s="5">
        <v>12</v>
      </c>
      <c r="JY3" s="5">
        <v>13</v>
      </c>
      <c r="JZ3" s="5">
        <v>14</v>
      </c>
      <c r="KA3" s="6">
        <v>16</v>
      </c>
      <c r="KB3" s="5">
        <v>17</v>
      </c>
      <c r="KC3" s="5">
        <v>18</v>
      </c>
      <c r="KD3" s="9">
        <v>19</v>
      </c>
      <c r="KE3" s="5">
        <v>20</v>
      </c>
      <c r="KF3" s="5">
        <v>21</v>
      </c>
      <c r="KG3" s="5">
        <v>23</v>
      </c>
      <c r="KH3" s="9">
        <v>24</v>
      </c>
      <c r="KI3" s="5">
        <v>25</v>
      </c>
      <c r="KJ3" s="5">
        <v>26</v>
      </c>
      <c r="KK3" s="5">
        <v>27</v>
      </c>
      <c r="KL3" s="5">
        <v>28</v>
      </c>
      <c r="KM3" s="7">
        <v>30</v>
      </c>
      <c r="KN3" s="8">
        <v>1</v>
      </c>
      <c r="KO3" s="5">
        <v>2</v>
      </c>
      <c r="KP3" s="5">
        <v>3</v>
      </c>
      <c r="KQ3" s="5">
        <v>4</v>
      </c>
      <c r="KR3" s="5">
        <v>5</v>
      </c>
      <c r="KS3" s="5">
        <v>7</v>
      </c>
      <c r="KT3" s="6">
        <v>8</v>
      </c>
      <c r="KU3" s="5">
        <v>9</v>
      </c>
      <c r="KV3" s="5">
        <v>10</v>
      </c>
      <c r="KW3" s="5">
        <v>11</v>
      </c>
      <c r="KX3" s="5">
        <v>12</v>
      </c>
      <c r="KY3" s="5">
        <v>14</v>
      </c>
      <c r="KZ3" s="5">
        <v>15</v>
      </c>
      <c r="LA3" s="5">
        <v>16</v>
      </c>
      <c r="LB3" s="5">
        <v>17</v>
      </c>
      <c r="LC3" s="5">
        <v>18</v>
      </c>
      <c r="LD3" s="5">
        <v>19</v>
      </c>
      <c r="LE3" s="5">
        <v>21</v>
      </c>
      <c r="LF3" s="5">
        <v>22</v>
      </c>
      <c r="LG3" s="5">
        <v>23</v>
      </c>
      <c r="LH3" s="5">
        <v>24</v>
      </c>
      <c r="LI3" s="6">
        <v>25</v>
      </c>
      <c r="LJ3" s="5">
        <v>26</v>
      </c>
      <c r="LK3" s="5">
        <v>28</v>
      </c>
      <c r="LL3" s="5">
        <v>29</v>
      </c>
      <c r="LM3" s="5">
        <v>30</v>
      </c>
      <c r="LN3" s="7">
        <v>31</v>
      </c>
    </row>
    <row r="4" spans="1:326" ht="54" customHeight="1" x14ac:dyDescent="0.3">
      <c r="A4" s="90">
        <v>1</v>
      </c>
      <c r="B4" s="5">
        <v>1</v>
      </c>
      <c r="C4" s="10" t="s">
        <v>32</v>
      </c>
      <c r="D4" s="101">
        <v>77000000</v>
      </c>
      <c r="E4" s="5" t="s">
        <v>33</v>
      </c>
      <c r="F4" s="5" t="s">
        <v>34</v>
      </c>
      <c r="G4" s="5"/>
      <c r="H4" s="5"/>
      <c r="I4" s="5">
        <v>100</v>
      </c>
      <c r="J4" s="11" t="s">
        <v>35</v>
      </c>
      <c r="K4" s="12">
        <v>46098</v>
      </c>
      <c r="L4" s="12">
        <v>46247</v>
      </c>
      <c r="M4" s="13" t="s">
        <v>36</v>
      </c>
      <c r="N4" s="92"/>
      <c r="O4" s="15"/>
      <c r="P4" s="15"/>
      <c r="Q4" s="15"/>
      <c r="R4" s="15"/>
      <c r="S4" s="15"/>
      <c r="T4" s="15"/>
      <c r="U4" s="15"/>
      <c r="V4" s="15"/>
      <c r="W4" s="16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7"/>
      <c r="AO4" s="18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7"/>
      <c r="BM4" s="18"/>
      <c r="BN4" s="15"/>
      <c r="BO4" s="15"/>
      <c r="BP4" s="16"/>
      <c r="BQ4" s="15"/>
      <c r="BR4" s="15"/>
      <c r="BS4" s="15"/>
      <c r="BT4" s="16"/>
      <c r="BU4" s="15"/>
      <c r="BV4" s="16"/>
      <c r="BW4" s="15"/>
      <c r="BX4" s="15"/>
      <c r="BY4" s="15"/>
      <c r="BZ4" s="15">
        <v>1</v>
      </c>
      <c r="CA4" s="16"/>
      <c r="CB4" s="15">
        <v>2</v>
      </c>
      <c r="CC4" s="15"/>
      <c r="CD4" s="15"/>
      <c r="CE4" s="16"/>
      <c r="CF4" s="15">
        <v>3</v>
      </c>
      <c r="CG4" s="16"/>
      <c r="CH4" s="15">
        <v>4</v>
      </c>
      <c r="CI4" s="15"/>
      <c r="CJ4" s="15"/>
      <c r="CK4" s="15"/>
      <c r="CL4" s="17"/>
      <c r="CM4" s="16"/>
      <c r="CN4" s="16"/>
      <c r="CO4" s="16"/>
      <c r="CP4" s="15"/>
      <c r="CQ4" s="15"/>
      <c r="CR4" s="15">
        <v>5</v>
      </c>
      <c r="CS4" s="15"/>
      <c r="CT4" s="15">
        <v>6</v>
      </c>
      <c r="CU4" s="15"/>
      <c r="CV4" s="15"/>
      <c r="CW4" s="15"/>
      <c r="CX4" s="15">
        <v>7</v>
      </c>
      <c r="CY4" s="19"/>
      <c r="CZ4" s="15">
        <v>8</v>
      </c>
      <c r="DA4" s="15"/>
      <c r="DB4" s="15"/>
      <c r="DC4" s="15"/>
      <c r="DD4" s="15">
        <v>9</v>
      </c>
      <c r="DE4" s="15"/>
      <c r="DF4" s="15">
        <v>10</v>
      </c>
      <c r="DG4" s="15"/>
      <c r="DH4" s="15"/>
      <c r="DI4" s="15"/>
      <c r="DJ4" s="15">
        <v>11</v>
      </c>
      <c r="DK4" s="19"/>
      <c r="DL4" s="17">
        <v>12</v>
      </c>
      <c r="DM4" s="14"/>
      <c r="DN4" s="15"/>
      <c r="DO4" s="15"/>
      <c r="DP4" s="15">
        <v>13</v>
      </c>
      <c r="DQ4" s="15"/>
      <c r="DR4" s="15">
        <v>14</v>
      </c>
      <c r="DS4" s="15"/>
      <c r="DT4" s="15"/>
      <c r="DU4" s="15"/>
      <c r="DV4" s="15">
        <v>15</v>
      </c>
      <c r="DW4" s="16"/>
      <c r="DX4" s="15">
        <v>16</v>
      </c>
      <c r="DY4" s="19"/>
      <c r="DZ4" s="15"/>
      <c r="EA4" s="16"/>
      <c r="EB4" s="15">
        <v>17</v>
      </c>
      <c r="EC4" s="15"/>
      <c r="ED4" s="15">
        <v>18</v>
      </c>
      <c r="EE4" s="15"/>
      <c r="EF4" s="15"/>
      <c r="EG4" s="15"/>
      <c r="EH4" s="15">
        <v>19</v>
      </c>
      <c r="EI4" s="16"/>
      <c r="EJ4" s="15">
        <v>20</v>
      </c>
      <c r="EK4" s="19"/>
      <c r="EL4" s="17"/>
      <c r="EM4" s="18"/>
      <c r="EN4" s="15">
        <v>21</v>
      </c>
      <c r="EO4" s="15"/>
      <c r="EP4" s="15">
        <v>22</v>
      </c>
      <c r="EQ4" s="15"/>
      <c r="ER4" s="15"/>
      <c r="ES4" s="16"/>
      <c r="ET4" s="19">
        <v>23</v>
      </c>
      <c r="EU4" s="16"/>
      <c r="EV4" s="15">
        <v>24</v>
      </c>
      <c r="EW4" s="15"/>
      <c r="EX4" s="15"/>
      <c r="EY4" s="16"/>
      <c r="EZ4" s="15">
        <v>25</v>
      </c>
      <c r="FA4" s="15"/>
      <c r="FB4" s="19">
        <v>26</v>
      </c>
      <c r="FC4" s="16"/>
      <c r="FD4" s="15"/>
      <c r="FE4" s="15"/>
      <c r="FF4" s="15">
        <v>27</v>
      </c>
      <c r="FG4" s="19"/>
      <c r="FH4" s="15">
        <v>28</v>
      </c>
      <c r="FI4" s="15"/>
      <c r="FJ4" s="15"/>
      <c r="FK4" s="16"/>
      <c r="FL4" s="19">
        <v>29</v>
      </c>
      <c r="FM4" s="18"/>
      <c r="FN4" s="15">
        <v>30</v>
      </c>
      <c r="FO4" s="15"/>
      <c r="FP4" s="15"/>
      <c r="FQ4" s="15"/>
      <c r="FR4" s="15">
        <v>31</v>
      </c>
      <c r="FS4" s="15"/>
      <c r="FT4" s="15">
        <v>32</v>
      </c>
      <c r="FU4" s="16"/>
      <c r="FV4" s="15"/>
      <c r="FW4" s="15"/>
      <c r="FX4" s="15">
        <v>33</v>
      </c>
      <c r="FY4" s="16"/>
      <c r="FZ4" s="15">
        <v>34</v>
      </c>
      <c r="GA4" s="15"/>
      <c r="GB4" s="15"/>
      <c r="GC4" s="16"/>
      <c r="GD4" s="19">
        <v>35</v>
      </c>
      <c r="GE4" s="16"/>
      <c r="GF4" s="15">
        <v>36</v>
      </c>
      <c r="GG4" s="16"/>
      <c r="GH4" s="15"/>
      <c r="GI4" s="15"/>
      <c r="GJ4" s="15">
        <v>37</v>
      </c>
      <c r="GK4" s="15"/>
      <c r="GL4" s="15">
        <v>38</v>
      </c>
      <c r="GM4" s="17"/>
      <c r="GN4" s="18"/>
      <c r="GO4" s="15"/>
      <c r="GP4" s="15">
        <v>39</v>
      </c>
      <c r="GQ4" s="19"/>
      <c r="GR4" s="15">
        <v>40</v>
      </c>
      <c r="GS4" s="15"/>
      <c r="GT4" s="15"/>
      <c r="GU4" s="15"/>
      <c r="GV4" s="15">
        <v>41</v>
      </c>
      <c r="GW4" s="16"/>
      <c r="GX4" s="15">
        <v>42</v>
      </c>
      <c r="GY4" s="15"/>
      <c r="GZ4" s="15"/>
      <c r="HA4" s="16"/>
      <c r="HB4" s="15"/>
      <c r="HC4" s="15"/>
      <c r="HD4" s="19"/>
      <c r="HE4" s="15"/>
      <c r="HF4" s="15"/>
      <c r="HG4" s="15"/>
      <c r="HH4" s="15"/>
      <c r="HI4" s="15"/>
      <c r="HJ4" s="15"/>
      <c r="HK4" s="15"/>
      <c r="HL4" s="15"/>
      <c r="HM4" s="17"/>
      <c r="HN4" s="18"/>
      <c r="HO4" s="15"/>
      <c r="HP4" s="19"/>
      <c r="HQ4" s="15"/>
      <c r="HR4" s="15"/>
      <c r="HS4" s="15"/>
      <c r="HT4" s="15"/>
      <c r="HU4" s="15"/>
      <c r="HV4" s="15"/>
      <c r="HW4" s="15"/>
      <c r="HX4" s="15"/>
      <c r="HY4" s="15"/>
      <c r="HZ4" s="19"/>
      <c r="IA4" s="15"/>
      <c r="IB4" s="15"/>
      <c r="IC4" s="15"/>
      <c r="ID4" s="15"/>
      <c r="IE4" s="16"/>
      <c r="IF4" s="16"/>
      <c r="IG4" s="16"/>
      <c r="IH4" s="16"/>
      <c r="II4" s="16"/>
      <c r="IJ4" s="15"/>
      <c r="IK4" s="15"/>
      <c r="IL4" s="19"/>
      <c r="IM4" s="17"/>
      <c r="IN4" s="18"/>
      <c r="IO4" s="15"/>
      <c r="IP4" s="15"/>
      <c r="IQ4" s="16"/>
      <c r="IR4" s="16"/>
      <c r="IS4" s="16"/>
      <c r="IT4" s="16"/>
      <c r="IU4" s="16"/>
      <c r="IV4" s="15"/>
      <c r="IW4" s="16"/>
      <c r="IX4" s="15"/>
      <c r="IY4" s="15"/>
      <c r="IZ4" s="19"/>
      <c r="JA4" s="15"/>
      <c r="JB4" s="15"/>
      <c r="JC4" s="15"/>
      <c r="JD4" s="15"/>
      <c r="JE4" s="15"/>
      <c r="JF4" s="15"/>
      <c r="JG4" s="15"/>
      <c r="JH4" s="15"/>
      <c r="JI4" s="15"/>
      <c r="JJ4" s="19"/>
      <c r="JK4" s="15"/>
      <c r="JL4" s="15"/>
      <c r="JM4" s="15"/>
      <c r="JN4" s="17"/>
      <c r="JO4" s="14"/>
      <c r="JP4" s="19"/>
      <c r="JQ4" s="15"/>
      <c r="JR4" s="15"/>
      <c r="JS4" s="15"/>
      <c r="JT4" s="15"/>
      <c r="JU4" s="15"/>
      <c r="JV4" s="15"/>
      <c r="JW4" s="15"/>
      <c r="JX4" s="15"/>
      <c r="JY4" s="15"/>
      <c r="JZ4" s="15"/>
      <c r="KA4" s="16"/>
      <c r="KB4" s="15"/>
      <c r="KC4" s="15"/>
      <c r="KD4" s="19"/>
      <c r="KE4" s="15"/>
      <c r="KF4" s="15"/>
      <c r="KG4" s="15"/>
      <c r="KH4" s="19"/>
      <c r="KI4" s="15"/>
      <c r="KJ4" s="15"/>
      <c r="KK4" s="15"/>
      <c r="KL4" s="15"/>
      <c r="KM4" s="17"/>
      <c r="KN4" s="18"/>
      <c r="KO4" s="15"/>
      <c r="KP4" s="15"/>
      <c r="KQ4" s="15"/>
      <c r="KR4" s="15"/>
      <c r="KS4" s="15"/>
      <c r="KT4" s="16"/>
      <c r="KU4" s="15"/>
      <c r="KV4" s="15"/>
      <c r="KW4" s="15"/>
      <c r="KX4" s="15"/>
      <c r="KY4" s="15"/>
      <c r="KZ4" s="15"/>
      <c r="LA4" s="15"/>
      <c r="LB4" s="15"/>
      <c r="LC4" s="15"/>
      <c r="LD4" s="15"/>
      <c r="LE4" s="15"/>
      <c r="LF4" s="15"/>
      <c r="LG4" s="15"/>
      <c r="LH4" s="15"/>
      <c r="LI4" s="16"/>
      <c r="LJ4" s="15"/>
      <c r="LK4" s="15"/>
      <c r="LL4" s="15"/>
      <c r="LM4" s="15"/>
      <c r="LN4" s="17"/>
    </row>
    <row r="5" spans="1:326" ht="54" customHeight="1" x14ac:dyDescent="0.3">
      <c r="A5" s="90">
        <v>2</v>
      </c>
      <c r="B5" s="5">
        <v>1</v>
      </c>
      <c r="C5" s="10" t="s">
        <v>37</v>
      </c>
      <c r="D5" s="101">
        <v>24640000</v>
      </c>
      <c r="E5" s="5" t="s">
        <v>33</v>
      </c>
      <c r="F5" s="5" t="s">
        <v>38</v>
      </c>
      <c r="G5" s="5"/>
      <c r="H5" s="5"/>
      <c r="I5" s="5">
        <v>32</v>
      </c>
      <c r="J5" s="11" t="s">
        <v>39</v>
      </c>
      <c r="K5" s="12">
        <v>46237</v>
      </c>
      <c r="L5" s="12">
        <v>46335</v>
      </c>
      <c r="M5" s="13" t="s">
        <v>40</v>
      </c>
      <c r="N5" s="92"/>
      <c r="O5" s="15"/>
      <c r="P5" s="15"/>
      <c r="Q5" s="15"/>
      <c r="R5" s="15"/>
      <c r="S5" s="15"/>
      <c r="T5" s="15"/>
      <c r="U5" s="15"/>
      <c r="V5" s="15"/>
      <c r="W5" s="16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7"/>
      <c r="AO5" s="18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7"/>
      <c r="BM5" s="18"/>
      <c r="BN5" s="15"/>
      <c r="BO5" s="15"/>
      <c r="BP5" s="16"/>
      <c r="BQ5" s="15"/>
      <c r="BR5" s="15"/>
      <c r="BS5" s="15"/>
      <c r="BT5" s="16"/>
      <c r="BU5" s="15"/>
      <c r="BV5" s="16"/>
      <c r="BW5" s="15"/>
      <c r="BX5" s="15"/>
      <c r="BY5" s="15"/>
      <c r="BZ5" s="15"/>
      <c r="CA5" s="16"/>
      <c r="CB5" s="15"/>
      <c r="CC5" s="15"/>
      <c r="CD5" s="15"/>
      <c r="CE5" s="16"/>
      <c r="CF5" s="15"/>
      <c r="CG5" s="16"/>
      <c r="CH5" s="15"/>
      <c r="CI5" s="15"/>
      <c r="CJ5" s="15"/>
      <c r="CK5" s="15"/>
      <c r="CL5" s="17"/>
      <c r="CM5" s="16"/>
      <c r="CN5" s="16"/>
      <c r="CO5" s="16"/>
      <c r="CP5" s="15"/>
      <c r="CQ5" s="15"/>
      <c r="CR5" s="15"/>
      <c r="CS5" s="15"/>
      <c r="CT5" s="15"/>
      <c r="CU5" s="15"/>
      <c r="CV5" s="15"/>
      <c r="CW5" s="15"/>
      <c r="CX5" s="15"/>
      <c r="CY5" s="19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9"/>
      <c r="DL5" s="17"/>
      <c r="DM5" s="14"/>
      <c r="DN5" s="15"/>
      <c r="DO5" s="15"/>
      <c r="DP5" s="15"/>
      <c r="DQ5" s="15"/>
      <c r="DR5" s="15"/>
      <c r="DS5" s="15"/>
      <c r="DT5" s="15"/>
      <c r="DU5" s="15"/>
      <c r="DV5" s="15"/>
      <c r="DW5" s="16"/>
      <c r="DX5" s="15"/>
      <c r="DY5" s="19"/>
      <c r="DZ5" s="15"/>
      <c r="EA5" s="16"/>
      <c r="EB5" s="15"/>
      <c r="EC5" s="15"/>
      <c r="ED5" s="15"/>
      <c r="EE5" s="15"/>
      <c r="EF5" s="15"/>
      <c r="EG5" s="15"/>
      <c r="EH5" s="15"/>
      <c r="EI5" s="16"/>
      <c r="EJ5" s="15"/>
      <c r="EK5" s="19"/>
      <c r="EL5" s="17"/>
      <c r="EM5" s="18"/>
      <c r="EN5" s="15"/>
      <c r="EO5" s="15"/>
      <c r="EP5" s="15"/>
      <c r="EQ5" s="15"/>
      <c r="ER5" s="15"/>
      <c r="ES5" s="16"/>
      <c r="ET5" s="19"/>
      <c r="EU5" s="16"/>
      <c r="EV5" s="15"/>
      <c r="EW5" s="15"/>
      <c r="EX5" s="15"/>
      <c r="EY5" s="16"/>
      <c r="EZ5" s="15"/>
      <c r="FA5" s="15"/>
      <c r="FB5" s="19"/>
      <c r="FC5" s="16"/>
      <c r="FD5" s="15"/>
      <c r="FE5" s="15"/>
      <c r="FF5" s="15"/>
      <c r="FG5" s="19"/>
      <c r="FH5" s="15"/>
      <c r="FI5" s="15"/>
      <c r="FJ5" s="15"/>
      <c r="FK5" s="16"/>
      <c r="FL5" s="19"/>
      <c r="FM5" s="18"/>
      <c r="FN5" s="15"/>
      <c r="FO5" s="15"/>
      <c r="FP5" s="15"/>
      <c r="FQ5" s="15"/>
      <c r="FR5" s="15"/>
      <c r="FS5" s="15"/>
      <c r="FT5" s="15"/>
      <c r="FU5" s="16"/>
      <c r="FV5" s="15"/>
      <c r="FW5" s="15"/>
      <c r="FX5" s="15"/>
      <c r="FY5" s="16"/>
      <c r="FZ5" s="15"/>
      <c r="GA5" s="15"/>
      <c r="GB5" s="15"/>
      <c r="GC5" s="16"/>
      <c r="GD5" s="19"/>
      <c r="GE5" s="16"/>
      <c r="GF5" s="15"/>
      <c r="GG5" s="16"/>
      <c r="GH5" s="15"/>
      <c r="GI5" s="15"/>
      <c r="GJ5" s="15"/>
      <c r="GK5" s="15"/>
      <c r="GL5" s="15"/>
      <c r="GM5" s="17"/>
      <c r="GN5" s="18"/>
      <c r="GO5" s="15">
        <v>1</v>
      </c>
      <c r="GP5" s="15"/>
      <c r="GQ5" s="19"/>
      <c r="GR5" s="15"/>
      <c r="GS5" s="15"/>
      <c r="GT5" s="15"/>
      <c r="GU5" s="15">
        <v>2</v>
      </c>
      <c r="GV5" s="15"/>
      <c r="GW5" s="16"/>
      <c r="GX5" s="15"/>
      <c r="GY5" s="15"/>
      <c r="GZ5" s="15"/>
      <c r="HA5" s="16"/>
      <c r="HB5" s="15"/>
      <c r="HC5" s="15"/>
      <c r="HD5" s="19"/>
      <c r="HE5" s="15">
        <v>3</v>
      </c>
      <c r="HF5" s="15"/>
      <c r="HG5" s="15">
        <v>4</v>
      </c>
      <c r="HH5" s="15"/>
      <c r="HI5" s="15"/>
      <c r="HJ5" s="15"/>
      <c r="HK5" s="15"/>
      <c r="HL5" s="15"/>
      <c r="HM5" s="17">
        <v>5</v>
      </c>
      <c r="HN5" s="18"/>
      <c r="HO5" s="15"/>
      <c r="HP5" s="19"/>
      <c r="HQ5" s="15"/>
      <c r="HR5" s="15"/>
      <c r="HS5" s="15">
        <v>6</v>
      </c>
      <c r="HT5" s="15"/>
      <c r="HU5" s="15"/>
      <c r="HV5" s="15"/>
      <c r="HW5" s="15"/>
      <c r="HX5" s="15"/>
      <c r="HY5" s="15">
        <v>7</v>
      </c>
      <c r="HZ5" s="19"/>
      <c r="IA5" s="15"/>
      <c r="IB5" s="15"/>
      <c r="IC5" s="15"/>
      <c r="ID5" s="15"/>
      <c r="IE5" s="16"/>
      <c r="IF5" s="16"/>
      <c r="IG5" s="16"/>
      <c r="IH5" s="16"/>
      <c r="II5" s="16"/>
      <c r="IJ5" s="15"/>
      <c r="IK5" s="15">
        <v>8</v>
      </c>
      <c r="IL5" s="19"/>
      <c r="IM5" s="17"/>
      <c r="IN5" s="18"/>
      <c r="IO5" s="15"/>
      <c r="IP5" s="15"/>
      <c r="IQ5" s="16"/>
      <c r="IR5" s="16"/>
      <c r="IS5" s="16"/>
      <c r="IT5" s="16"/>
      <c r="IU5" s="16"/>
      <c r="IV5" s="15"/>
      <c r="IW5" s="16"/>
      <c r="IX5" s="15"/>
      <c r="IY5" s="15"/>
      <c r="IZ5" s="19"/>
      <c r="JA5" s="15">
        <v>9</v>
      </c>
      <c r="JB5" s="15"/>
      <c r="JC5" s="15">
        <v>10</v>
      </c>
      <c r="JD5" s="15"/>
      <c r="JE5" s="15"/>
      <c r="JF5" s="15"/>
      <c r="JG5" s="15"/>
      <c r="JH5" s="15"/>
      <c r="JI5" s="15">
        <v>11</v>
      </c>
      <c r="JJ5" s="19"/>
      <c r="JK5" s="15"/>
      <c r="JL5" s="15"/>
      <c r="JM5" s="15"/>
      <c r="JN5" s="17"/>
      <c r="JO5" s="14"/>
      <c r="JP5" s="19"/>
      <c r="JQ5" s="15"/>
      <c r="JR5" s="15"/>
      <c r="JS5" s="15">
        <v>12</v>
      </c>
      <c r="JT5" s="15"/>
      <c r="JU5" s="15">
        <v>13</v>
      </c>
      <c r="JV5" s="15"/>
      <c r="JW5" s="15"/>
      <c r="JX5" s="15"/>
      <c r="JY5" s="15"/>
      <c r="JZ5" s="15"/>
      <c r="KA5" s="16"/>
      <c r="KB5" s="15"/>
      <c r="KC5" s="15"/>
      <c r="KD5" s="19"/>
      <c r="KE5" s="15"/>
      <c r="KF5" s="15"/>
      <c r="KG5" s="15"/>
      <c r="KH5" s="19"/>
      <c r="KI5" s="15"/>
      <c r="KJ5" s="15"/>
      <c r="KK5" s="15"/>
      <c r="KL5" s="15"/>
      <c r="KM5" s="17"/>
      <c r="KN5" s="18"/>
      <c r="KO5" s="15"/>
      <c r="KP5" s="15"/>
      <c r="KQ5" s="15"/>
      <c r="KR5" s="15"/>
      <c r="KS5" s="15"/>
      <c r="KT5" s="16"/>
      <c r="KU5" s="15"/>
      <c r="KV5" s="15"/>
      <c r="KW5" s="15"/>
      <c r="KX5" s="15"/>
      <c r="KY5" s="15"/>
      <c r="KZ5" s="15"/>
      <c r="LA5" s="15"/>
      <c r="LB5" s="15"/>
      <c r="LC5" s="15"/>
      <c r="LD5" s="15"/>
      <c r="LE5" s="15"/>
      <c r="LF5" s="15"/>
      <c r="LG5" s="15"/>
      <c r="LH5" s="15"/>
      <c r="LI5" s="16"/>
      <c r="LJ5" s="15"/>
      <c r="LK5" s="15"/>
      <c r="LL5" s="15"/>
      <c r="LM5" s="15"/>
      <c r="LN5" s="17"/>
    </row>
    <row r="6" spans="1:326" ht="54" customHeight="1" x14ac:dyDescent="0.3">
      <c r="A6" s="90">
        <v>3</v>
      </c>
      <c r="B6" s="5">
        <v>1</v>
      </c>
      <c r="C6" s="10" t="s">
        <v>41</v>
      </c>
      <c r="D6" s="101">
        <v>24640000</v>
      </c>
      <c r="E6" s="5" t="s">
        <v>33</v>
      </c>
      <c r="F6" s="5" t="s">
        <v>42</v>
      </c>
      <c r="G6" s="5"/>
      <c r="H6" s="5"/>
      <c r="I6" s="5">
        <v>32</v>
      </c>
      <c r="J6" s="11" t="s">
        <v>39</v>
      </c>
      <c r="K6" s="12">
        <v>46252</v>
      </c>
      <c r="L6" s="12">
        <v>46308</v>
      </c>
      <c r="M6" s="13" t="s">
        <v>36</v>
      </c>
      <c r="N6" s="92"/>
      <c r="O6" s="15"/>
      <c r="P6" s="15"/>
      <c r="Q6" s="15"/>
      <c r="R6" s="15"/>
      <c r="S6" s="15"/>
      <c r="T6" s="15"/>
      <c r="U6" s="15"/>
      <c r="V6" s="15"/>
      <c r="W6" s="16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7"/>
      <c r="AO6" s="18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7"/>
      <c r="BM6" s="18"/>
      <c r="BN6" s="15"/>
      <c r="BO6" s="15"/>
      <c r="BP6" s="16"/>
      <c r="BQ6" s="15"/>
      <c r="BR6" s="15"/>
      <c r="BS6" s="15"/>
      <c r="BT6" s="16"/>
      <c r="BU6" s="15"/>
      <c r="BV6" s="16"/>
      <c r="BW6" s="15"/>
      <c r="BX6" s="15"/>
      <c r="BY6" s="15"/>
      <c r="BZ6" s="15"/>
      <c r="CA6" s="16"/>
      <c r="CB6" s="15"/>
      <c r="CC6" s="15"/>
      <c r="CD6" s="15"/>
      <c r="CE6" s="16"/>
      <c r="CF6" s="15"/>
      <c r="CG6" s="16"/>
      <c r="CH6" s="15"/>
      <c r="CI6" s="15"/>
      <c r="CJ6" s="15"/>
      <c r="CK6" s="15"/>
      <c r="CL6" s="17"/>
      <c r="CM6" s="16"/>
      <c r="CN6" s="16"/>
      <c r="CO6" s="16"/>
      <c r="CP6" s="15"/>
      <c r="CQ6" s="15"/>
      <c r="CR6" s="15"/>
      <c r="CS6" s="15"/>
      <c r="CT6" s="15"/>
      <c r="CU6" s="15"/>
      <c r="CV6" s="15"/>
      <c r="CW6" s="15"/>
      <c r="CX6" s="15"/>
      <c r="CY6" s="19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9"/>
      <c r="DL6" s="17"/>
      <c r="DM6" s="14"/>
      <c r="DN6" s="15"/>
      <c r="DO6" s="15"/>
      <c r="DP6" s="15"/>
      <c r="DQ6" s="15"/>
      <c r="DR6" s="15"/>
      <c r="DS6" s="15"/>
      <c r="DT6" s="15"/>
      <c r="DU6" s="15"/>
      <c r="DV6" s="15"/>
      <c r="DW6" s="16"/>
      <c r="DX6" s="15"/>
      <c r="DY6" s="19"/>
      <c r="DZ6" s="15"/>
      <c r="EA6" s="16"/>
      <c r="EB6" s="15"/>
      <c r="EC6" s="15"/>
      <c r="ED6" s="15"/>
      <c r="EE6" s="15"/>
      <c r="EF6" s="15"/>
      <c r="EG6" s="15"/>
      <c r="EH6" s="15"/>
      <c r="EI6" s="16"/>
      <c r="EJ6" s="15"/>
      <c r="EK6" s="19"/>
      <c r="EL6" s="17"/>
      <c r="EM6" s="18"/>
      <c r="EN6" s="15"/>
      <c r="EO6" s="15"/>
      <c r="EP6" s="15"/>
      <c r="EQ6" s="15"/>
      <c r="ER6" s="15"/>
      <c r="ES6" s="16"/>
      <c r="ET6" s="19"/>
      <c r="EU6" s="16"/>
      <c r="EV6" s="15"/>
      <c r="EW6" s="15"/>
      <c r="EX6" s="15"/>
      <c r="EY6" s="16"/>
      <c r="EZ6" s="15"/>
      <c r="FA6" s="15"/>
      <c r="FB6" s="19"/>
      <c r="FC6" s="16"/>
      <c r="FD6" s="15"/>
      <c r="FE6" s="15"/>
      <c r="FF6" s="15"/>
      <c r="FG6" s="19"/>
      <c r="FH6" s="15"/>
      <c r="FI6" s="15"/>
      <c r="FJ6" s="15"/>
      <c r="FK6" s="16"/>
      <c r="FL6" s="19"/>
      <c r="FM6" s="18"/>
      <c r="FN6" s="15"/>
      <c r="FO6" s="15"/>
      <c r="FP6" s="15"/>
      <c r="FQ6" s="15"/>
      <c r="FR6" s="15"/>
      <c r="FS6" s="15"/>
      <c r="FT6" s="15"/>
      <c r="FU6" s="16"/>
      <c r="FV6" s="15"/>
      <c r="FW6" s="15"/>
      <c r="FX6" s="15"/>
      <c r="FY6" s="16"/>
      <c r="FZ6" s="15"/>
      <c r="GA6" s="15"/>
      <c r="GB6" s="15"/>
      <c r="GC6" s="16"/>
      <c r="GD6" s="19"/>
      <c r="GE6" s="16"/>
      <c r="GF6" s="15"/>
      <c r="GG6" s="16"/>
      <c r="GH6" s="15"/>
      <c r="GI6" s="15"/>
      <c r="GJ6" s="15"/>
      <c r="GK6" s="15"/>
      <c r="GL6" s="15"/>
      <c r="GM6" s="17"/>
      <c r="GN6" s="18"/>
      <c r="GO6" s="15"/>
      <c r="GP6" s="15"/>
      <c r="GQ6" s="19"/>
      <c r="GR6" s="15"/>
      <c r="GS6" s="15"/>
      <c r="GT6" s="15"/>
      <c r="GU6" s="15"/>
      <c r="GV6" s="15"/>
      <c r="GW6" s="16"/>
      <c r="GX6" s="15"/>
      <c r="GY6" s="15"/>
      <c r="GZ6" s="15"/>
      <c r="HA6" s="16"/>
      <c r="HB6" s="15">
        <v>1</v>
      </c>
      <c r="HC6" s="15"/>
      <c r="HD6" s="19">
        <v>2</v>
      </c>
      <c r="HE6" s="15"/>
      <c r="HF6" s="15"/>
      <c r="HG6" s="15"/>
      <c r="HH6" s="15">
        <v>3</v>
      </c>
      <c r="HI6" s="15"/>
      <c r="HJ6" s="15">
        <v>4</v>
      </c>
      <c r="HK6" s="15"/>
      <c r="HL6" s="15"/>
      <c r="HM6" s="17"/>
      <c r="HN6" s="18">
        <v>5</v>
      </c>
      <c r="HO6" s="15"/>
      <c r="HP6" s="19">
        <v>6</v>
      </c>
      <c r="HQ6" s="15"/>
      <c r="HR6" s="15"/>
      <c r="HS6" s="15"/>
      <c r="HT6" s="15">
        <v>7</v>
      </c>
      <c r="HU6" s="15"/>
      <c r="HV6" s="15">
        <v>8</v>
      </c>
      <c r="HW6" s="15"/>
      <c r="HX6" s="15"/>
      <c r="HY6" s="15"/>
      <c r="HZ6" s="19">
        <v>9</v>
      </c>
      <c r="IA6" s="15"/>
      <c r="IB6" s="15">
        <v>10</v>
      </c>
      <c r="IC6" s="15"/>
      <c r="ID6" s="15"/>
      <c r="IE6" s="16"/>
      <c r="IF6" s="16"/>
      <c r="IG6" s="16"/>
      <c r="IH6" s="16"/>
      <c r="II6" s="16"/>
      <c r="IJ6" s="15"/>
      <c r="IK6" s="15"/>
      <c r="IL6" s="19">
        <v>11</v>
      </c>
      <c r="IM6" s="17"/>
      <c r="IN6" s="18">
        <v>12</v>
      </c>
      <c r="IO6" s="15"/>
      <c r="IP6" s="15"/>
      <c r="IQ6" s="16"/>
      <c r="IR6" s="16"/>
      <c r="IS6" s="16"/>
      <c r="IT6" s="16"/>
      <c r="IU6" s="16"/>
      <c r="IV6" s="15"/>
      <c r="IW6" s="16"/>
      <c r="IX6" s="15">
        <v>13</v>
      </c>
      <c r="IY6" s="15"/>
      <c r="IZ6" s="19"/>
      <c r="JA6" s="15"/>
      <c r="JB6" s="15"/>
      <c r="JC6" s="15"/>
      <c r="JD6" s="15"/>
      <c r="JE6" s="15"/>
      <c r="JF6" s="15"/>
      <c r="JG6" s="15"/>
      <c r="JH6" s="15"/>
      <c r="JI6" s="15"/>
      <c r="JJ6" s="19"/>
      <c r="JK6" s="15"/>
      <c r="JL6" s="15"/>
      <c r="JM6" s="15"/>
      <c r="JN6" s="17"/>
      <c r="JO6" s="14"/>
      <c r="JP6" s="19"/>
      <c r="JQ6" s="15"/>
      <c r="JR6" s="15"/>
      <c r="JS6" s="15"/>
      <c r="JT6" s="15"/>
      <c r="JU6" s="15"/>
      <c r="JV6" s="15"/>
      <c r="JW6" s="15"/>
      <c r="JX6" s="15"/>
      <c r="JY6" s="15"/>
      <c r="JZ6" s="15"/>
      <c r="KA6" s="16"/>
      <c r="KB6" s="15"/>
      <c r="KC6" s="15"/>
      <c r="KD6" s="19"/>
      <c r="KE6" s="15"/>
      <c r="KF6" s="15"/>
      <c r="KG6" s="15"/>
      <c r="KH6" s="19"/>
      <c r="KI6" s="15"/>
      <c r="KJ6" s="15"/>
      <c r="KK6" s="15"/>
      <c r="KL6" s="15"/>
      <c r="KM6" s="17"/>
      <c r="KN6" s="18"/>
      <c r="KO6" s="15"/>
      <c r="KP6" s="15"/>
      <c r="KQ6" s="15"/>
      <c r="KR6" s="15"/>
      <c r="KS6" s="15"/>
      <c r="KT6" s="16"/>
      <c r="KU6" s="15"/>
      <c r="KV6" s="15"/>
      <c r="KW6" s="15"/>
      <c r="KX6" s="15"/>
      <c r="KY6" s="15"/>
      <c r="KZ6" s="15"/>
      <c r="LA6" s="15"/>
      <c r="LB6" s="15"/>
      <c r="LC6" s="15"/>
      <c r="LD6" s="15"/>
      <c r="LE6" s="15"/>
      <c r="LF6" s="15"/>
      <c r="LG6" s="15"/>
      <c r="LH6" s="15"/>
      <c r="LI6" s="16"/>
      <c r="LJ6" s="15"/>
      <c r="LK6" s="15"/>
      <c r="LL6" s="15"/>
      <c r="LM6" s="15"/>
      <c r="LN6" s="17"/>
    </row>
    <row r="7" spans="1:326" ht="88.2" customHeight="1" x14ac:dyDescent="0.3">
      <c r="A7" s="90">
        <v>4</v>
      </c>
      <c r="B7" s="5">
        <v>2</v>
      </c>
      <c r="C7" s="10" t="s">
        <v>43</v>
      </c>
      <c r="D7" s="101">
        <v>23040000</v>
      </c>
      <c r="E7" s="5" t="s">
        <v>44</v>
      </c>
      <c r="F7" s="126" t="s">
        <v>45</v>
      </c>
      <c r="G7" s="5"/>
      <c r="H7" s="5"/>
      <c r="I7" s="5">
        <v>32</v>
      </c>
      <c r="J7" s="11" t="s">
        <v>46</v>
      </c>
      <c r="K7" s="12">
        <v>46162</v>
      </c>
      <c r="L7" s="12">
        <v>46220</v>
      </c>
      <c r="M7" s="99" t="s">
        <v>47</v>
      </c>
      <c r="N7" s="92"/>
      <c r="O7" s="15"/>
      <c r="P7" s="15"/>
      <c r="Q7" s="15"/>
      <c r="R7" s="15"/>
      <c r="S7" s="15"/>
      <c r="T7" s="15"/>
      <c r="U7" s="15"/>
      <c r="V7" s="15"/>
      <c r="W7" s="16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7"/>
      <c r="AO7" s="18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7"/>
      <c r="BM7" s="18"/>
      <c r="BN7" s="15"/>
      <c r="BO7" s="15"/>
      <c r="BP7" s="16"/>
      <c r="BQ7" s="15"/>
      <c r="BR7" s="15"/>
      <c r="BS7" s="15"/>
      <c r="BT7" s="16"/>
      <c r="BU7" s="15"/>
      <c r="BV7" s="16"/>
      <c r="BW7" s="15"/>
      <c r="BX7" s="15"/>
      <c r="BY7" s="15"/>
      <c r="BZ7" s="15"/>
      <c r="CA7" s="16"/>
      <c r="CB7" s="15"/>
      <c r="CC7" s="15"/>
      <c r="CD7" s="15"/>
      <c r="CE7" s="16"/>
      <c r="CF7" s="15"/>
      <c r="CG7" s="16"/>
      <c r="CH7" s="15"/>
      <c r="CI7" s="15"/>
      <c r="CJ7" s="15"/>
      <c r="CK7" s="15"/>
      <c r="CL7" s="17"/>
      <c r="CM7" s="16"/>
      <c r="CN7" s="16"/>
      <c r="CO7" s="16"/>
      <c r="CP7" s="15"/>
      <c r="CQ7" s="15"/>
      <c r="CR7" s="15"/>
      <c r="CS7" s="15"/>
      <c r="CT7" s="15"/>
      <c r="CU7" s="15"/>
      <c r="CV7" s="15"/>
      <c r="CW7" s="15"/>
      <c r="CX7" s="15"/>
      <c r="CY7" s="19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9"/>
      <c r="DL7" s="17"/>
      <c r="DM7" s="14"/>
      <c r="DN7" s="15"/>
      <c r="DO7" s="15"/>
      <c r="DP7" s="15"/>
      <c r="DQ7" s="15"/>
      <c r="DR7" s="15"/>
      <c r="DS7" s="15"/>
      <c r="DT7" s="15"/>
      <c r="DU7" s="15"/>
      <c r="DV7" s="15"/>
      <c r="DW7" s="16"/>
      <c r="DX7" s="15"/>
      <c r="DY7" s="19"/>
      <c r="DZ7" s="15"/>
      <c r="EA7" s="16"/>
      <c r="EB7" s="15"/>
      <c r="EC7" s="15">
        <v>1</v>
      </c>
      <c r="ED7" s="15"/>
      <c r="EE7" s="15">
        <v>2</v>
      </c>
      <c r="EF7" s="15"/>
      <c r="EG7" s="15">
        <v>3</v>
      </c>
      <c r="EH7" s="15"/>
      <c r="EI7" s="16"/>
      <c r="EJ7" s="15"/>
      <c r="EK7" s="19"/>
      <c r="EL7" s="17"/>
      <c r="EM7" s="18">
        <v>4</v>
      </c>
      <c r="EN7" s="15"/>
      <c r="EO7" s="15">
        <v>5</v>
      </c>
      <c r="EP7" s="15"/>
      <c r="EQ7" s="15">
        <v>6</v>
      </c>
      <c r="ER7" s="15"/>
      <c r="ES7" s="16"/>
      <c r="ET7" s="19"/>
      <c r="EU7" s="16"/>
      <c r="EV7" s="15"/>
      <c r="EW7" s="15">
        <v>7</v>
      </c>
      <c r="EX7" s="15"/>
      <c r="EY7" s="16"/>
      <c r="EZ7" s="15"/>
      <c r="FA7" s="15">
        <v>8</v>
      </c>
      <c r="FB7" s="19"/>
      <c r="FC7" s="16"/>
      <c r="FD7" s="15"/>
      <c r="FE7" s="15">
        <v>9</v>
      </c>
      <c r="FF7" s="15"/>
      <c r="FG7" s="19"/>
      <c r="FH7" s="15"/>
      <c r="FI7" s="15">
        <v>10</v>
      </c>
      <c r="FJ7" s="15"/>
      <c r="FK7" s="16"/>
      <c r="FL7" s="19"/>
      <c r="FM7" s="18"/>
      <c r="FN7" s="15"/>
      <c r="FO7" s="15">
        <v>11</v>
      </c>
      <c r="FP7" s="15"/>
      <c r="FQ7" s="15">
        <v>12</v>
      </c>
      <c r="FR7" s="15"/>
      <c r="FS7" s="15">
        <v>13</v>
      </c>
      <c r="FT7" s="15"/>
      <c r="FU7" s="16"/>
      <c r="FV7" s="15"/>
      <c r="FW7" s="15">
        <v>14</v>
      </c>
      <c r="FX7" s="15"/>
      <c r="FY7" s="16"/>
      <c r="FZ7" s="15"/>
      <c r="GA7" s="15">
        <v>15</v>
      </c>
      <c r="GB7" s="15"/>
      <c r="GC7" s="16"/>
      <c r="GD7" s="19"/>
      <c r="GE7" s="16"/>
      <c r="GF7" s="15"/>
      <c r="GG7" s="16"/>
      <c r="GH7" s="15"/>
      <c r="GI7" s="15"/>
      <c r="GJ7" s="15"/>
      <c r="GK7" s="15"/>
      <c r="GL7" s="15"/>
      <c r="GM7" s="17"/>
      <c r="GN7" s="18"/>
      <c r="GO7" s="15"/>
      <c r="GP7" s="15"/>
      <c r="GQ7" s="19"/>
      <c r="GR7" s="15"/>
      <c r="GS7" s="15"/>
      <c r="GT7" s="15"/>
      <c r="GU7" s="15"/>
      <c r="GV7" s="15"/>
      <c r="GW7" s="16"/>
      <c r="GX7" s="15"/>
      <c r="GY7" s="15"/>
      <c r="GZ7" s="15"/>
      <c r="HA7" s="16"/>
      <c r="HB7" s="15"/>
      <c r="HC7" s="15"/>
      <c r="HD7" s="19"/>
      <c r="HE7" s="15"/>
      <c r="HF7" s="15"/>
      <c r="HG7" s="15"/>
      <c r="HH7" s="15"/>
      <c r="HI7" s="15"/>
      <c r="HJ7" s="15"/>
      <c r="HK7" s="15"/>
      <c r="HL7" s="15"/>
      <c r="HM7" s="17"/>
      <c r="HN7" s="18"/>
      <c r="HO7" s="15"/>
      <c r="HP7" s="19"/>
      <c r="HQ7" s="15"/>
      <c r="HR7" s="15"/>
      <c r="HS7" s="15"/>
      <c r="HT7" s="15"/>
      <c r="HU7" s="15"/>
      <c r="HV7" s="15"/>
      <c r="HW7" s="15"/>
      <c r="HX7" s="15"/>
      <c r="HY7" s="15"/>
      <c r="HZ7" s="19"/>
      <c r="IA7" s="15"/>
      <c r="IB7" s="15"/>
      <c r="IC7" s="15"/>
      <c r="ID7" s="15"/>
      <c r="IE7" s="16"/>
      <c r="IF7" s="16"/>
      <c r="IG7" s="16"/>
      <c r="IH7" s="16"/>
      <c r="II7" s="16"/>
      <c r="IJ7" s="15"/>
      <c r="IK7" s="15"/>
      <c r="IL7" s="19"/>
      <c r="IM7" s="17"/>
      <c r="IN7" s="18"/>
      <c r="IO7" s="15"/>
      <c r="IP7" s="15"/>
      <c r="IQ7" s="16"/>
      <c r="IR7" s="16"/>
      <c r="IS7" s="16"/>
      <c r="IT7" s="16"/>
      <c r="IU7" s="16"/>
      <c r="IV7" s="15"/>
      <c r="IW7" s="16"/>
      <c r="IX7" s="15"/>
      <c r="IY7" s="15"/>
      <c r="IZ7" s="19"/>
      <c r="JA7" s="15"/>
      <c r="JB7" s="15"/>
      <c r="JC7" s="15"/>
      <c r="JD7" s="15"/>
      <c r="JE7" s="15"/>
      <c r="JF7" s="15"/>
      <c r="JG7" s="15"/>
      <c r="JH7" s="15"/>
      <c r="JI7" s="15"/>
      <c r="JJ7" s="19"/>
      <c r="JK7" s="15"/>
      <c r="JL7" s="15"/>
      <c r="JM7" s="15"/>
      <c r="JN7" s="17"/>
      <c r="JO7" s="14"/>
      <c r="JP7" s="19"/>
      <c r="JQ7" s="15"/>
      <c r="JR7" s="15"/>
      <c r="JS7" s="15"/>
      <c r="JT7" s="15"/>
      <c r="JU7" s="15"/>
      <c r="JV7" s="15"/>
      <c r="JW7" s="15"/>
      <c r="JX7" s="15"/>
      <c r="JY7" s="15"/>
      <c r="JZ7" s="15"/>
      <c r="KA7" s="16"/>
      <c r="KB7" s="15"/>
      <c r="KC7" s="15"/>
      <c r="KD7" s="19"/>
      <c r="KE7" s="15"/>
      <c r="KF7" s="15"/>
      <c r="KG7" s="15"/>
      <c r="KH7" s="19"/>
      <c r="KI7" s="15"/>
      <c r="KJ7" s="15"/>
      <c r="KK7" s="15"/>
      <c r="KL7" s="15"/>
      <c r="KM7" s="17"/>
      <c r="KN7" s="18"/>
      <c r="KO7" s="15"/>
      <c r="KP7" s="15"/>
      <c r="KQ7" s="15"/>
      <c r="KR7" s="15"/>
      <c r="KS7" s="15"/>
      <c r="KT7" s="16"/>
      <c r="KU7" s="15"/>
      <c r="KV7" s="15"/>
      <c r="KW7" s="15"/>
      <c r="KX7" s="15"/>
      <c r="KY7" s="15"/>
      <c r="KZ7" s="15"/>
      <c r="LA7" s="15"/>
      <c r="LB7" s="15"/>
      <c r="LC7" s="15"/>
      <c r="LD7" s="15"/>
      <c r="LE7" s="15"/>
      <c r="LF7" s="15"/>
      <c r="LG7" s="15"/>
      <c r="LH7" s="15"/>
      <c r="LI7" s="16"/>
      <c r="LJ7" s="15"/>
      <c r="LK7" s="15"/>
      <c r="LL7" s="15"/>
      <c r="LM7" s="15"/>
      <c r="LN7" s="17"/>
    </row>
    <row r="8" spans="1:326" ht="54" customHeight="1" x14ac:dyDescent="0.3">
      <c r="A8" s="90">
        <v>5</v>
      </c>
      <c r="B8" s="5">
        <v>2</v>
      </c>
      <c r="C8" s="10" t="s">
        <v>48</v>
      </c>
      <c r="D8" s="101">
        <v>23040000</v>
      </c>
      <c r="E8" s="5" t="s">
        <v>44</v>
      </c>
      <c r="F8" s="5" t="s">
        <v>49</v>
      </c>
      <c r="G8" s="5">
        <f>COUNTA(Tabla_AtnDiferencial[NOMBRE Y APELLIDOS])</f>
        <v>8</v>
      </c>
      <c r="H8" s="5">
        <f>COUNTIF(Tabla_AtnDiferencial[% ASISTENCIA],"&gt;=0,8")</f>
        <v>7</v>
      </c>
      <c r="I8" s="5">
        <v>32</v>
      </c>
      <c r="J8" s="11" t="s">
        <v>46</v>
      </c>
      <c r="K8" s="12">
        <v>46097</v>
      </c>
      <c r="L8" s="12">
        <v>46150</v>
      </c>
      <c r="M8" s="13" t="s">
        <v>50</v>
      </c>
      <c r="N8" s="92"/>
      <c r="O8" s="15"/>
      <c r="P8" s="15"/>
      <c r="Q8" s="15"/>
      <c r="R8" s="15"/>
      <c r="S8" s="15"/>
      <c r="T8" s="15"/>
      <c r="U8" s="15"/>
      <c r="V8" s="15"/>
      <c r="W8" s="16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7"/>
      <c r="AO8" s="18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7"/>
      <c r="BM8" s="18"/>
      <c r="BN8" s="15"/>
      <c r="BO8" s="15"/>
      <c r="BP8" s="16"/>
      <c r="BQ8" s="15"/>
      <c r="BR8" s="15"/>
      <c r="BS8" s="15"/>
      <c r="BT8" s="16"/>
      <c r="BU8" s="15"/>
      <c r="BV8" s="16"/>
      <c r="BW8" s="15"/>
      <c r="BX8" s="15"/>
      <c r="BY8" s="15">
        <v>1</v>
      </c>
      <c r="BZ8" s="15"/>
      <c r="CA8" s="16"/>
      <c r="CB8" s="15"/>
      <c r="CC8" s="15">
        <v>2</v>
      </c>
      <c r="CD8" s="15"/>
      <c r="CE8" s="16"/>
      <c r="CF8" s="15"/>
      <c r="CG8" s="16"/>
      <c r="CH8" s="15"/>
      <c r="CI8" s="15">
        <v>3</v>
      </c>
      <c r="CJ8" s="15"/>
      <c r="CK8" s="15"/>
      <c r="CL8" s="17"/>
      <c r="CM8" s="16"/>
      <c r="CN8" s="16"/>
      <c r="CO8" s="16"/>
      <c r="CP8" s="15"/>
      <c r="CQ8" s="15">
        <v>4</v>
      </c>
      <c r="CR8" s="15"/>
      <c r="CS8" s="15">
        <v>5</v>
      </c>
      <c r="CT8" s="15"/>
      <c r="CU8" s="15">
        <v>6</v>
      </c>
      <c r="CV8" s="15"/>
      <c r="CW8" s="15">
        <v>7</v>
      </c>
      <c r="CX8" s="15"/>
      <c r="CY8" s="19"/>
      <c r="CZ8" s="15"/>
      <c r="DA8" s="15">
        <v>8</v>
      </c>
      <c r="DB8" s="15"/>
      <c r="DC8" s="15">
        <v>9</v>
      </c>
      <c r="DD8" s="15"/>
      <c r="DE8" s="15">
        <v>10</v>
      </c>
      <c r="DF8" s="15"/>
      <c r="DG8" s="15">
        <v>11</v>
      </c>
      <c r="DH8" s="15"/>
      <c r="DI8" s="15">
        <v>12</v>
      </c>
      <c r="DJ8" s="15"/>
      <c r="DK8" s="19"/>
      <c r="DL8" s="17"/>
      <c r="DM8" s="14"/>
      <c r="DN8" s="15"/>
      <c r="DO8" s="15">
        <v>13</v>
      </c>
      <c r="DP8" s="15"/>
      <c r="DQ8" s="15">
        <v>14</v>
      </c>
      <c r="DR8" s="15"/>
      <c r="DS8" s="15">
        <v>15</v>
      </c>
      <c r="DT8" s="15"/>
      <c r="DU8" s="15"/>
      <c r="DV8" s="15"/>
      <c r="DW8" s="16"/>
      <c r="DX8" s="15"/>
      <c r="DY8" s="19"/>
      <c r="DZ8" s="15"/>
      <c r="EA8" s="16"/>
      <c r="EB8" s="15"/>
      <c r="EC8" s="15"/>
      <c r="ED8" s="15"/>
      <c r="EE8" s="15"/>
      <c r="EF8" s="15"/>
      <c r="EG8" s="15"/>
      <c r="EH8" s="15"/>
      <c r="EI8" s="16"/>
      <c r="EJ8" s="15"/>
      <c r="EK8" s="19"/>
      <c r="EL8" s="17"/>
      <c r="EM8" s="18"/>
      <c r="EN8" s="15"/>
      <c r="EO8" s="15"/>
      <c r="EP8" s="15"/>
      <c r="EQ8" s="15"/>
      <c r="ER8" s="15"/>
      <c r="ES8" s="16"/>
      <c r="ET8" s="19"/>
      <c r="EU8" s="16"/>
      <c r="EV8" s="15"/>
      <c r="EW8" s="15"/>
      <c r="EX8" s="15"/>
      <c r="EY8" s="16"/>
      <c r="EZ8" s="15"/>
      <c r="FA8" s="15"/>
      <c r="FB8" s="19"/>
      <c r="FC8" s="16"/>
      <c r="FD8" s="15"/>
      <c r="FE8" s="15"/>
      <c r="FF8" s="15"/>
      <c r="FG8" s="19"/>
      <c r="FH8" s="15"/>
      <c r="FI8" s="15"/>
      <c r="FJ8" s="15"/>
      <c r="FK8" s="16"/>
      <c r="FL8" s="19"/>
      <c r="FM8" s="18"/>
      <c r="FN8" s="15"/>
      <c r="FO8" s="15"/>
      <c r="FP8" s="15"/>
      <c r="FQ8" s="15"/>
      <c r="FR8" s="15"/>
      <c r="FS8" s="15"/>
      <c r="FT8" s="15"/>
      <c r="FU8" s="16"/>
      <c r="FV8" s="15"/>
      <c r="FW8" s="15"/>
      <c r="FX8" s="15"/>
      <c r="FY8" s="16"/>
      <c r="FZ8" s="15"/>
      <c r="GA8" s="15"/>
      <c r="GB8" s="15"/>
      <c r="GC8" s="16"/>
      <c r="GD8" s="19"/>
      <c r="GE8" s="16"/>
      <c r="GF8" s="15"/>
      <c r="GG8" s="16"/>
      <c r="GH8" s="15"/>
      <c r="GI8" s="15"/>
      <c r="GJ8" s="15"/>
      <c r="GK8" s="15"/>
      <c r="GL8" s="15"/>
      <c r="GM8" s="17"/>
      <c r="GN8" s="18"/>
      <c r="GO8" s="15"/>
      <c r="GP8" s="15"/>
      <c r="GQ8" s="19"/>
      <c r="GR8" s="15"/>
      <c r="GS8" s="15"/>
      <c r="GT8" s="15"/>
      <c r="GU8" s="15"/>
      <c r="GV8" s="15"/>
      <c r="GW8" s="16"/>
      <c r="GX8" s="15"/>
      <c r="GY8" s="15"/>
      <c r="GZ8" s="15"/>
      <c r="HA8" s="16"/>
      <c r="HB8" s="15"/>
      <c r="HC8" s="15"/>
      <c r="HD8" s="19"/>
      <c r="HE8" s="15"/>
      <c r="HF8" s="15"/>
      <c r="HG8" s="15"/>
      <c r="HH8" s="15"/>
      <c r="HI8" s="15"/>
      <c r="HJ8" s="15"/>
      <c r="HK8" s="15"/>
      <c r="HL8" s="15"/>
      <c r="HM8" s="17"/>
      <c r="HN8" s="18"/>
      <c r="HO8" s="15"/>
      <c r="HP8" s="19"/>
      <c r="HQ8" s="15"/>
      <c r="HR8" s="15"/>
      <c r="HS8" s="15"/>
      <c r="HT8" s="15"/>
      <c r="HU8" s="15"/>
      <c r="HV8" s="15"/>
      <c r="HW8" s="15"/>
      <c r="HX8" s="15"/>
      <c r="HY8" s="15"/>
      <c r="HZ8" s="19"/>
      <c r="IA8" s="15"/>
      <c r="IB8" s="15"/>
      <c r="IC8" s="15"/>
      <c r="ID8" s="15"/>
      <c r="IE8" s="16"/>
      <c r="IF8" s="16"/>
      <c r="IG8" s="16"/>
      <c r="IH8" s="16"/>
      <c r="II8" s="16"/>
      <c r="IJ8" s="15"/>
      <c r="IK8" s="15"/>
      <c r="IL8" s="19"/>
      <c r="IM8" s="17"/>
      <c r="IN8" s="18"/>
      <c r="IO8" s="15"/>
      <c r="IP8" s="15"/>
      <c r="IQ8" s="16"/>
      <c r="IR8" s="16"/>
      <c r="IS8" s="16"/>
      <c r="IT8" s="16"/>
      <c r="IU8" s="16"/>
      <c r="IV8" s="15"/>
      <c r="IW8" s="16"/>
      <c r="IX8" s="15"/>
      <c r="IY8" s="15"/>
      <c r="IZ8" s="19"/>
      <c r="JA8" s="15"/>
      <c r="JB8" s="15"/>
      <c r="JC8" s="15"/>
      <c r="JD8" s="15"/>
      <c r="JE8" s="15"/>
      <c r="JF8" s="15"/>
      <c r="JG8" s="15"/>
      <c r="JH8" s="15"/>
      <c r="JI8" s="15"/>
      <c r="JJ8" s="19"/>
      <c r="JK8" s="15"/>
      <c r="JL8" s="15"/>
      <c r="JM8" s="15"/>
      <c r="JN8" s="17"/>
      <c r="JO8" s="14"/>
      <c r="JP8" s="19"/>
      <c r="JQ8" s="15"/>
      <c r="JR8" s="15"/>
      <c r="JS8" s="15"/>
      <c r="JT8" s="15"/>
      <c r="JU8" s="15"/>
      <c r="JV8" s="15"/>
      <c r="JW8" s="15"/>
      <c r="JX8" s="15"/>
      <c r="JY8" s="15"/>
      <c r="JZ8" s="15"/>
      <c r="KA8" s="16"/>
      <c r="KB8" s="15"/>
      <c r="KC8" s="15"/>
      <c r="KD8" s="19"/>
      <c r="KE8" s="15"/>
      <c r="KF8" s="15"/>
      <c r="KG8" s="15"/>
      <c r="KH8" s="19"/>
      <c r="KI8" s="15"/>
      <c r="KJ8" s="15"/>
      <c r="KK8" s="15"/>
      <c r="KL8" s="15"/>
      <c r="KM8" s="17"/>
      <c r="KN8" s="18"/>
      <c r="KO8" s="15"/>
      <c r="KP8" s="15"/>
      <c r="KQ8" s="15"/>
      <c r="KR8" s="15"/>
      <c r="KS8" s="15"/>
      <c r="KT8" s="16"/>
      <c r="KU8" s="15"/>
      <c r="KV8" s="15"/>
      <c r="KW8" s="15"/>
      <c r="KX8" s="15"/>
      <c r="KY8" s="15"/>
      <c r="KZ8" s="15"/>
      <c r="LA8" s="15"/>
      <c r="LB8" s="15"/>
      <c r="LC8" s="15"/>
      <c r="LD8" s="15"/>
      <c r="LE8" s="15"/>
      <c r="LF8" s="15"/>
      <c r="LG8" s="15"/>
      <c r="LH8" s="15"/>
      <c r="LI8" s="16"/>
      <c r="LJ8" s="15"/>
      <c r="LK8" s="15"/>
      <c r="LL8" s="15"/>
      <c r="LM8" s="15"/>
      <c r="LN8" s="17"/>
    </row>
    <row r="9" spans="1:326" ht="54" customHeight="1" x14ac:dyDescent="0.3">
      <c r="A9" s="90">
        <v>6</v>
      </c>
      <c r="B9" s="5">
        <v>2</v>
      </c>
      <c r="C9" s="10" t="s">
        <v>51</v>
      </c>
      <c r="D9" s="101">
        <v>28800000</v>
      </c>
      <c r="E9" s="5" t="s">
        <v>44</v>
      </c>
      <c r="F9" s="5" t="s">
        <v>52</v>
      </c>
      <c r="G9" s="5"/>
      <c r="H9" s="5"/>
      <c r="I9" s="5">
        <v>40</v>
      </c>
      <c r="J9" s="11" t="s">
        <v>53</v>
      </c>
      <c r="K9" s="12">
        <v>46230</v>
      </c>
      <c r="L9" s="12">
        <v>46279</v>
      </c>
      <c r="M9" s="13" t="s">
        <v>54</v>
      </c>
      <c r="N9" s="92"/>
      <c r="O9" s="15"/>
      <c r="P9" s="15"/>
      <c r="Q9" s="15"/>
      <c r="R9" s="15"/>
      <c r="S9" s="15"/>
      <c r="T9" s="15"/>
      <c r="U9" s="15"/>
      <c r="V9" s="15"/>
      <c r="W9" s="16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7"/>
      <c r="AO9" s="18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7"/>
      <c r="BM9" s="18"/>
      <c r="BN9" s="15"/>
      <c r="BO9" s="15"/>
      <c r="BP9" s="16"/>
      <c r="BQ9" s="15"/>
      <c r="BR9" s="15"/>
      <c r="BS9" s="15"/>
      <c r="BT9" s="16"/>
      <c r="BU9" s="15"/>
      <c r="BV9" s="16"/>
      <c r="BW9" s="15"/>
      <c r="BX9" s="15"/>
      <c r="BY9" s="15"/>
      <c r="BZ9" s="15"/>
      <c r="CA9" s="16"/>
      <c r="CB9" s="15"/>
      <c r="CC9" s="15"/>
      <c r="CD9" s="15"/>
      <c r="CE9" s="16"/>
      <c r="CF9" s="15"/>
      <c r="CG9" s="16"/>
      <c r="CH9" s="15"/>
      <c r="CI9" s="15"/>
      <c r="CJ9" s="15"/>
      <c r="CK9" s="15"/>
      <c r="CL9" s="17"/>
      <c r="CM9" s="16"/>
      <c r="CN9" s="16"/>
      <c r="CO9" s="16"/>
      <c r="CP9" s="15"/>
      <c r="CQ9" s="15"/>
      <c r="CR9" s="15"/>
      <c r="CS9" s="15"/>
      <c r="CT9" s="15"/>
      <c r="CU9" s="15"/>
      <c r="CV9" s="15"/>
      <c r="CW9" s="15"/>
      <c r="CX9" s="15"/>
      <c r="CY9" s="19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9"/>
      <c r="DL9" s="17"/>
      <c r="DM9" s="14"/>
      <c r="DN9" s="15"/>
      <c r="DO9" s="15"/>
      <c r="DP9" s="15"/>
      <c r="DQ9" s="15"/>
      <c r="DR9" s="15"/>
      <c r="DS9" s="15"/>
      <c r="DT9" s="15"/>
      <c r="DU9" s="15"/>
      <c r="DV9" s="15"/>
      <c r="DW9" s="16"/>
      <c r="DX9" s="15"/>
      <c r="DY9" s="19"/>
      <c r="DZ9" s="15"/>
      <c r="EA9" s="16"/>
      <c r="EB9" s="15"/>
      <c r="EC9" s="15"/>
      <c r="ED9" s="15"/>
      <c r="EE9" s="15"/>
      <c r="EF9" s="15"/>
      <c r="EG9" s="15"/>
      <c r="EH9" s="15"/>
      <c r="EI9" s="16"/>
      <c r="EJ9" s="15"/>
      <c r="EK9" s="19"/>
      <c r="EL9" s="17"/>
      <c r="EM9" s="18"/>
      <c r="EN9" s="15"/>
      <c r="EO9" s="15"/>
      <c r="EP9" s="15"/>
      <c r="EQ9" s="15"/>
      <c r="ER9" s="15"/>
      <c r="ES9" s="16"/>
      <c r="ET9" s="19"/>
      <c r="EU9" s="16"/>
      <c r="EV9" s="15"/>
      <c r="EW9" s="15"/>
      <c r="EX9" s="15"/>
      <c r="EY9" s="16"/>
      <c r="EZ9" s="15"/>
      <c r="FA9" s="15"/>
      <c r="FB9" s="19"/>
      <c r="FC9" s="16"/>
      <c r="FD9" s="15"/>
      <c r="FE9" s="15"/>
      <c r="FF9" s="15"/>
      <c r="FG9" s="19"/>
      <c r="FH9" s="15"/>
      <c r="FI9" s="15"/>
      <c r="FJ9" s="15"/>
      <c r="FK9" s="16"/>
      <c r="FL9" s="19"/>
      <c r="FM9" s="18"/>
      <c r="FN9" s="15"/>
      <c r="FO9" s="15"/>
      <c r="FP9" s="15"/>
      <c r="FQ9" s="15"/>
      <c r="FR9" s="15"/>
      <c r="FS9" s="15"/>
      <c r="FT9" s="15"/>
      <c r="FU9" s="16"/>
      <c r="FV9" s="15"/>
      <c r="FW9" s="15"/>
      <c r="FX9" s="15"/>
      <c r="FY9" s="16"/>
      <c r="FZ9" s="15"/>
      <c r="GA9" s="15"/>
      <c r="GB9" s="15"/>
      <c r="GC9" s="16"/>
      <c r="GD9" s="19"/>
      <c r="GE9" s="16"/>
      <c r="GF9" s="15"/>
      <c r="GG9" s="16"/>
      <c r="GH9" s="15"/>
      <c r="GI9" s="15">
        <v>1</v>
      </c>
      <c r="GJ9" s="15"/>
      <c r="GK9" s="15">
        <v>2</v>
      </c>
      <c r="GL9" s="15"/>
      <c r="GM9" s="17">
        <v>3</v>
      </c>
      <c r="GN9" s="18"/>
      <c r="GO9" s="15">
        <v>4</v>
      </c>
      <c r="GP9" s="15"/>
      <c r="GQ9" s="19"/>
      <c r="GR9" s="15"/>
      <c r="GS9" s="15">
        <v>5</v>
      </c>
      <c r="GT9" s="15"/>
      <c r="GU9" s="15">
        <v>6</v>
      </c>
      <c r="GV9" s="15"/>
      <c r="GW9" s="16"/>
      <c r="GX9" s="15"/>
      <c r="GY9" s="15">
        <v>7</v>
      </c>
      <c r="GZ9" s="15"/>
      <c r="HA9" s="16"/>
      <c r="HB9" s="15"/>
      <c r="HC9" s="15">
        <v>8</v>
      </c>
      <c r="HD9" s="19"/>
      <c r="HE9" s="15">
        <v>9</v>
      </c>
      <c r="HF9" s="15"/>
      <c r="HG9" s="15">
        <v>10</v>
      </c>
      <c r="HH9" s="15"/>
      <c r="HI9" s="15">
        <v>11</v>
      </c>
      <c r="HJ9" s="15"/>
      <c r="HK9" s="15">
        <v>12</v>
      </c>
      <c r="HL9" s="15"/>
      <c r="HM9" s="17">
        <v>13</v>
      </c>
      <c r="HN9" s="18"/>
      <c r="HO9" s="15">
        <v>14</v>
      </c>
      <c r="HP9" s="19"/>
      <c r="HQ9" s="15">
        <v>15</v>
      </c>
      <c r="HR9" s="15"/>
      <c r="HS9" s="15">
        <v>16</v>
      </c>
      <c r="HT9" s="15"/>
      <c r="HU9" s="15">
        <v>17</v>
      </c>
      <c r="HV9" s="15"/>
      <c r="HW9" s="15">
        <v>18</v>
      </c>
      <c r="HX9" s="15"/>
      <c r="HY9" s="15">
        <v>19</v>
      </c>
      <c r="HZ9" s="19"/>
      <c r="IA9" s="15"/>
      <c r="IB9" s="15"/>
      <c r="IC9" s="15"/>
      <c r="ID9" s="15"/>
      <c r="IE9" s="16"/>
      <c r="IF9" s="16"/>
      <c r="IG9" s="16"/>
      <c r="IH9" s="16"/>
      <c r="II9" s="16"/>
      <c r="IJ9" s="15"/>
      <c r="IK9" s="15"/>
      <c r="IL9" s="19"/>
      <c r="IM9" s="17"/>
      <c r="IN9" s="18"/>
      <c r="IO9" s="15"/>
      <c r="IP9" s="15"/>
      <c r="IQ9" s="16"/>
      <c r="IR9" s="16"/>
      <c r="IS9" s="16"/>
      <c r="IT9" s="16"/>
      <c r="IU9" s="16"/>
      <c r="IV9" s="15"/>
      <c r="IW9" s="16"/>
      <c r="IX9" s="15"/>
      <c r="IY9" s="15"/>
      <c r="IZ9" s="19"/>
      <c r="JA9" s="15"/>
      <c r="JB9" s="15"/>
      <c r="JC9" s="15"/>
      <c r="JD9" s="15"/>
      <c r="JE9" s="15"/>
      <c r="JF9" s="15"/>
      <c r="JG9" s="15"/>
      <c r="JH9" s="15"/>
      <c r="JI9" s="15"/>
      <c r="JJ9" s="19"/>
      <c r="JK9" s="15"/>
      <c r="JL9" s="15"/>
      <c r="JM9" s="15"/>
      <c r="JN9" s="17"/>
      <c r="JO9" s="14"/>
      <c r="JP9" s="19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6"/>
      <c r="KB9" s="15"/>
      <c r="KC9" s="15"/>
      <c r="KD9" s="19"/>
      <c r="KE9" s="15"/>
      <c r="KF9" s="15"/>
      <c r="KG9" s="15"/>
      <c r="KH9" s="19"/>
      <c r="KI9" s="15"/>
      <c r="KJ9" s="15"/>
      <c r="KK9" s="15"/>
      <c r="KL9" s="15"/>
      <c r="KM9" s="17"/>
      <c r="KN9" s="18"/>
      <c r="KO9" s="15"/>
      <c r="KP9" s="15"/>
      <c r="KQ9" s="15"/>
      <c r="KR9" s="15"/>
      <c r="KS9" s="15"/>
      <c r="KT9" s="16"/>
      <c r="KU9" s="15"/>
      <c r="KV9" s="15"/>
      <c r="KW9" s="15"/>
      <c r="KX9" s="15"/>
      <c r="KY9" s="15"/>
      <c r="KZ9" s="15"/>
      <c r="LA9" s="15"/>
      <c r="LB9" s="15"/>
      <c r="LC9" s="15"/>
      <c r="LD9" s="15"/>
      <c r="LE9" s="15"/>
      <c r="LF9" s="15"/>
      <c r="LG9" s="15"/>
      <c r="LH9" s="15"/>
      <c r="LI9" s="16"/>
      <c r="LJ9" s="15"/>
      <c r="LK9" s="15"/>
      <c r="LL9" s="15"/>
      <c r="LM9" s="15"/>
      <c r="LN9" s="17"/>
    </row>
    <row r="10" spans="1:326" ht="55.5" customHeight="1" x14ac:dyDescent="0.3">
      <c r="A10" s="90">
        <v>7</v>
      </c>
      <c r="B10" s="5">
        <v>3</v>
      </c>
      <c r="C10" s="10" t="s">
        <v>55</v>
      </c>
      <c r="D10" s="101">
        <v>77000000</v>
      </c>
      <c r="E10" s="5" t="s">
        <v>33</v>
      </c>
      <c r="F10" s="126" t="s">
        <v>56</v>
      </c>
      <c r="G10" s="5"/>
      <c r="H10" s="5"/>
      <c r="I10" s="5">
        <v>100</v>
      </c>
      <c r="J10" s="11" t="s">
        <v>35</v>
      </c>
      <c r="K10" s="12">
        <v>46232</v>
      </c>
      <c r="L10" s="12">
        <v>46353</v>
      </c>
      <c r="M10" s="13" t="s">
        <v>57</v>
      </c>
      <c r="N10" s="92"/>
      <c r="O10" s="15"/>
      <c r="P10" s="15"/>
      <c r="Q10" s="15"/>
      <c r="R10" s="15"/>
      <c r="S10" s="15"/>
      <c r="T10" s="15"/>
      <c r="U10" s="15"/>
      <c r="V10" s="15"/>
      <c r="W10" s="16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7"/>
      <c r="AO10" s="18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7"/>
      <c r="BM10" s="18"/>
      <c r="BN10" s="15"/>
      <c r="BO10" s="15"/>
      <c r="BP10" s="16"/>
      <c r="BQ10" s="15"/>
      <c r="BR10" s="15"/>
      <c r="BS10" s="15"/>
      <c r="BT10" s="16"/>
      <c r="BU10" s="15"/>
      <c r="BV10" s="16"/>
      <c r="BW10" s="15"/>
      <c r="BX10" s="15"/>
      <c r="BY10" s="15"/>
      <c r="BZ10" s="15"/>
      <c r="CA10" s="16"/>
      <c r="CB10" s="15"/>
      <c r="CC10" s="15"/>
      <c r="CD10" s="15"/>
      <c r="CE10" s="16"/>
      <c r="CF10" s="15"/>
      <c r="CG10" s="16"/>
      <c r="CH10" s="15"/>
      <c r="CI10" s="15"/>
      <c r="CJ10" s="15"/>
      <c r="CK10" s="15"/>
      <c r="CL10" s="17"/>
      <c r="CM10" s="16"/>
      <c r="CN10" s="16"/>
      <c r="CO10" s="16"/>
      <c r="CP10" s="15"/>
      <c r="CQ10" s="15"/>
      <c r="CR10" s="15"/>
      <c r="CS10" s="15"/>
      <c r="CT10" s="15"/>
      <c r="CU10" s="15"/>
      <c r="CV10" s="15"/>
      <c r="CW10" s="15"/>
      <c r="CX10" s="15"/>
      <c r="CY10" s="19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9"/>
      <c r="DL10" s="17"/>
      <c r="DM10" s="14"/>
      <c r="DN10" s="15"/>
      <c r="DO10" s="15"/>
      <c r="DP10" s="15"/>
      <c r="DQ10" s="15"/>
      <c r="DR10" s="15"/>
      <c r="DS10" s="15"/>
      <c r="DT10" s="15"/>
      <c r="DU10" s="15"/>
      <c r="DV10" s="15"/>
      <c r="DW10" s="16"/>
      <c r="DX10" s="15"/>
      <c r="DY10" s="19"/>
      <c r="DZ10" s="15"/>
      <c r="EA10" s="16"/>
      <c r="EB10" s="15"/>
      <c r="EC10" s="15"/>
      <c r="ED10" s="15"/>
      <c r="EE10" s="15"/>
      <c r="EF10" s="15"/>
      <c r="EG10" s="15"/>
      <c r="EH10" s="15"/>
      <c r="EI10" s="16"/>
      <c r="EJ10" s="15"/>
      <c r="EK10" s="19"/>
      <c r="EL10" s="17"/>
      <c r="EM10" s="18"/>
      <c r="EN10" s="15"/>
      <c r="EO10" s="15"/>
      <c r="EP10" s="15"/>
      <c r="EQ10" s="15"/>
      <c r="ER10" s="15"/>
      <c r="ES10" s="16"/>
      <c r="ET10" s="19"/>
      <c r="EU10" s="16"/>
      <c r="EV10" s="15"/>
      <c r="EW10" s="15"/>
      <c r="EX10" s="15"/>
      <c r="EY10" s="16"/>
      <c r="EZ10" s="15"/>
      <c r="FA10" s="15"/>
      <c r="FB10" s="19"/>
      <c r="FC10" s="16"/>
      <c r="FD10" s="15"/>
      <c r="FE10" s="15"/>
      <c r="FF10" s="15"/>
      <c r="FG10" s="19"/>
      <c r="FH10" s="15"/>
      <c r="FI10" s="15"/>
      <c r="FJ10" s="15"/>
      <c r="FK10" s="16"/>
      <c r="FL10" s="19"/>
      <c r="FM10" s="18"/>
      <c r="FN10" s="15"/>
      <c r="FO10" s="15"/>
      <c r="FP10" s="15"/>
      <c r="FQ10" s="15"/>
      <c r="FR10" s="15"/>
      <c r="FS10" s="15"/>
      <c r="FT10" s="15"/>
      <c r="FU10" s="16"/>
      <c r="FV10" s="15"/>
      <c r="FW10" s="15"/>
      <c r="FX10" s="15"/>
      <c r="FY10" s="16"/>
      <c r="FZ10" s="15"/>
      <c r="GA10" s="15"/>
      <c r="GB10" s="15"/>
      <c r="GC10" s="16"/>
      <c r="GD10" s="19"/>
      <c r="GE10" s="16"/>
      <c r="GF10" s="15"/>
      <c r="GG10" s="16"/>
      <c r="GH10" s="15"/>
      <c r="GI10" s="15"/>
      <c r="GJ10" s="15"/>
      <c r="GK10" s="15">
        <v>1</v>
      </c>
      <c r="GL10" s="15"/>
      <c r="GM10" s="17">
        <v>2</v>
      </c>
      <c r="GN10" s="18"/>
      <c r="GO10" s="15">
        <v>3</v>
      </c>
      <c r="GP10" s="15"/>
      <c r="GQ10" s="19">
        <v>4</v>
      </c>
      <c r="GR10" s="15"/>
      <c r="GS10" s="15">
        <v>5</v>
      </c>
      <c r="GT10" s="15"/>
      <c r="GU10" s="15">
        <v>6</v>
      </c>
      <c r="GV10" s="15"/>
      <c r="GW10" s="16"/>
      <c r="GX10" s="15"/>
      <c r="GY10" s="15">
        <v>7</v>
      </c>
      <c r="GZ10" s="15"/>
      <c r="HA10" s="16"/>
      <c r="HB10" s="15"/>
      <c r="HC10" s="15">
        <v>8</v>
      </c>
      <c r="HD10" s="19"/>
      <c r="HE10" s="15">
        <v>9</v>
      </c>
      <c r="HF10" s="15"/>
      <c r="HG10" s="15">
        <v>10</v>
      </c>
      <c r="HH10" s="15"/>
      <c r="HI10" s="15">
        <v>11</v>
      </c>
      <c r="HJ10" s="15"/>
      <c r="HK10" s="15">
        <v>12</v>
      </c>
      <c r="HL10" s="15"/>
      <c r="HM10" s="17">
        <v>13</v>
      </c>
      <c r="HN10" s="18"/>
      <c r="HO10" s="15">
        <v>14</v>
      </c>
      <c r="HP10" s="19"/>
      <c r="HQ10" s="15">
        <v>15</v>
      </c>
      <c r="HR10" s="15"/>
      <c r="HS10" s="15">
        <v>16</v>
      </c>
      <c r="HT10" s="15"/>
      <c r="HU10" s="15">
        <v>17</v>
      </c>
      <c r="HV10" s="15"/>
      <c r="HW10" s="15">
        <v>18</v>
      </c>
      <c r="HX10" s="15"/>
      <c r="HY10" s="15">
        <v>19</v>
      </c>
      <c r="HZ10" s="19"/>
      <c r="IA10" s="15">
        <v>20</v>
      </c>
      <c r="IB10" s="15"/>
      <c r="IC10" s="15">
        <v>21</v>
      </c>
      <c r="ID10" s="15"/>
      <c r="IE10" s="16"/>
      <c r="IF10" s="16"/>
      <c r="IG10" s="16"/>
      <c r="IH10" s="16"/>
      <c r="II10" s="16"/>
      <c r="IJ10" s="15"/>
      <c r="IK10" s="15">
        <v>22</v>
      </c>
      <c r="IL10" s="19"/>
      <c r="IM10" s="17">
        <v>23</v>
      </c>
      <c r="IN10" s="18"/>
      <c r="IO10" s="15">
        <v>24</v>
      </c>
      <c r="IP10" s="15"/>
      <c r="IQ10" s="16"/>
      <c r="IR10" s="16"/>
      <c r="IS10" s="16"/>
      <c r="IT10" s="16"/>
      <c r="IU10" s="16"/>
      <c r="IV10" s="15"/>
      <c r="IW10" s="16"/>
      <c r="IX10" s="15"/>
      <c r="IY10" s="15">
        <v>25</v>
      </c>
      <c r="IZ10" s="19"/>
      <c r="JA10" s="15">
        <v>26</v>
      </c>
      <c r="JB10" s="15"/>
      <c r="JC10" s="15">
        <v>27</v>
      </c>
      <c r="JD10" s="15"/>
      <c r="JE10" s="15">
        <v>28</v>
      </c>
      <c r="JF10" s="15"/>
      <c r="JG10" s="15">
        <v>29</v>
      </c>
      <c r="JH10" s="15"/>
      <c r="JI10" s="15">
        <v>30</v>
      </c>
      <c r="JJ10" s="19"/>
      <c r="JK10" s="15">
        <v>31</v>
      </c>
      <c r="JL10" s="15"/>
      <c r="JM10" s="15">
        <v>32</v>
      </c>
      <c r="JN10" s="17"/>
      <c r="JO10" s="14"/>
      <c r="JP10" s="19"/>
      <c r="JQ10" s="15">
        <v>33</v>
      </c>
      <c r="JR10" s="15"/>
      <c r="JS10" s="15">
        <v>34</v>
      </c>
      <c r="JT10" s="15"/>
      <c r="JU10" s="15">
        <v>35</v>
      </c>
      <c r="JV10" s="15"/>
      <c r="JW10" s="15">
        <v>36</v>
      </c>
      <c r="JX10" s="15"/>
      <c r="JY10" s="15">
        <v>37</v>
      </c>
      <c r="JZ10" s="15"/>
      <c r="KA10" s="16"/>
      <c r="KB10" s="15"/>
      <c r="KC10" s="15">
        <v>38</v>
      </c>
      <c r="KD10" s="19"/>
      <c r="KE10" s="15">
        <v>39</v>
      </c>
      <c r="KF10" s="15"/>
      <c r="KG10" s="15">
        <v>40</v>
      </c>
      <c r="KH10" s="19"/>
      <c r="KI10" s="15">
        <v>41</v>
      </c>
      <c r="KJ10" s="15"/>
      <c r="KK10" s="15">
        <v>42</v>
      </c>
      <c r="KL10" s="15"/>
      <c r="KM10" s="17"/>
      <c r="KN10" s="18"/>
      <c r="KO10" s="15"/>
      <c r="KP10" s="15"/>
      <c r="KQ10" s="15"/>
      <c r="KR10" s="15"/>
      <c r="KS10" s="15"/>
      <c r="KT10" s="16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6"/>
      <c r="LJ10" s="15"/>
      <c r="LK10" s="15"/>
      <c r="LL10" s="15"/>
      <c r="LM10" s="15"/>
      <c r="LN10" s="17"/>
    </row>
    <row r="11" spans="1:326" ht="107.25" customHeight="1" x14ac:dyDescent="0.3">
      <c r="A11" s="90">
        <v>8</v>
      </c>
      <c r="B11" s="5">
        <v>3</v>
      </c>
      <c r="C11" s="10" t="s">
        <v>58</v>
      </c>
      <c r="D11" s="101">
        <v>77000000</v>
      </c>
      <c r="E11" s="5" t="s">
        <v>33</v>
      </c>
      <c r="F11" s="126" t="s">
        <v>59</v>
      </c>
      <c r="G11" s="5"/>
      <c r="H11" s="5"/>
      <c r="I11" s="5">
        <v>100</v>
      </c>
      <c r="J11" s="11" t="s">
        <v>60</v>
      </c>
      <c r="K11" s="12">
        <v>46092</v>
      </c>
      <c r="L11" s="12">
        <v>46230</v>
      </c>
      <c r="M11" s="13" t="s">
        <v>61</v>
      </c>
      <c r="N11" s="92"/>
      <c r="O11" s="15"/>
      <c r="P11" s="15"/>
      <c r="Q11" s="15"/>
      <c r="R11" s="15"/>
      <c r="S11" s="15"/>
      <c r="T11" s="15"/>
      <c r="U11" s="15"/>
      <c r="V11" s="15"/>
      <c r="W11" s="16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7"/>
      <c r="AO11" s="18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7"/>
      <c r="BM11" s="18"/>
      <c r="BN11" s="15"/>
      <c r="BO11" s="15"/>
      <c r="BP11" s="16"/>
      <c r="BQ11" s="15"/>
      <c r="BR11" s="15"/>
      <c r="BS11" s="15"/>
      <c r="BT11" s="16"/>
      <c r="BU11" s="15">
        <v>1</v>
      </c>
      <c r="BV11" s="16"/>
      <c r="BW11" s="15">
        <v>2</v>
      </c>
      <c r="BX11" s="15"/>
      <c r="BY11" s="15">
        <v>3</v>
      </c>
      <c r="BZ11" s="15"/>
      <c r="CA11" s="16"/>
      <c r="CB11" s="15"/>
      <c r="CC11" s="15">
        <v>4</v>
      </c>
      <c r="CD11" s="15"/>
      <c r="CE11" s="16"/>
      <c r="CF11" s="15"/>
      <c r="CG11" s="16"/>
      <c r="CH11" s="15"/>
      <c r="CI11" s="15">
        <v>5</v>
      </c>
      <c r="CJ11" s="15"/>
      <c r="CK11" s="15"/>
      <c r="CL11" s="17"/>
      <c r="CM11" s="16"/>
      <c r="CN11" s="16"/>
      <c r="CO11" s="16"/>
      <c r="CP11" s="15"/>
      <c r="CQ11" s="15">
        <v>6</v>
      </c>
      <c r="CR11" s="15"/>
      <c r="CS11" s="15">
        <v>7</v>
      </c>
      <c r="CT11" s="15"/>
      <c r="CU11" s="15">
        <v>8</v>
      </c>
      <c r="CV11" s="15"/>
      <c r="CW11" s="15">
        <v>9</v>
      </c>
      <c r="CX11" s="15"/>
      <c r="CY11" s="19">
        <v>10</v>
      </c>
      <c r="CZ11" s="15"/>
      <c r="DA11" s="15">
        <v>11</v>
      </c>
      <c r="DB11" s="15"/>
      <c r="DC11" s="15">
        <v>12</v>
      </c>
      <c r="DD11" s="15"/>
      <c r="DE11" s="15">
        <v>13</v>
      </c>
      <c r="DF11" s="15"/>
      <c r="DG11" s="15">
        <v>14</v>
      </c>
      <c r="DH11" s="15"/>
      <c r="DI11" s="15">
        <v>15</v>
      </c>
      <c r="DJ11" s="15"/>
      <c r="DK11" s="19">
        <v>16</v>
      </c>
      <c r="DL11" s="17"/>
      <c r="DM11" s="14"/>
      <c r="DN11" s="15"/>
      <c r="DO11" s="15">
        <v>17</v>
      </c>
      <c r="DP11" s="15"/>
      <c r="DQ11" s="15">
        <v>18</v>
      </c>
      <c r="DR11" s="15"/>
      <c r="DS11" s="15">
        <v>19</v>
      </c>
      <c r="DT11" s="15"/>
      <c r="DU11" s="15">
        <v>20</v>
      </c>
      <c r="DV11" s="15"/>
      <c r="DW11" s="16"/>
      <c r="DX11" s="15"/>
      <c r="DY11" s="19">
        <v>21</v>
      </c>
      <c r="DZ11" s="15"/>
      <c r="EA11" s="16"/>
      <c r="EB11" s="15"/>
      <c r="EC11" s="15">
        <v>22</v>
      </c>
      <c r="ED11" s="15"/>
      <c r="EE11" s="15">
        <v>23</v>
      </c>
      <c r="EF11" s="15"/>
      <c r="EG11" s="15">
        <v>24</v>
      </c>
      <c r="EH11" s="15"/>
      <c r="EI11" s="16"/>
      <c r="EJ11" s="15"/>
      <c r="EK11" s="19">
        <v>25</v>
      </c>
      <c r="EL11" s="17"/>
      <c r="EM11" s="18">
        <v>26</v>
      </c>
      <c r="EN11" s="15"/>
      <c r="EO11" s="15">
        <v>27</v>
      </c>
      <c r="EP11" s="15"/>
      <c r="EQ11" s="15">
        <v>28</v>
      </c>
      <c r="ER11" s="15"/>
      <c r="ES11" s="16"/>
      <c r="ET11" s="19"/>
      <c r="EU11" s="16">
        <v>29</v>
      </c>
      <c r="EV11" s="15"/>
      <c r="EW11" s="15">
        <v>30</v>
      </c>
      <c r="EX11" s="15"/>
      <c r="EY11" s="16"/>
      <c r="EZ11" s="15"/>
      <c r="FA11" s="15">
        <v>31</v>
      </c>
      <c r="FB11" s="19"/>
      <c r="FC11" s="16"/>
      <c r="FD11" s="15"/>
      <c r="FE11" s="15">
        <v>32</v>
      </c>
      <c r="FF11" s="15"/>
      <c r="FG11" s="19">
        <v>33</v>
      </c>
      <c r="FH11" s="15"/>
      <c r="FI11" s="15">
        <v>34</v>
      </c>
      <c r="FJ11" s="15"/>
      <c r="FK11" s="16"/>
      <c r="FL11" s="19"/>
      <c r="FM11" s="18">
        <v>35</v>
      </c>
      <c r="FN11" s="15"/>
      <c r="FO11" s="15">
        <v>36</v>
      </c>
      <c r="FP11" s="15"/>
      <c r="FQ11" s="15">
        <v>37</v>
      </c>
      <c r="FR11" s="15"/>
      <c r="FS11" s="15">
        <v>38</v>
      </c>
      <c r="FT11" s="15"/>
      <c r="FU11" s="16"/>
      <c r="FV11" s="15"/>
      <c r="FW11" s="15">
        <v>39</v>
      </c>
      <c r="FX11" s="15"/>
      <c r="FY11" s="16"/>
      <c r="FZ11" s="15"/>
      <c r="GA11" s="15">
        <v>40</v>
      </c>
      <c r="GB11" s="15"/>
      <c r="GC11" s="16"/>
      <c r="GD11" s="19"/>
      <c r="GE11" s="16"/>
      <c r="GF11" s="15"/>
      <c r="GG11" s="16"/>
      <c r="GH11" s="15"/>
      <c r="GI11" s="15">
        <v>41</v>
      </c>
      <c r="GJ11" s="15"/>
      <c r="GK11" s="15"/>
      <c r="GL11" s="15"/>
      <c r="GM11" s="17"/>
      <c r="GN11" s="18"/>
      <c r="GO11" s="15"/>
      <c r="GP11" s="15"/>
      <c r="GQ11" s="19"/>
      <c r="GR11" s="15"/>
      <c r="GS11" s="15"/>
      <c r="GT11" s="15"/>
      <c r="GU11" s="15"/>
      <c r="GV11" s="15"/>
      <c r="GW11" s="16"/>
      <c r="GX11" s="15"/>
      <c r="GY11" s="15"/>
      <c r="GZ11" s="15"/>
      <c r="HA11" s="16"/>
      <c r="HB11" s="15"/>
      <c r="HC11" s="15"/>
      <c r="HD11" s="19"/>
      <c r="HE11" s="15"/>
      <c r="HF11" s="15"/>
      <c r="HG11" s="15"/>
      <c r="HH11" s="15"/>
      <c r="HI11" s="15"/>
      <c r="HJ11" s="15"/>
      <c r="HK11" s="15"/>
      <c r="HL11" s="15"/>
      <c r="HM11" s="17"/>
      <c r="HN11" s="18"/>
      <c r="HO11" s="15"/>
      <c r="HP11" s="19"/>
      <c r="HQ11" s="15"/>
      <c r="HR11" s="15"/>
      <c r="HS11" s="15"/>
      <c r="HT11" s="15"/>
      <c r="HU11" s="15"/>
      <c r="HV11" s="15"/>
      <c r="HW11" s="15"/>
      <c r="HX11" s="15"/>
      <c r="HY11" s="15"/>
      <c r="HZ11" s="19"/>
      <c r="IA11" s="15"/>
      <c r="IB11" s="15"/>
      <c r="IC11" s="15"/>
      <c r="ID11" s="15"/>
      <c r="IE11" s="16"/>
      <c r="IF11" s="16"/>
      <c r="IG11" s="16"/>
      <c r="IH11" s="16"/>
      <c r="II11" s="16"/>
      <c r="IJ11" s="15"/>
      <c r="IK11" s="15"/>
      <c r="IL11" s="19"/>
      <c r="IM11" s="17"/>
      <c r="IN11" s="18"/>
      <c r="IO11" s="15"/>
      <c r="IP11" s="15"/>
      <c r="IQ11" s="16"/>
      <c r="IR11" s="16"/>
      <c r="IS11" s="16"/>
      <c r="IT11" s="16"/>
      <c r="IU11" s="16"/>
      <c r="IV11" s="15"/>
      <c r="IW11" s="16"/>
      <c r="IX11" s="15"/>
      <c r="IY11" s="15"/>
      <c r="IZ11" s="19"/>
      <c r="JA11" s="15"/>
      <c r="JB11" s="15"/>
      <c r="JC11" s="15"/>
      <c r="JD11" s="15"/>
      <c r="JE11" s="15"/>
      <c r="JF11" s="15"/>
      <c r="JG11" s="15"/>
      <c r="JH11" s="15"/>
      <c r="JI11" s="15"/>
      <c r="JJ11" s="19"/>
      <c r="JK11" s="15"/>
      <c r="JL11" s="15"/>
      <c r="JM11" s="15"/>
      <c r="JN11" s="17"/>
      <c r="JO11" s="14"/>
      <c r="JP11" s="19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6"/>
      <c r="KB11" s="15"/>
      <c r="KC11" s="15"/>
      <c r="KD11" s="19"/>
      <c r="KE11" s="15"/>
      <c r="KF11" s="15"/>
      <c r="KG11" s="15"/>
      <c r="KH11" s="19"/>
      <c r="KI11" s="15"/>
      <c r="KJ11" s="15"/>
      <c r="KK11" s="15"/>
      <c r="KL11" s="15"/>
      <c r="KM11" s="17"/>
      <c r="KN11" s="18"/>
      <c r="KO11" s="15"/>
      <c r="KP11" s="15"/>
      <c r="KQ11" s="15"/>
      <c r="KR11" s="15"/>
      <c r="KS11" s="15"/>
      <c r="KT11" s="16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6"/>
      <c r="LJ11" s="15"/>
      <c r="LK11" s="15"/>
      <c r="LL11" s="15"/>
      <c r="LM11" s="15"/>
      <c r="LN11" s="17"/>
    </row>
    <row r="12" spans="1:326" ht="54" customHeight="1" x14ac:dyDescent="0.3">
      <c r="A12" s="90">
        <v>9</v>
      </c>
      <c r="B12" s="5">
        <v>3</v>
      </c>
      <c r="C12" s="10" t="s">
        <v>62</v>
      </c>
      <c r="D12" s="101">
        <v>36960000</v>
      </c>
      <c r="E12" s="5" t="s">
        <v>33</v>
      </c>
      <c r="F12" s="5" t="s">
        <v>63</v>
      </c>
      <c r="G12" s="5"/>
      <c r="H12" s="5"/>
      <c r="I12" s="5">
        <v>48</v>
      </c>
      <c r="J12" s="11" t="s">
        <v>64</v>
      </c>
      <c r="K12" s="12">
        <v>46281</v>
      </c>
      <c r="L12" s="12">
        <v>46346</v>
      </c>
      <c r="M12" s="13" t="s">
        <v>65</v>
      </c>
      <c r="N12" s="92"/>
      <c r="O12" s="15"/>
      <c r="P12" s="15"/>
      <c r="Q12" s="15"/>
      <c r="R12" s="15"/>
      <c r="S12" s="15"/>
      <c r="T12" s="15"/>
      <c r="U12" s="15"/>
      <c r="V12" s="15"/>
      <c r="W12" s="16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7"/>
      <c r="AO12" s="18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7"/>
      <c r="BM12" s="18"/>
      <c r="BN12" s="15"/>
      <c r="BO12" s="15"/>
      <c r="BP12" s="16"/>
      <c r="BQ12" s="15"/>
      <c r="BR12" s="15"/>
      <c r="BS12" s="15"/>
      <c r="BT12" s="16"/>
      <c r="BU12" s="15"/>
      <c r="BV12" s="16"/>
      <c r="BW12" s="15"/>
      <c r="BX12" s="15"/>
      <c r="BY12" s="15"/>
      <c r="BZ12" s="15"/>
      <c r="CA12" s="16"/>
      <c r="CB12" s="15"/>
      <c r="CC12" s="15"/>
      <c r="CD12" s="15"/>
      <c r="CE12" s="16"/>
      <c r="CF12" s="15"/>
      <c r="CG12" s="16"/>
      <c r="CH12" s="15"/>
      <c r="CI12" s="15"/>
      <c r="CJ12" s="15"/>
      <c r="CK12" s="15"/>
      <c r="CL12" s="17"/>
      <c r="CM12" s="16"/>
      <c r="CN12" s="16"/>
      <c r="CO12" s="16"/>
      <c r="CP12" s="15"/>
      <c r="CQ12" s="15"/>
      <c r="CR12" s="15"/>
      <c r="CS12" s="15"/>
      <c r="CT12" s="15"/>
      <c r="CU12" s="15"/>
      <c r="CV12" s="15"/>
      <c r="CW12" s="15"/>
      <c r="CX12" s="15"/>
      <c r="CY12" s="19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9"/>
      <c r="DL12" s="17"/>
      <c r="DM12" s="14"/>
      <c r="DN12" s="15"/>
      <c r="DO12" s="15"/>
      <c r="DP12" s="15"/>
      <c r="DQ12" s="15"/>
      <c r="DR12" s="15"/>
      <c r="DS12" s="15"/>
      <c r="DT12" s="15"/>
      <c r="DU12" s="15"/>
      <c r="DV12" s="15"/>
      <c r="DW12" s="16"/>
      <c r="DX12" s="15"/>
      <c r="DY12" s="19"/>
      <c r="DZ12" s="15"/>
      <c r="EA12" s="16"/>
      <c r="EB12" s="15"/>
      <c r="EC12" s="15"/>
      <c r="ED12" s="15"/>
      <c r="EE12" s="15"/>
      <c r="EF12" s="15"/>
      <c r="EG12" s="15"/>
      <c r="EH12" s="15"/>
      <c r="EI12" s="16"/>
      <c r="EJ12" s="15"/>
      <c r="EK12" s="19"/>
      <c r="EL12" s="17"/>
      <c r="EM12" s="18"/>
      <c r="EN12" s="15"/>
      <c r="EO12" s="15"/>
      <c r="EP12" s="15"/>
      <c r="EQ12" s="15"/>
      <c r="ER12" s="15"/>
      <c r="ES12" s="16"/>
      <c r="ET12" s="19"/>
      <c r="EU12" s="16"/>
      <c r="EV12" s="15"/>
      <c r="EW12" s="15"/>
      <c r="EX12" s="15"/>
      <c r="EY12" s="16"/>
      <c r="EZ12" s="15"/>
      <c r="FA12" s="15"/>
      <c r="FB12" s="19"/>
      <c r="FC12" s="16"/>
      <c r="FD12" s="15"/>
      <c r="FE12" s="15"/>
      <c r="FF12" s="15"/>
      <c r="FG12" s="19"/>
      <c r="FH12" s="15"/>
      <c r="FI12" s="15"/>
      <c r="FJ12" s="15"/>
      <c r="FK12" s="16"/>
      <c r="FL12" s="19"/>
      <c r="FM12" s="18"/>
      <c r="FN12" s="15"/>
      <c r="FO12" s="15"/>
      <c r="FP12" s="15"/>
      <c r="FQ12" s="15"/>
      <c r="FR12" s="15"/>
      <c r="FS12" s="15"/>
      <c r="FT12" s="15"/>
      <c r="FU12" s="16"/>
      <c r="FV12" s="15"/>
      <c r="FW12" s="15"/>
      <c r="FX12" s="15"/>
      <c r="FY12" s="16"/>
      <c r="FZ12" s="15"/>
      <c r="GA12" s="15"/>
      <c r="GB12" s="15"/>
      <c r="GC12" s="16"/>
      <c r="GD12" s="19"/>
      <c r="GE12" s="16"/>
      <c r="GF12" s="15"/>
      <c r="GG12" s="16"/>
      <c r="GH12" s="15"/>
      <c r="GI12" s="15"/>
      <c r="GJ12" s="15"/>
      <c r="GK12" s="15"/>
      <c r="GL12" s="15"/>
      <c r="GM12" s="17"/>
      <c r="GN12" s="18"/>
      <c r="GO12" s="15"/>
      <c r="GP12" s="15"/>
      <c r="GQ12" s="19"/>
      <c r="GR12" s="15"/>
      <c r="GS12" s="15"/>
      <c r="GT12" s="15"/>
      <c r="GU12" s="15"/>
      <c r="GV12" s="15"/>
      <c r="GW12" s="16"/>
      <c r="GX12" s="15"/>
      <c r="GY12" s="15"/>
      <c r="GZ12" s="15"/>
      <c r="HA12" s="16"/>
      <c r="HB12" s="15"/>
      <c r="HC12" s="15"/>
      <c r="HD12" s="19"/>
      <c r="HE12" s="15"/>
      <c r="HF12" s="15"/>
      <c r="HG12" s="15"/>
      <c r="HH12" s="15"/>
      <c r="HI12" s="15"/>
      <c r="HJ12" s="15"/>
      <c r="HK12" s="15"/>
      <c r="HL12" s="15"/>
      <c r="HM12" s="17"/>
      <c r="HN12" s="18"/>
      <c r="HO12" s="15"/>
      <c r="HP12" s="19"/>
      <c r="HQ12" s="15"/>
      <c r="HR12" s="15"/>
      <c r="HS12" s="15"/>
      <c r="HT12" s="15"/>
      <c r="HU12" s="15"/>
      <c r="HV12" s="15"/>
      <c r="HW12" s="15"/>
      <c r="HX12" s="15"/>
      <c r="HY12" s="15"/>
      <c r="HZ12" s="19"/>
      <c r="IA12" s="15">
        <v>1</v>
      </c>
      <c r="IB12" s="15"/>
      <c r="IC12" s="15">
        <v>2</v>
      </c>
      <c r="ID12" s="15"/>
      <c r="IE12" s="16"/>
      <c r="IF12" s="16"/>
      <c r="IG12" s="16"/>
      <c r="IH12" s="16"/>
      <c r="II12" s="16"/>
      <c r="IJ12" s="15"/>
      <c r="IK12" s="15">
        <v>3</v>
      </c>
      <c r="IL12" s="19"/>
      <c r="IM12" s="17">
        <v>4</v>
      </c>
      <c r="IN12" s="18"/>
      <c r="IO12" s="15">
        <v>5</v>
      </c>
      <c r="IP12" s="15"/>
      <c r="IQ12" s="16"/>
      <c r="IR12" s="16"/>
      <c r="IS12" s="16"/>
      <c r="IT12" s="16"/>
      <c r="IU12" s="16"/>
      <c r="IV12" s="15"/>
      <c r="IW12" s="16"/>
      <c r="IX12" s="15"/>
      <c r="IY12" s="15">
        <v>6</v>
      </c>
      <c r="IZ12" s="19"/>
      <c r="JA12" s="15">
        <v>7</v>
      </c>
      <c r="JB12" s="15"/>
      <c r="JC12" s="15">
        <v>8</v>
      </c>
      <c r="JD12" s="15"/>
      <c r="JE12" s="15">
        <v>9</v>
      </c>
      <c r="JF12" s="15"/>
      <c r="JG12" s="15">
        <v>10</v>
      </c>
      <c r="JH12" s="15"/>
      <c r="JI12" s="15">
        <v>11</v>
      </c>
      <c r="JJ12" s="19"/>
      <c r="JK12" s="15">
        <v>12</v>
      </c>
      <c r="JL12" s="15"/>
      <c r="JM12" s="15">
        <v>13</v>
      </c>
      <c r="JN12" s="17"/>
      <c r="JO12" s="14"/>
      <c r="JP12" s="19"/>
      <c r="JQ12" s="15">
        <v>14</v>
      </c>
      <c r="JR12" s="15"/>
      <c r="JS12" s="15">
        <v>15</v>
      </c>
      <c r="JT12" s="15"/>
      <c r="JU12" s="15">
        <v>16</v>
      </c>
      <c r="JV12" s="15"/>
      <c r="JW12" s="15">
        <v>17</v>
      </c>
      <c r="JX12" s="15"/>
      <c r="JY12" s="15">
        <v>18</v>
      </c>
      <c r="JZ12" s="15"/>
      <c r="KA12" s="16"/>
      <c r="KB12" s="15"/>
      <c r="KC12" s="15">
        <v>19</v>
      </c>
      <c r="KD12" s="19"/>
      <c r="KE12" s="15">
        <v>20</v>
      </c>
      <c r="KF12" s="15"/>
      <c r="KG12" s="15"/>
      <c r="KH12" s="19"/>
      <c r="KI12" s="15"/>
      <c r="KJ12" s="15"/>
      <c r="KK12" s="15"/>
      <c r="KL12" s="15"/>
      <c r="KM12" s="17"/>
      <c r="KN12" s="18"/>
      <c r="KO12" s="15"/>
      <c r="KP12" s="15"/>
      <c r="KQ12" s="15"/>
      <c r="KR12" s="15"/>
      <c r="KS12" s="15"/>
      <c r="KT12" s="16"/>
      <c r="KU12" s="15"/>
      <c r="KV12" s="15"/>
      <c r="KW12" s="15"/>
      <c r="KX12" s="15"/>
      <c r="KY12" s="15"/>
      <c r="KZ12" s="15"/>
      <c r="LA12" s="15"/>
      <c r="LB12" s="15"/>
      <c r="LC12" s="15"/>
      <c r="LD12" s="15"/>
      <c r="LE12" s="15"/>
      <c r="LF12" s="15"/>
      <c r="LG12" s="15"/>
      <c r="LH12" s="15"/>
      <c r="LI12" s="16"/>
      <c r="LJ12" s="15"/>
      <c r="LK12" s="15"/>
      <c r="LL12" s="15"/>
      <c r="LM12" s="15"/>
      <c r="LN12" s="17"/>
    </row>
    <row r="13" spans="1:326" ht="54" customHeight="1" x14ac:dyDescent="0.3">
      <c r="A13" s="90">
        <v>10</v>
      </c>
      <c r="B13" s="5">
        <v>4</v>
      </c>
      <c r="C13" s="10" t="s">
        <v>66</v>
      </c>
      <c r="D13" s="101">
        <v>23040000</v>
      </c>
      <c r="E13" s="5" t="s">
        <v>44</v>
      </c>
      <c r="F13" s="5" t="s">
        <v>49</v>
      </c>
      <c r="G13" s="128">
        <f>COUNTA(Tabla_ComAsertiva[NOMBRE Y APELLIDOS])</f>
        <v>11</v>
      </c>
      <c r="H13" s="128">
        <f>COUNTIF(Tabla_ComAsertiva[% ASISTENCIA],"&gt;=0,8")</f>
        <v>10</v>
      </c>
      <c r="I13" s="5">
        <v>32</v>
      </c>
      <c r="J13" s="11" t="s">
        <v>67</v>
      </c>
      <c r="K13" s="12">
        <v>46156</v>
      </c>
      <c r="L13" s="12">
        <v>46217</v>
      </c>
      <c r="M13" s="99" t="s">
        <v>68</v>
      </c>
      <c r="N13" s="92"/>
      <c r="O13" s="15"/>
      <c r="P13" s="15"/>
      <c r="Q13" s="15"/>
      <c r="R13" s="15"/>
      <c r="S13" s="15"/>
      <c r="T13" s="15"/>
      <c r="U13" s="15"/>
      <c r="V13" s="15"/>
      <c r="W13" s="16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7"/>
      <c r="AO13" s="18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7"/>
      <c r="BM13" s="18"/>
      <c r="BN13" s="15"/>
      <c r="BO13" s="15"/>
      <c r="BP13" s="16"/>
      <c r="BQ13" s="15"/>
      <c r="BR13" s="15"/>
      <c r="BS13" s="15"/>
      <c r="BT13" s="16"/>
      <c r="BU13" s="15"/>
      <c r="BV13" s="16"/>
      <c r="BW13" s="15"/>
      <c r="BX13" s="15"/>
      <c r="BY13" s="15"/>
      <c r="BZ13" s="15"/>
      <c r="CA13" s="16"/>
      <c r="CB13" s="15"/>
      <c r="CC13" s="15"/>
      <c r="CD13" s="15"/>
      <c r="CE13" s="16"/>
      <c r="CF13" s="15"/>
      <c r="CG13" s="16"/>
      <c r="CH13" s="15"/>
      <c r="CI13" s="15"/>
      <c r="CJ13" s="15"/>
      <c r="CK13" s="15"/>
      <c r="CL13" s="17"/>
      <c r="CM13" s="16"/>
      <c r="CN13" s="16"/>
      <c r="CO13" s="16"/>
      <c r="CP13" s="15"/>
      <c r="CQ13" s="15"/>
      <c r="CR13" s="15"/>
      <c r="CS13" s="15"/>
      <c r="CT13" s="15"/>
      <c r="CU13" s="15"/>
      <c r="CV13" s="15"/>
      <c r="CW13" s="15"/>
      <c r="CX13" s="15"/>
      <c r="CY13" s="19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9"/>
      <c r="DL13" s="17"/>
      <c r="DM13" s="14"/>
      <c r="DN13" s="15"/>
      <c r="DO13" s="15"/>
      <c r="DP13" s="15"/>
      <c r="DQ13" s="15"/>
      <c r="DR13" s="15"/>
      <c r="DS13" s="15"/>
      <c r="DT13" s="15"/>
      <c r="DU13" s="15"/>
      <c r="DV13" s="15"/>
      <c r="DW13" s="16"/>
      <c r="DX13" s="15">
        <v>1</v>
      </c>
      <c r="DY13" s="19"/>
      <c r="DZ13" s="15"/>
      <c r="EA13" s="16"/>
      <c r="EB13" s="15">
        <v>2</v>
      </c>
      <c r="EC13" s="15"/>
      <c r="ED13" s="15">
        <v>3</v>
      </c>
      <c r="EE13" s="15"/>
      <c r="EF13" s="15"/>
      <c r="EG13" s="15"/>
      <c r="EH13" s="15">
        <v>4</v>
      </c>
      <c r="EI13" s="16"/>
      <c r="EJ13" s="15">
        <v>5</v>
      </c>
      <c r="EK13" s="19"/>
      <c r="EL13" s="17"/>
      <c r="EM13" s="18"/>
      <c r="EN13" s="15">
        <v>6</v>
      </c>
      <c r="EO13" s="15"/>
      <c r="EP13" s="15">
        <v>7</v>
      </c>
      <c r="EQ13" s="15"/>
      <c r="ER13" s="15"/>
      <c r="ES13" s="16"/>
      <c r="ET13" s="19"/>
      <c r="EU13" s="16"/>
      <c r="EV13" s="15">
        <v>8</v>
      </c>
      <c r="EW13" s="15"/>
      <c r="EX13" s="15"/>
      <c r="EY13" s="16"/>
      <c r="EZ13" s="15">
        <v>9</v>
      </c>
      <c r="FA13" s="15"/>
      <c r="FB13" s="19"/>
      <c r="FC13" s="16"/>
      <c r="FD13" s="15"/>
      <c r="FE13" s="15"/>
      <c r="FF13" s="15">
        <v>10</v>
      </c>
      <c r="FG13" s="19"/>
      <c r="FH13" s="15">
        <v>11</v>
      </c>
      <c r="FI13" s="15"/>
      <c r="FJ13" s="15"/>
      <c r="FK13" s="16"/>
      <c r="FL13" s="19"/>
      <c r="FM13" s="18"/>
      <c r="FN13" s="15">
        <v>12</v>
      </c>
      <c r="FO13" s="15"/>
      <c r="FP13" s="15"/>
      <c r="FQ13" s="15"/>
      <c r="FR13" s="15">
        <v>13</v>
      </c>
      <c r="FS13" s="15"/>
      <c r="FT13" s="15">
        <v>14</v>
      </c>
      <c r="FU13" s="16"/>
      <c r="FV13" s="15"/>
      <c r="FW13" s="15"/>
      <c r="FX13" s="15">
        <v>15</v>
      </c>
      <c r="FY13" s="16"/>
      <c r="FZ13" s="15"/>
      <c r="GA13" s="15"/>
      <c r="GB13" s="15"/>
      <c r="GC13" s="16"/>
      <c r="GD13" s="19"/>
      <c r="GE13" s="16"/>
      <c r="GF13" s="15"/>
      <c r="GG13" s="16"/>
      <c r="GH13" s="15"/>
      <c r="GI13" s="15"/>
      <c r="GJ13" s="15"/>
      <c r="GK13" s="15"/>
      <c r="GL13" s="15"/>
      <c r="GM13" s="17"/>
      <c r="GN13" s="18"/>
      <c r="GO13" s="15"/>
      <c r="GP13" s="15"/>
      <c r="GQ13" s="19"/>
      <c r="GR13" s="15"/>
      <c r="GS13" s="15"/>
      <c r="GT13" s="15"/>
      <c r="GU13" s="15"/>
      <c r="GV13" s="15"/>
      <c r="GW13" s="16"/>
      <c r="GX13" s="15"/>
      <c r="GY13" s="15"/>
      <c r="GZ13" s="15"/>
      <c r="HA13" s="16"/>
      <c r="HB13" s="15"/>
      <c r="HC13" s="15"/>
      <c r="HD13" s="19"/>
      <c r="HE13" s="15"/>
      <c r="HF13" s="15"/>
      <c r="HG13" s="15"/>
      <c r="HH13" s="15"/>
      <c r="HI13" s="15"/>
      <c r="HJ13" s="15"/>
      <c r="HK13" s="15"/>
      <c r="HL13" s="15"/>
      <c r="HM13" s="17"/>
      <c r="HN13" s="18"/>
      <c r="HO13" s="15"/>
      <c r="HP13" s="19"/>
      <c r="HQ13" s="15"/>
      <c r="HR13" s="15"/>
      <c r="HS13" s="15"/>
      <c r="HT13" s="15"/>
      <c r="HU13" s="15"/>
      <c r="HV13" s="15"/>
      <c r="HW13" s="15"/>
      <c r="HX13" s="15"/>
      <c r="HY13" s="15"/>
      <c r="HZ13" s="19"/>
      <c r="IA13" s="15"/>
      <c r="IB13" s="15"/>
      <c r="IC13" s="15"/>
      <c r="ID13" s="15"/>
      <c r="IE13" s="16"/>
      <c r="IF13" s="16"/>
      <c r="IG13" s="16"/>
      <c r="IH13" s="16"/>
      <c r="II13" s="16"/>
      <c r="IJ13" s="15"/>
      <c r="IK13" s="15"/>
      <c r="IL13" s="19"/>
      <c r="IM13" s="17"/>
      <c r="IN13" s="18"/>
      <c r="IO13" s="15"/>
      <c r="IP13" s="15"/>
      <c r="IQ13" s="16"/>
      <c r="IR13" s="16"/>
      <c r="IS13" s="16"/>
      <c r="IT13" s="16"/>
      <c r="IU13" s="16"/>
      <c r="IV13" s="15"/>
      <c r="IW13" s="16"/>
      <c r="IX13" s="15"/>
      <c r="IY13" s="15"/>
      <c r="IZ13" s="19"/>
      <c r="JA13" s="15"/>
      <c r="JB13" s="15"/>
      <c r="JC13" s="15"/>
      <c r="JD13" s="15"/>
      <c r="JE13" s="15"/>
      <c r="JF13" s="15"/>
      <c r="JG13" s="15"/>
      <c r="JH13" s="15"/>
      <c r="JI13" s="15"/>
      <c r="JJ13" s="19"/>
      <c r="JK13" s="15"/>
      <c r="JL13" s="15"/>
      <c r="JM13" s="15"/>
      <c r="JN13" s="17"/>
      <c r="JO13" s="14"/>
      <c r="JP13" s="19"/>
      <c r="JQ13" s="15"/>
      <c r="JR13" s="15"/>
      <c r="JS13" s="15"/>
      <c r="JT13" s="15"/>
      <c r="JU13" s="15"/>
      <c r="JV13" s="15"/>
      <c r="JW13" s="15"/>
      <c r="JX13" s="15"/>
      <c r="JY13" s="15"/>
      <c r="JZ13" s="15"/>
      <c r="KA13" s="16"/>
      <c r="KB13" s="15"/>
      <c r="KC13" s="15"/>
      <c r="KD13" s="19"/>
      <c r="KE13" s="15"/>
      <c r="KF13" s="15"/>
      <c r="KG13" s="15"/>
      <c r="KH13" s="19"/>
      <c r="KI13" s="15"/>
      <c r="KJ13" s="15"/>
      <c r="KK13" s="15"/>
      <c r="KL13" s="15"/>
      <c r="KM13" s="17"/>
      <c r="KN13" s="18"/>
      <c r="KO13" s="15"/>
      <c r="KP13" s="15"/>
      <c r="KQ13" s="15"/>
      <c r="KR13" s="15"/>
      <c r="KS13" s="15"/>
      <c r="KT13" s="16"/>
      <c r="KU13" s="15"/>
      <c r="KV13" s="15"/>
      <c r="KW13" s="15"/>
      <c r="KX13" s="15"/>
      <c r="KY13" s="15"/>
      <c r="KZ13" s="15"/>
      <c r="LA13" s="15"/>
      <c r="LB13" s="15"/>
      <c r="LC13" s="15"/>
      <c r="LD13" s="15"/>
      <c r="LE13" s="15"/>
      <c r="LF13" s="15"/>
      <c r="LG13" s="15"/>
      <c r="LH13" s="15"/>
      <c r="LI13" s="16"/>
      <c r="LJ13" s="15"/>
      <c r="LK13" s="15"/>
      <c r="LL13" s="15"/>
      <c r="LM13" s="15"/>
      <c r="LN13" s="17"/>
    </row>
    <row r="14" spans="1:326" ht="54" customHeight="1" x14ac:dyDescent="0.3">
      <c r="A14" s="90">
        <v>11</v>
      </c>
      <c r="B14" s="5">
        <v>4</v>
      </c>
      <c r="C14" s="10" t="s">
        <v>69</v>
      </c>
      <c r="D14" s="101">
        <v>23040000</v>
      </c>
      <c r="E14" s="5" t="s">
        <v>44</v>
      </c>
      <c r="F14" s="5" t="s">
        <v>70</v>
      </c>
      <c r="G14" s="127"/>
      <c r="H14" s="127"/>
      <c r="I14" s="5">
        <v>32</v>
      </c>
      <c r="J14" s="11" t="s">
        <v>67</v>
      </c>
      <c r="K14" s="12">
        <v>46219</v>
      </c>
      <c r="L14" s="12">
        <v>46282</v>
      </c>
      <c r="M14" s="13" t="s">
        <v>71</v>
      </c>
      <c r="N14" s="92"/>
      <c r="O14" s="15"/>
      <c r="P14" s="15"/>
      <c r="Q14" s="15"/>
      <c r="R14" s="15"/>
      <c r="S14" s="15"/>
      <c r="T14" s="15"/>
      <c r="U14" s="15"/>
      <c r="V14" s="15"/>
      <c r="W14" s="16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7"/>
      <c r="AO14" s="18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7"/>
      <c r="BM14" s="18"/>
      <c r="BN14" s="15"/>
      <c r="BO14" s="15"/>
      <c r="BP14" s="16"/>
      <c r="BQ14" s="15"/>
      <c r="BR14" s="15"/>
      <c r="BS14" s="15"/>
      <c r="BT14" s="16"/>
      <c r="BU14" s="15"/>
      <c r="BV14" s="16"/>
      <c r="BW14" s="15"/>
      <c r="BX14" s="15"/>
      <c r="BY14" s="15"/>
      <c r="BZ14" s="15"/>
      <c r="CA14" s="16"/>
      <c r="CB14" s="15"/>
      <c r="CC14" s="15"/>
      <c r="CD14" s="15"/>
      <c r="CE14" s="16"/>
      <c r="CF14" s="15"/>
      <c r="CG14" s="16"/>
      <c r="CH14" s="15"/>
      <c r="CI14" s="15"/>
      <c r="CJ14" s="15"/>
      <c r="CK14" s="15"/>
      <c r="CL14" s="17"/>
      <c r="CM14" s="16"/>
      <c r="CN14" s="16"/>
      <c r="CO14" s="16"/>
      <c r="CP14" s="15"/>
      <c r="CQ14" s="15"/>
      <c r="CR14" s="15"/>
      <c r="CS14" s="15"/>
      <c r="CT14" s="15"/>
      <c r="CU14" s="15"/>
      <c r="CV14" s="15"/>
      <c r="CW14" s="15"/>
      <c r="CX14" s="15"/>
      <c r="CY14" s="19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9"/>
      <c r="DL14" s="17"/>
      <c r="DM14" s="14"/>
      <c r="DN14" s="15"/>
      <c r="DO14" s="15"/>
      <c r="DP14" s="15"/>
      <c r="DQ14" s="15"/>
      <c r="DR14" s="15"/>
      <c r="DS14" s="15"/>
      <c r="DT14" s="15"/>
      <c r="DU14" s="15"/>
      <c r="DV14" s="15"/>
      <c r="DW14" s="16"/>
      <c r="DX14" s="15"/>
      <c r="DY14" s="19"/>
      <c r="DZ14" s="15"/>
      <c r="EA14" s="16"/>
      <c r="EB14" s="15"/>
      <c r="EC14" s="15"/>
      <c r="ED14" s="15"/>
      <c r="EE14" s="15"/>
      <c r="EF14" s="15"/>
      <c r="EG14" s="15"/>
      <c r="EH14" s="15"/>
      <c r="EI14" s="16"/>
      <c r="EJ14" s="15"/>
      <c r="EK14" s="19"/>
      <c r="EL14" s="17"/>
      <c r="EM14" s="18"/>
      <c r="EN14" s="15"/>
      <c r="EO14" s="15"/>
      <c r="EP14" s="15"/>
      <c r="EQ14" s="15"/>
      <c r="ER14" s="15"/>
      <c r="ES14" s="16"/>
      <c r="ET14" s="19"/>
      <c r="EU14" s="16"/>
      <c r="EV14" s="15"/>
      <c r="EW14" s="15"/>
      <c r="EX14" s="15"/>
      <c r="EY14" s="16"/>
      <c r="EZ14" s="15"/>
      <c r="FA14" s="15"/>
      <c r="FB14" s="19"/>
      <c r="FC14" s="16"/>
      <c r="FD14" s="15"/>
      <c r="FE14" s="15"/>
      <c r="FF14" s="15"/>
      <c r="FG14" s="19"/>
      <c r="FH14" s="15"/>
      <c r="FI14" s="15"/>
      <c r="FJ14" s="15"/>
      <c r="FK14" s="16"/>
      <c r="FL14" s="19"/>
      <c r="FM14" s="18"/>
      <c r="FN14" s="15"/>
      <c r="FO14" s="15"/>
      <c r="FP14" s="15"/>
      <c r="FQ14" s="15"/>
      <c r="FR14" s="15"/>
      <c r="FS14" s="15"/>
      <c r="FT14" s="15"/>
      <c r="FU14" s="16"/>
      <c r="FV14" s="15"/>
      <c r="FW14" s="15"/>
      <c r="FX14" s="15"/>
      <c r="FY14" s="16"/>
      <c r="FZ14" s="15">
        <v>1</v>
      </c>
      <c r="GA14" s="15"/>
      <c r="GB14" s="15"/>
      <c r="GC14" s="16"/>
      <c r="GD14" s="19"/>
      <c r="GE14" s="16"/>
      <c r="GF14" s="15">
        <v>2</v>
      </c>
      <c r="GG14" s="16"/>
      <c r="GH14" s="15"/>
      <c r="GI14" s="15"/>
      <c r="GJ14" s="15">
        <v>3</v>
      </c>
      <c r="GK14" s="15"/>
      <c r="GL14" s="15">
        <v>4</v>
      </c>
      <c r="GM14" s="17"/>
      <c r="GN14" s="18"/>
      <c r="GO14" s="15"/>
      <c r="GP14" s="15">
        <v>5</v>
      </c>
      <c r="GQ14" s="19"/>
      <c r="GR14" s="15">
        <v>6</v>
      </c>
      <c r="GS14" s="15"/>
      <c r="GT14" s="15"/>
      <c r="GU14" s="15"/>
      <c r="GV14" s="15">
        <v>7</v>
      </c>
      <c r="GW14" s="16"/>
      <c r="GX14" s="15">
        <v>8</v>
      </c>
      <c r="GY14" s="15"/>
      <c r="GZ14" s="15"/>
      <c r="HA14" s="16"/>
      <c r="HB14" s="15">
        <v>9</v>
      </c>
      <c r="HC14" s="15"/>
      <c r="HD14" s="19"/>
      <c r="HE14" s="15"/>
      <c r="HF14" s="15"/>
      <c r="HG14" s="15"/>
      <c r="HH14" s="15">
        <v>10</v>
      </c>
      <c r="HI14" s="15"/>
      <c r="HJ14" s="15">
        <v>11</v>
      </c>
      <c r="HK14" s="15"/>
      <c r="HL14" s="15"/>
      <c r="HM14" s="17"/>
      <c r="HN14" s="18">
        <v>12</v>
      </c>
      <c r="HO14" s="15"/>
      <c r="HP14" s="19"/>
      <c r="HQ14" s="15"/>
      <c r="HR14" s="15"/>
      <c r="HS14" s="15"/>
      <c r="HT14" s="15">
        <v>13</v>
      </c>
      <c r="HU14" s="15"/>
      <c r="HV14" s="15">
        <v>14</v>
      </c>
      <c r="HW14" s="15"/>
      <c r="HX14" s="15"/>
      <c r="HY14" s="15"/>
      <c r="HZ14" s="19"/>
      <c r="IA14" s="15"/>
      <c r="IB14" s="15">
        <v>15</v>
      </c>
      <c r="IC14" s="15"/>
      <c r="ID14" s="15"/>
      <c r="IE14" s="16"/>
      <c r="IF14" s="16"/>
      <c r="IG14" s="16"/>
      <c r="IH14" s="16"/>
      <c r="II14" s="16"/>
      <c r="IJ14" s="15"/>
      <c r="IK14" s="15"/>
      <c r="IL14" s="19"/>
      <c r="IM14" s="17"/>
      <c r="IN14" s="18"/>
      <c r="IO14" s="15"/>
      <c r="IP14" s="15"/>
      <c r="IQ14" s="16"/>
      <c r="IR14" s="16"/>
      <c r="IS14" s="16"/>
      <c r="IT14" s="16"/>
      <c r="IU14" s="16"/>
      <c r="IV14" s="15"/>
      <c r="IW14" s="16"/>
      <c r="IX14" s="15"/>
      <c r="IY14" s="15"/>
      <c r="IZ14" s="19"/>
      <c r="JA14" s="15"/>
      <c r="JB14" s="15"/>
      <c r="JC14" s="15"/>
      <c r="JD14" s="15"/>
      <c r="JE14" s="15"/>
      <c r="JF14" s="15"/>
      <c r="JG14" s="15"/>
      <c r="JH14" s="15"/>
      <c r="JI14" s="15"/>
      <c r="JJ14" s="19"/>
      <c r="JK14" s="15"/>
      <c r="JL14" s="15"/>
      <c r="JM14" s="15"/>
      <c r="JN14" s="17"/>
      <c r="JO14" s="14"/>
      <c r="JP14" s="19"/>
      <c r="JQ14" s="15"/>
      <c r="JR14" s="15"/>
      <c r="JS14" s="15"/>
      <c r="JT14" s="15"/>
      <c r="JU14" s="15"/>
      <c r="JV14" s="15"/>
      <c r="JW14" s="15"/>
      <c r="JX14" s="15"/>
      <c r="JY14" s="15"/>
      <c r="JZ14" s="15"/>
      <c r="KA14" s="16"/>
      <c r="KB14" s="15"/>
      <c r="KC14" s="15"/>
      <c r="KD14" s="19"/>
      <c r="KE14" s="15"/>
      <c r="KF14" s="15"/>
      <c r="KG14" s="15"/>
      <c r="KH14" s="19"/>
      <c r="KI14" s="15"/>
      <c r="KJ14" s="15"/>
      <c r="KK14" s="15"/>
      <c r="KL14" s="15"/>
      <c r="KM14" s="17"/>
      <c r="KN14" s="18"/>
      <c r="KO14" s="15"/>
      <c r="KP14" s="15"/>
      <c r="KQ14" s="15"/>
      <c r="KR14" s="15"/>
      <c r="KS14" s="15"/>
      <c r="KT14" s="16"/>
      <c r="KU14" s="15"/>
      <c r="KV14" s="15"/>
      <c r="KW14" s="15"/>
      <c r="KX14" s="15"/>
      <c r="KY14" s="15"/>
      <c r="KZ14" s="15"/>
      <c r="LA14" s="15"/>
      <c r="LB14" s="15"/>
      <c r="LC14" s="15"/>
      <c r="LD14" s="15"/>
      <c r="LE14" s="15"/>
      <c r="LF14" s="15"/>
      <c r="LG14" s="15"/>
      <c r="LH14" s="15"/>
      <c r="LI14" s="16"/>
      <c r="LJ14" s="15"/>
      <c r="LK14" s="15"/>
      <c r="LL14" s="15"/>
      <c r="LM14" s="15"/>
      <c r="LN14" s="17"/>
    </row>
    <row r="15" spans="1:326" ht="54" customHeight="1" x14ac:dyDescent="0.3">
      <c r="A15" s="90">
        <v>12</v>
      </c>
      <c r="B15" s="5">
        <v>4</v>
      </c>
      <c r="C15" s="10" t="s">
        <v>72</v>
      </c>
      <c r="D15" s="101">
        <v>23040000</v>
      </c>
      <c r="E15" s="5" t="s">
        <v>44</v>
      </c>
      <c r="F15" s="5" t="s">
        <v>73</v>
      </c>
      <c r="G15" s="5">
        <f>COUNTA(Tabla_PensamientoCrit[NOMBRE Y APELLIDOS])</f>
        <v>7</v>
      </c>
      <c r="H15" s="5">
        <f>COUNTIF(Tabla_PensamientoCrit[% ASISTENCIA],"&gt;=0,8")</f>
        <v>6</v>
      </c>
      <c r="I15" s="5">
        <v>32</v>
      </c>
      <c r="J15" s="11" t="s">
        <v>67</v>
      </c>
      <c r="K15" s="12">
        <v>46098</v>
      </c>
      <c r="L15" s="12">
        <v>46154</v>
      </c>
      <c r="M15" s="13" t="s">
        <v>74</v>
      </c>
      <c r="N15" s="92"/>
      <c r="O15" s="15"/>
      <c r="P15" s="15"/>
      <c r="Q15" s="15"/>
      <c r="R15" s="15"/>
      <c r="S15" s="15"/>
      <c r="T15" s="15"/>
      <c r="U15" s="15"/>
      <c r="V15" s="15"/>
      <c r="W15" s="16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7"/>
      <c r="AO15" s="18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7"/>
      <c r="BM15" s="18"/>
      <c r="BN15" s="15"/>
      <c r="BO15" s="15"/>
      <c r="BP15" s="16"/>
      <c r="BQ15" s="15"/>
      <c r="BR15" s="15"/>
      <c r="BS15" s="15"/>
      <c r="BT15" s="16"/>
      <c r="BU15" s="15"/>
      <c r="BV15" s="16"/>
      <c r="BW15" s="15"/>
      <c r="BX15" s="15"/>
      <c r="BY15" s="15"/>
      <c r="BZ15" s="15">
        <v>1</v>
      </c>
      <c r="CA15" s="16"/>
      <c r="CB15" s="15">
        <v>2</v>
      </c>
      <c r="CC15" s="15"/>
      <c r="CD15" s="15"/>
      <c r="CE15" s="16"/>
      <c r="CF15" s="15">
        <v>3</v>
      </c>
      <c r="CG15" s="16"/>
      <c r="CH15" s="15">
        <v>4</v>
      </c>
      <c r="CI15" s="15"/>
      <c r="CJ15" s="15"/>
      <c r="CK15" s="15"/>
      <c r="CL15" s="17"/>
      <c r="CM15" s="16"/>
      <c r="CN15" s="16"/>
      <c r="CO15" s="16"/>
      <c r="CP15" s="15"/>
      <c r="CQ15" s="15"/>
      <c r="CR15" s="15">
        <v>5</v>
      </c>
      <c r="CS15" s="15"/>
      <c r="CT15" s="15">
        <v>6</v>
      </c>
      <c r="CU15" s="15"/>
      <c r="CV15" s="15"/>
      <c r="CW15" s="15"/>
      <c r="CX15" s="15">
        <v>7</v>
      </c>
      <c r="CY15" s="19"/>
      <c r="CZ15" s="15">
        <v>8</v>
      </c>
      <c r="DA15" s="15"/>
      <c r="DB15" s="15"/>
      <c r="DC15" s="15"/>
      <c r="DD15" s="15">
        <v>9</v>
      </c>
      <c r="DE15" s="15"/>
      <c r="DF15" s="15">
        <v>10</v>
      </c>
      <c r="DG15" s="15"/>
      <c r="DH15" s="15"/>
      <c r="DI15" s="15"/>
      <c r="DJ15" s="15">
        <v>11</v>
      </c>
      <c r="DK15" s="19"/>
      <c r="DL15" s="17">
        <v>12</v>
      </c>
      <c r="DM15" s="14"/>
      <c r="DN15" s="15"/>
      <c r="DO15" s="15"/>
      <c r="DP15" s="15">
        <v>13</v>
      </c>
      <c r="DQ15" s="15"/>
      <c r="DR15" s="15">
        <v>14</v>
      </c>
      <c r="DS15" s="15"/>
      <c r="DT15" s="15"/>
      <c r="DU15" s="15"/>
      <c r="DV15" s="15">
        <v>15</v>
      </c>
      <c r="DW15" s="16"/>
      <c r="DX15" s="15"/>
      <c r="DY15" s="19"/>
      <c r="DZ15" s="15"/>
      <c r="EA15" s="16"/>
      <c r="EB15" s="15"/>
      <c r="EC15" s="15"/>
      <c r="ED15" s="15"/>
      <c r="EE15" s="15"/>
      <c r="EF15" s="15"/>
      <c r="EG15" s="15"/>
      <c r="EH15" s="15"/>
      <c r="EI15" s="16"/>
      <c r="EJ15" s="15"/>
      <c r="EK15" s="19"/>
      <c r="EL15" s="17"/>
      <c r="EM15" s="18"/>
      <c r="EN15" s="15"/>
      <c r="EO15" s="15"/>
      <c r="EP15" s="15"/>
      <c r="EQ15" s="15"/>
      <c r="ER15" s="15"/>
      <c r="ES15" s="16"/>
      <c r="ET15" s="19"/>
      <c r="EU15" s="16"/>
      <c r="EV15" s="15"/>
      <c r="EW15" s="15"/>
      <c r="EX15" s="15"/>
      <c r="EY15" s="16"/>
      <c r="EZ15" s="15"/>
      <c r="FA15" s="15"/>
      <c r="FB15" s="19"/>
      <c r="FC15" s="16"/>
      <c r="FD15" s="15"/>
      <c r="FE15" s="15"/>
      <c r="FF15" s="15"/>
      <c r="FG15" s="19"/>
      <c r="FH15" s="15"/>
      <c r="FI15" s="15"/>
      <c r="FJ15" s="15"/>
      <c r="FK15" s="16"/>
      <c r="FL15" s="19"/>
      <c r="FM15" s="18"/>
      <c r="FN15" s="15"/>
      <c r="FO15" s="15"/>
      <c r="FP15" s="15"/>
      <c r="FQ15" s="15"/>
      <c r="FR15" s="15"/>
      <c r="FS15" s="15"/>
      <c r="FT15" s="15"/>
      <c r="FU15" s="16"/>
      <c r="FV15" s="15"/>
      <c r="FW15" s="15"/>
      <c r="FX15" s="15"/>
      <c r="FY15" s="16"/>
      <c r="FZ15" s="15"/>
      <c r="GA15" s="15"/>
      <c r="GB15" s="15"/>
      <c r="GC15" s="16"/>
      <c r="GD15" s="19"/>
      <c r="GE15" s="16"/>
      <c r="GF15" s="15"/>
      <c r="GG15" s="16"/>
      <c r="GH15" s="15"/>
      <c r="GI15" s="15"/>
      <c r="GJ15" s="15"/>
      <c r="GK15" s="15"/>
      <c r="GL15" s="15"/>
      <c r="GM15" s="17"/>
      <c r="GN15" s="18"/>
      <c r="GO15" s="15"/>
      <c r="GP15" s="15"/>
      <c r="GQ15" s="19"/>
      <c r="GR15" s="15"/>
      <c r="GS15" s="15"/>
      <c r="GT15" s="15"/>
      <c r="GU15" s="15"/>
      <c r="GV15" s="15"/>
      <c r="GW15" s="16"/>
      <c r="GX15" s="15"/>
      <c r="GY15" s="15"/>
      <c r="GZ15" s="15"/>
      <c r="HA15" s="16"/>
      <c r="HB15" s="15"/>
      <c r="HC15" s="15"/>
      <c r="HD15" s="19"/>
      <c r="HE15" s="15"/>
      <c r="HF15" s="15"/>
      <c r="HG15" s="15"/>
      <c r="HH15" s="15"/>
      <c r="HI15" s="15"/>
      <c r="HJ15" s="15"/>
      <c r="HK15" s="15"/>
      <c r="HL15" s="15"/>
      <c r="HM15" s="17"/>
      <c r="HN15" s="18"/>
      <c r="HO15" s="15"/>
      <c r="HP15" s="19"/>
      <c r="HQ15" s="15"/>
      <c r="HR15" s="15"/>
      <c r="HS15" s="15"/>
      <c r="HT15" s="15"/>
      <c r="HU15" s="15"/>
      <c r="HV15" s="15"/>
      <c r="HW15" s="15"/>
      <c r="HX15" s="15"/>
      <c r="HY15" s="15"/>
      <c r="HZ15" s="19"/>
      <c r="IA15" s="15"/>
      <c r="IB15" s="15"/>
      <c r="IC15" s="15"/>
      <c r="ID15" s="15"/>
      <c r="IE15" s="16"/>
      <c r="IF15" s="16"/>
      <c r="IG15" s="16"/>
      <c r="IH15" s="16"/>
      <c r="II15" s="16"/>
      <c r="IJ15" s="15"/>
      <c r="IK15" s="15"/>
      <c r="IL15" s="19"/>
      <c r="IM15" s="17"/>
      <c r="IN15" s="18"/>
      <c r="IO15" s="15"/>
      <c r="IP15" s="15"/>
      <c r="IQ15" s="16"/>
      <c r="IR15" s="16"/>
      <c r="IS15" s="16"/>
      <c r="IT15" s="16"/>
      <c r="IU15" s="16"/>
      <c r="IV15" s="15"/>
      <c r="IW15" s="16"/>
      <c r="IX15" s="15"/>
      <c r="IY15" s="15"/>
      <c r="IZ15" s="19"/>
      <c r="JA15" s="15"/>
      <c r="JB15" s="15"/>
      <c r="JC15" s="15"/>
      <c r="JD15" s="15"/>
      <c r="JE15" s="15"/>
      <c r="JF15" s="15"/>
      <c r="JG15" s="15"/>
      <c r="JH15" s="15"/>
      <c r="JI15" s="15"/>
      <c r="JJ15" s="19"/>
      <c r="JK15" s="15"/>
      <c r="JL15" s="15"/>
      <c r="JM15" s="15"/>
      <c r="JN15" s="17"/>
      <c r="JO15" s="14"/>
      <c r="JP15" s="19"/>
      <c r="JQ15" s="15"/>
      <c r="JR15" s="15"/>
      <c r="JS15" s="15"/>
      <c r="JT15" s="15"/>
      <c r="JU15" s="15"/>
      <c r="JV15" s="15"/>
      <c r="JW15" s="15"/>
      <c r="JX15" s="15"/>
      <c r="JY15" s="15"/>
      <c r="JZ15" s="15"/>
      <c r="KA15" s="16"/>
      <c r="KB15" s="15"/>
      <c r="KC15" s="15"/>
      <c r="KD15" s="19"/>
      <c r="KE15" s="15"/>
      <c r="KF15" s="15"/>
      <c r="KG15" s="15"/>
      <c r="KH15" s="19"/>
      <c r="KI15" s="15"/>
      <c r="KJ15" s="15"/>
      <c r="KK15" s="15"/>
      <c r="KL15" s="15"/>
      <c r="KM15" s="17"/>
      <c r="KN15" s="18"/>
      <c r="KO15" s="15"/>
      <c r="KP15" s="15"/>
      <c r="KQ15" s="15"/>
      <c r="KR15" s="15"/>
      <c r="KS15" s="15"/>
      <c r="KT15" s="16"/>
      <c r="KU15" s="15"/>
      <c r="KV15" s="15"/>
      <c r="KW15" s="15"/>
      <c r="KX15" s="15"/>
      <c r="KY15" s="15"/>
      <c r="KZ15" s="15"/>
      <c r="LA15" s="15"/>
      <c r="LB15" s="15"/>
      <c r="LC15" s="15"/>
      <c r="LD15" s="15"/>
      <c r="LE15" s="15"/>
      <c r="LF15" s="15"/>
      <c r="LG15" s="15"/>
      <c r="LH15" s="15"/>
      <c r="LI15" s="16"/>
      <c r="LJ15" s="15"/>
      <c r="LK15" s="15"/>
      <c r="LL15" s="15"/>
      <c r="LM15" s="15"/>
      <c r="LN15" s="17"/>
    </row>
    <row r="16" spans="1:326" ht="54" customHeight="1" x14ac:dyDescent="0.3">
      <c r="A16" s="90">
        <v>13</v>
      </c>
      <c r="B16" s="5" t="s">
        <v>75</v>
      </c>
      <c r="C16" s="10" t="s">
        <v>76</v>
      </c>
      <c r="D16" s="101">
        <v>35000000</v>
      </c>
      <c r="E16" s="5" t="s">
        <v>77</v>
      </c>
      <c r="F16" s="5" t="s">
        <v>75</v>
      </c>
      <c r="G16" s="5"/>
      <c r="H16" s="5"/>
      <c r="I16" s="5">
        <v>8</v>
      </c>
      <c r="J16" s="5" t="s">
        <v>75</v>
      </c>
      <c r="K16" s="12">
        <v>46174</v>
      </c>
      <c r="L16" s="12">
        <v>46353</v>
      </c>
      <c r="M16" s="5" t="s">
        <v>75</v>
      </c>
      <c r="N16" s="92"/>
      <c r="O16" s="15"/>
      <c r="P16" s="15"/>
      <c r="Q16" s="15"/>
      <c r="R16" s="15"/>
      <c r="S16" s="15"/>
      <c r="T16" s="15"/>
      <c r="U16" s="15"/>
      <c r="V16" s="15"/>
      <c r="W16" s="16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7"/>
      <c r="AO16" s="18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7"/>
      <c r="BM16" s="18"/>
      <c r="BN16" s="15"/>
      <c r="BO16" s="15"/>
      <c r="BP16" s="16"/>
      <c r="BQ16" s="15"/>
      <c r="BR16" s="15"/>
      <c r="BS16" s="15"/>
      <c r="BT16" s="16"/>
      <c r="BU16" s="15"/>
      <c r="BV16" s="16"/>
      <c r="BW16" s="15"/>
      <c r="BX16" s="15"/>
      <c r="BY16" s="15"/>
      <c r="BZ16" s="15"/>
      <c r="CA16" s="16"/>
      <c r="CB16" s="15"/>
      <c r="CC16" s="15"/>
      <c r="CD16" s="15"/>
      <c r="CE16" s="16"/>
      <c r="CF16" s="15"/>
      <c r="CG16" s="16"/>
      <c r="CH16" s="15"/>
      <c r="CI16" s="15"/>
      <c r="CJ16" s="15"/>
      <c r="CK16" s="15"/>
      <c r="CL16" s="17"/>
      <c r="CM16" s="16"/>
      <c r="CN16" s="16"/>
      <c r="CO16" s="16"/>
      <c r="CP16" s="15"/>
      <c r="CQ16" s="15"/>
      <c r="CR16" s="15"/>
      <c r="CS16" s="15"/>
      <c r="CT16" s="15"/>
      <c r="CU16" s="15"/>
      <c r="CV16" s="15"/>
      <c r="CW16" s="15"/>
      <c r="CX16" s="15"/>
      <c r="CY16" s="19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9"/>
      <c r="DL16" s="17"/>
      <c r="DM16" s="14"/>
      <c r="DN16" s="15"/>
      <c r="DO16" s="15"/>
      <c r="DP16" s="15"/>
      <c r="DQ16" s="15"/>
      <c r="DR16" s="15"/>
      <c r="DS16" s="15"/>
      <c r="DT16" s="15"/>
      <c r="DU16" s="15"/>
      <c r="DV16" s="15"/>
      <c r="DW16" s="16"/>
      <c r="DX16" s="15"/>
      <c r="DY16" s="19"/>
      <c r="DZ16" s="15"/>
      <c r="EA16" s="16"/>
      <c r="EB16" s="15"/>
      <c r="EC16" s="15"/>
      <c r="ED16" s="15"/>
      <c r="EE16" s="15"/>
      <c r="EF16" s="15"/>
      <c r="EG16" s="15"/>
      <c r="EH16" s="15"/>
      <c r="EI16" s="16"/>
      <c r="EJ16" s="15"/>
      <c r="EK16" s="19"/>
      <c r="EL16" s="17"/>
      <c r="EM16" s="18"/>
      <c r="EN16" s="15"/>
      <c r="EO16" s="15"/>
      <c r="EP16" s="15"/>
      <c r="EQ16" s="15"/>
      <c r="ER16" s="15"/>
      <c r="ES16" s="16"/>
      <c r="ET16" s="19"/>
      <c r="EU16" s="16"/>
      <c r="EV16" s="15"/>
      <c r="EW16" s="15"/>
      <c r="EX16" s="15"/>
      <c r="EY16" s="16"/>
      <c r="EZ16" s="15"/>
      <c r="FA16" s="15"/>
      <c r="FB16" s="19"/>
      <c r="FC16" s="16"/>
      <c r="FD16" s="15"/>
      <c r="FE16" s="15"/>
      <c r="FF16" s="15"/>
      <c r="FG16" s="19"/>
      <c r="FH16" s="15"/>
      <c r="FI16" s="15"/>
      <c r="FJ16" s="15"/>
      <c r="FK16" s="16"/>
      <c r="FL16" s="19"/>
      <c r="FM16" s="18"/>
      <c r="FN16" s="15"/>
      <c r="FO16" s="15"/>
      <c r="FP16" s="15"/>
      <c r="FQ16" s="15"/>
      <c r="FR16" s="15"/>
      <c r="FS16" s="15"/>
      <c r="FT16" s="15"/>
      <c r="FU16" s="16"/>
      <c r="FV16" s="15"/>
      <c r="FW16" s="15"/>
      <c r="FX16" s="15"/>
      <c r="FY16" s="16"/>
      <c r="FZ16" s="15"/>
      <c r="GA16" s="15"/>
      <c r="GB16" s="15"/>
      <c r="GC16" s="16"/>
      <c r="GD16" s="19"/>
      <c r="GE16" s="16"/>
      <c r="GF16" s="15"/>
      <c r="GG16" s="16"/>
      <c r="GH16" s="15"/>
      <c r="GI16" s="15"/>
      <c r="GJ16" s="15"/>
      <c r="GK16" s="15"/>
      <c r="GL16" s="15"/>
      <c r="GM16" s="17"/>
      <c r="GN16" s="18"/>
      <c r="GO16" s="15"/>
      <c r="GP16" s="15"/>
      <c r="GQ16" s="19"/>
      <c r="GR16" s="15"/>
      <c r="GS16" s="15"/>
      <c r="GT16" s="15"/>
      <c r="GU16" s="15"/>
      <c r="GV16" s="15"/>
      <c r="GW16" s="16"/>
      <c r="GX16" s="15"/>
      <c r="GY16" s="15"/>
      <c r="GZ16" s="15"/>
      <c r="HA16" s="16"/>
      <c r="HB16" s="15"/>
      <c r="HC16" s="15"/>
      <c r="HD16" s="19"/>
      <c r="HE16" s="15"/>
      <c r="HF16" s="15"/>
      <c r="HG16" s="15"/>
      <c r="HH16" s="15"/>
      <c r="HI16" s="15"/>
      <c r="HJ16" s="15"/>
      <c r="HK16" s="15"/>
      <c r="HL16" s="15"/>
      <c r="HM16" s="17"/>
      <c r="HN16" s="18"/>
      <c r="HO16" s="15"/>
      <c r="HP16" s="19"/>
      <c r="HQ16" s="15"/>
      <c r="HR16" s="15"/>
      <c r="HS16" s="15"/>
      <c r="HT16" s="15"/>
      <c r="HU16" s="15"/>
      <c r="HV16" s="15"/>
      <c r="HW16" s="15"/>
      <c r="HX16" s="15"/>
      <c r="HY16" s="15"/>
      <c r="HZ16" s="19"/>
      <c r="IA16" s="15"/>
      <c r="IB16" s="15"/>
      <c r="IC16" s="15"/>
      <c r="ID16" s="15"/>
      <c r="IE16" s="16"/>
      <c r="IF16" s="16"/>
      <c r="IG16" s="16"/>
      <c r="IH16" s="16"/>
      <c r="II16" s="16"/>
      <c r="IJ16" s="15"/>
      <c r="IK16" s="15"/>
      <c r="IL16" s="19"/>
      <c r="IM16" s="17"/>
      <c r="IN16" s="18"/>
      <c r="IO16" s="15"/>
      <c r="IP16" s="15"/>
      <c r="IQ16" s="16"/>
      <c r="IR16" s="16"/>
      <c r="IS16" s="16"/>
      <c r="IT16" s="16"/>
      <c r="IU16" s="16"/>
      <c r="IV16" s="15"/>
      <c r="IW16" s="16"/>
      <c r="IX16" s="15"/>
      <c r="IY16" s="15"/>
      <c r="IZ16" s="19"/>
      <c r="JA16" s="15"/>
      <c r="JB16" s="15"/>
      <c r="JC16" s="15"/>
      <c r="JD16" s="15"/>
      <c r="JE16" s="15"/>
      <c r="JF16" s="15"/>
      <c r="JG16" s="15"/>
      <c r="JH16" s="15"/>
      <c r="JI16" s="15"/>
      <c r="JJ16" s="19"/>
      <c r="JK16" s="15"/>
      <c r="JL16" s="15"/>
      <c r="JM16" s="15"/>
      <c r="JN16" s="17"/>
      <c r="JO16" s="14"/>
      <c r="JP16" s="19"/>
      <c r="JQ16" s="15"/>
      <c r="JR16" s="15"/>
      <c r="JS16" s="15"/>
      <c r="JT16" s="15"/>
      <c r="JU16" s="15"/>
      <c r="JV16" s="15"/>
      <c r="JW16" s="15"/>
      <c r="JX16" s="15"/>
      <c r="JY16" s="15"/>
      <c r="JZ16" s="15"/>
      <c r="KA16" s="16"/>
      <c r="KB16" s="15"/>
      <c r="KC16" s="15"/>
      <c r="KD16" s="19"/>
      <c r="KE16" s="15"/>
      <c r="KF16" s="15"/>
      <c r="KG16" s="15"/>
      <c r="KH16" s="19"/>
      <c r="KI16" s="15"/>
      <c r="KJ16" s="15"/>
      <c r="KK16" s="15"/>
      <c r="KL16" s="15"/>
      <c r="KM16" s="17"/>
      <c r="KN16" s="18"/>
      <c r="KO16" s="15"/>
      <c r="KP16" s="15"/>
      <c r="KQ16" s="15"/>
      <c r="KR16" s="15"/>
      <c r="KS16" s="15"/>
      <c r="KT16" s="16"/>
      <c r="KU16" s="15"/>
      <c r="KV16" s="15"/>
      <c r="KW16" s="15"/>
      <c r="KX16" s="15"/>
      <c r="KY16" s="15"/>
      <c r="KZ16" s="15"/>
      <c r="LA16" s="15"/>
      <c r="LB16" s="15"/>
      <c r="LC16" s="15"/>
      <c r="LD16" s="15"/>
      <c r="LE16" s="15"/>
      <c r="LF16" s="15"/>
      <c r="LG16" s="15"/>
      <c r="LH16" s="15"/>
      <c r="LI16" s="16"/>
      <c r="LJ16" s="15"/>
      <c r="LK16" s="15"/>
      <c r="LL16" s="15"/>
      <c r="LM16" s="15"/>
      <c r="LN16" s="17"/>
    </row>
    <row r="17" spans="1:326" ht="54" customHeight="1" x14ac:dyDescent="0.3">
      <c r="A17" s="93">
        <v>14</v>
      </c>
      <c r="B17" s="94" t="s">
        <v>75</v>
      </c>
      <c r="C17" s="95" t="s">
        <v>78</v>
      </c>
      <c r="D17" s="102">
        <v>35000000</v>
      </c>
      <c r="E17" s="94" t="s">
        <v>77</v>
      </c>
      <c r="F17" s="94" t="s">
        <v>75</v>
      </c>
      <c r="G17" s="94"/>
      <c r="H17" s="94"/>
      <c r="I17" s="94" t="s">
        <v>75</v>
      </c>
      <c r="J17" s="94" t="s">
        <v>75</v>
      </c>
      <c r="K17" s="94" t="s">
        <v>75</v>
      </c>
      <c r="L17" s="94" t="s">
        <v>75</v>
      </c>
      <c r="M17" s="94" t="s">
        <v>75</v>
      </c>
      <c r="N17" s="92"/>
      <c r="O17" s="15"/>
      <c r="P17" s="15"/>
      <c r="Q17" s="15"/>
      <c r="R17" s="15"/>
      <c r="S17" s="15"/>
      <c r="T17" s="15"/>
      <c r="U17" s="15"/>
      <c r="V17" s="15"/>
      <c r="W17" s="16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7"/>
      <c r="AO17" s="18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7"/>
      <c r="BM17" s="18"/>
      <c r="BN17" s="15"/>
      <c r="BO17" s="15"/>
      <c r="BP17" s="16"/>
      <c r="BQ17" s="15"/>
      <c r="BR17" s="15"/>
      <c r="BS17" s="15"/>
      <c r="BT17" s="16"/>
      <c r="BU17" s="15"/>
      <c r="BV17" s="16"/>
      <c r="BW17" s="15"/>
      <c r="BX17" s="15"/>
      <c r="BY17" s="15"/>
      <c r="BZ17" s="15"/>
      <c r="CA17" s="16"/>
      <c r="CB17" s="15"/>
      <c r="CC17" s="15"/>
      <c r="CD17" s="15"/>
      <c r="CE17" s="16"/>
      <c r="CF17" s="15"/>
      <c r="CG17" s="16"/>
      <c r="CH17" s="15"/>
      <c r="CI17" s="15"/>
      <c r="CJ17" s="15"/>
      <c r="CK17" s="15"/>
      <c r="CL17" s="17"/>
      <c r="CM17" s="16"/>
      <c r="CN17" s="16"/>
      <c r="CO17" s="16"/>
      <c r="CP17" s="15"/>
      <c r="CQ17" s="15"/>
      <c r="CR17" s="15"/>
      <c r="CS17" s="15"/>
      <c r="CT17" s="15"/>
      <c r="CU17" s="15"/>
      <c r="CV17" s="15"/>
      <c r="CW17" s="15"/>
      <c r="CX17" s="15"/>
      <c r="CY17" s="19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9"/>
      <c r="DL17" s="17"/>
      <c r="DM17" s="14"/>
      <c r="DN17" s="15"/>
      <c r="DO17" s="15"/>
      <c r="DP17" s="15"/>
      <c r="DQ17" s="15"/>
      <c r="DR17" s="15"/>
      <c r="DS17" s="15"/>
      <c r="DT17" s="15"/>
      <c r="DU17" s="15"/>
      <c r="DV17" s="15"/>
      <c r="DW17" s="16"/>
      <c r="DX17" s="15"/>
      <c r="DY17" s="19"/>
      <c r="DZ17" s="15"/>
      <c r="EA17" s="16"/>
      <c r="EB17" s="15"/>
      <c r="EC17" s="15"/>
      <c r="ED17" s="15"/>
      <c r="EE17" s="15"/>
      <c r="EF17" s="15"/>
      <c r="EG17" s="15"/>
      <c r="EH17" s="15"/>
      <c r="EI17" s="16"/>
      <c r="EJ17" s="15"/>
      <c r="EK17" s="19"/>
      <c r="EL17" s="17"/>
      <c r="EM17" s="18"/>
      <c r="EN17" s="15"/>
      <c r="EO17" s="15"/>
      <c r="EP17" s="15"/>
      <c r="EQ17" s="15"/>
      <c r="ER17" s="15"/>
      <c r="ES17" s="16"/>
      <c r="ET17" s="19"/>
      <c r="EU17" s="16"/>
      <c r="EV17" s="15"/>
      <c r="EW17" s="15"/>
      <c r="EX17" s="15"/>
      <c r="EY17" s="16"/>
      <c r="EZ17" s="15"/>
      <c r="FA17" s="15"/>
      <c r="FB17" s="19"/>
      <c r="FC17" s="16"/>
      <c r="FD17" s="15"/>
      <c r="FE17" s="15"/>
      <c r="FF17" s="15"/>
      <c r="FG17" s="19"/>
      <c r="FH17" s="15"/>
      <c r="FI17" s="15"/>
      <c r="FJ17" s="15"/>
      <c r="FK17" s="16"/>
      <c r="FL17" s="19"/>
      <c r="FM17" s="18"/>
      <c r="FN17" s="15"/>
      <c r="FO17" s="15"/>
      <c r="FP17" s="15"/>
      <c r="FQ17" s="15"/>
      <c r="FR17" s="15"/>
      <c r="FS17" s="15"/>
      <c r="FT17" s="15"/>
      <c r="FU17" s="16"/>
      <c r="FV17" s="15"/>
      <c r="FW17" s="15"/>
      <c r="FX17" s="15"/>
      <c r="FY17" s="16"/>
      <c r="FZ17" s="15"/>
      <c r="GA17" s="15"/>
      <c r="GB17" s="15"/>
      <c r="GC17" s="16"/>
      <c r="GD17" s="19"/>
      <c r="GE17" s="16"/>
      <c r="GF17" s="15"/>
      <c r="GG17" s="16"/>
      <c r="GH17" s="15"/>
      <c r="GI17" s="15"/>
      <c r="GJ17" s="15"/>
      <c r="GK17" s="15"/>
      <c r="GL17" s="15"/>
      <c r="GM17" s="17"/>
      <c r="GN17" s="18"/>
      <c r="GO17" s="15"/>
      <c r="GP17" s="15"/>
      <c r="GQ17" s="19"/>
      <c r="GR17" s="15"/>
      <c r="GS17" s="15"/>
      <c r="GT17" s="15"/>
      <c r="GU17" s="15"/>
      <c r="GV17" s="15"/>
      <c r="GW17" s="16"/>
      <c r="GX17" s="15"/>
      <c r="GY17" s="15"/>
      <c r="GZ17" s="15"/>
      <c r="HA17" s="16"/>
      <c r="HB17" s="15"/>
      <c r="HC17" s="15"/>
      <c r="HD17" s="19"/>
      <c r="HE17" s="15"/>
      <c r="HF17" s="15"/>
      <c r="HG17" s="15"/>
      <c r="HH17" s="15"/>
      <c r="HI17" s="15"/>
      <c r="HJ17" s="15"/>
      <c r="HK17" s="15"/>
      <c r="HL17" s="15"/>
      <c r="HM17" s="17"/>
      <c r="HN17" s="18"/>
      <c r="HO17" s="15"/>
      <c r="HP17" s="19"/>
      <c r="HQ17" s="15"/>
      <c r="HR17" s="15"/>
      <c r="HS17" s="15"/>
      <c r="HT17" s="15"/>
      <c r="HU17" s="15"/>
      <c r="HV17" s="15"/>
      <c r="HW17" s="15"/>
      <c r="HX17" s="15"/>
      <c r="HY17" s="15"/>
      <c r="HZ17" s="19"/>
      <c r="IA17" s="15"/>
      <c r="IB17" s="15"/>
      <c r="IC17" s="15"/>
      <c r="ID17" s="15"/>
      <c r="IE17" s="16"/>
      <c r="IF17" s="16"/>
      <c r="IG17" s="16"/>
      <c r="IH17" s="16"/>
      <c r="II17" s="16"/>
      <c r="IJ17" s="15"/>
      <c r="IK17" s="15"/>
      <c r="IL17" s="19"/>
      <c r="IM17" s="17"/>
      <c r="IN17" s="18"/>
      <c r="IO17" s="15"/>
      <c r="IP17" s="15"/>
      <c r="IQ17" s="16"/>
      <c r="IR17" s="16"/>
      <c r="IS17" s="16"/>
      <c r="IT17" s="16"/>
      <c r="IU17" s="16"/>
      <c r="IV17" s="15"/>
      <c r="IW17" s="16"/>
      <c r="IX17" s="15"/>
      <c r="IY17" s="15"/>
      <c r="IZ17" s="19"/>
      <c r="JA17" s="15"/>
      <c r="JB17" s="15"/>
      <c r="JC17" s="15"/>
      <c r="JD17" s="15"/>
      <c r="JE17" s="15"/>
      <c r="JF17" s="15"/>
      <c r="JG17" s="15"/>
      <c r="JH17" s="15"/>
      <c r="JI17" s="15"/>
      <c r="JJ17" s="19"/>
      <c r="JK17" s="15"/>
      <c r="JL17" s="15"/>
      <c r="JM17" s="15"/>
      <c r="JN17" s="17"/>
      <c r="JO17" s="14"/>
      <c r="JP17" s="19"/>
      <c r="JQ17" s="15"/>
      <c r="JR17" s="15"/>
      <c r="JS17" s="15"/>
      <c r="JT17" s="15"/>
      <c r="JU17" s="15"/>
      <c r="JV17" s="15"/>
      <c r="JW17" s="15"/>
      <c r="JX17" s="15"/>
      <c r="JY17" s="15"/>
      <c r="JZ17" s="15"/>
      <c r="KA17" s="16"/>
      <c r="KB17" s="15"/>
      <c r="KC17" s="15"/>
      <c r="KD17" s="19"/>
      <c r="KE17" s="15"/>
      <c r="KF17" s="15"/>
      <c r="KG17" s="15"/>
      <c r="KH17" s="19"/>
      <c r="KI17" s="15"/>
      <c r="KJ17" s="15"/>
      <c r="KK17" s="15"/>
      <c r="KL17" s="15"/>
      <c r="KM17" s="17"/>
      <c r="KN17" s="18"/>
      <c r="KO17" s="15"/>
      <c r="KP17" s="15"/>
      <c r="KQ17" s="15"/>
      <c r="KR17" s="15"/>
      <c r="KS17" s="15"/>
      <c r="KT17" s="16"/>
      <c r="KU17" s="15"/>
      <c r="KV17" s="15"/>
      <c r="KW17" s="15"/>
      <c r="KX17" s="15"/>
      <c r="KY17" s="15"/>
      <c r="KZ17" s="15"/>
      <c r="LA17" s="15"/>
      <c r="LB17" s="15"/>
      <c r="LC17" s="15"/>
      <c r="LD17" s="15"/>
      <c r="LE17" s="15"/>
      <c r="LF17" s="15"/>
      <c r="LG17" s="15"/>
      <c r="LH17" s="15"/>
      <c r="LI17" s="16"/>
      <c r="LJ17" s="15"/>
      <c r="LK17" s="15"/>
      <c r="LL17" s="15"/>
      <c r="LM17" s="15"/>
      <c r="LN17" s="17"/>
    </row>
    <row r="18" spans="1:326" ht="15" customHeight="1" x14ac:dyDescent="0.3">
      <c r="A18" s="90"/>
      <c r="B18" s="5"/>
      <c r="C18" s="10" t="s">
        <v>79</v>
      </c>
      <c r="D18" s="101">
        <v>30000000</v>
      </c>
      <c r="E18" s="5"/>
      <c r="F18" s="5"/>
      <c r="G18" s="5"/>
      <c r="H18" s="5"/>
      <c r="I18" s="5"/>
      <c r="J18" s="11"/>
      <c r="K18" s="12"/>
      <c r="L18" s="12"/>
      <c r="M18" s="5"/>
    </row>
  </sheetData>
  <mergeCells count="13">
    <mergeCell ref="A1:M2"/>
    <mergeCell ref="KN1:LN1"/>
    <mergeCell ref="N1:AN1"/>
    <mergeCell ref="AO1:BL1"/>
    <mergeCell ref="BM1:CL1"/>
    <mergeCell ref="CM1:DL1"/>
    <mergeCell ref="DM1:EL1"/>
    <mergeCell ref="EM1:FL1"/>
    <mergeCell ref="FM1:GM1"/>
    <mergeCell ref="GN1:HM1"/>
    <mergeCell ref="HN1:IM1"/>
    <mergeCell ref="IN1:JN1"/>
    <mergeCell ref="JO1:KM1"/>
  </mergeCells>
  <printOptions horizontalCentered="1"/>
  <pageMargins left="0.70866141732283472" right="0.70866141732283472" top="0.74803149606299213" bottom="0.74803149606299213" header="0" footer="0"/>
  <pageSetup scale="77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C6D54-BF00-4970-8962-830920328C61}">
  <sheetPr>
    <outlinePr summaryBelow="0" summaryRight="0"/>
  </sheetPr>
  <dimension ref="A1:BD19"/>
  <sheetViews>
    <sheetView topLeftCell="A6" workbookViewId="0">
      <selection activeCell="E15" sqref="E15"/>
    </sheetView>
  </sheetViews>
  <sheetFormatPr baseColWidth="10" defaultColWidth="12.5546875" defaultRowHeight="15.75" customHeight="1" x14ac:dyDescent="0.3"/>
  <cols>
    <col min="1" max="1" width="12.5546875" style="44"/>
    <col min="2" max="2" width="38.109375" style="44" customWidth="1"/>
    <col min="3" max="3" width="15.88671875" style="44" customWidth="1"/>
    <col min="4" max="4" width="15.33203125" style="44" customWidth="1"/>
    <col min="5" max="6" width="25.5546875" style="44" customWidth="1"/>
    <col min="7" max="48" width="12.5546875" style="44"/>
    <col min="49" max="49" width="15.33203125" style="44" customWidth="1"/>
    <col min="50" max="50" width="11.33203125" style="44" customWidth="1"/>
    <col min="51" max="51" width="13.88671875" style="44" customWidth="1"/>
    <col min="52" max="52" width="14.33203125" style="44" customWidth="1"/>
    <col min="53" max="16384" width="12.5546875" style="44"/>
  </cols>
  <sheetData>
    <row r="1" spans="1:56" ht="14.4" x14ac:dyDescent="0.3">
      <c r="A1" s="156" t="s">
        <v>80</v>
      </c>
      <c r="B1" s="157"/>
      <c r="C1" s="157"/>
      <c r="D1" s="157"/>
      <c r="E1" s="157"/>
      <c r="F1" s="157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1"/>
      <c r="AP1" s="161"/>
      <c r="AQ1" s="161"/>
      <c r="AR1" s="161"/>
      <c r="AS1" s="161"/>
      <c r="AT1" s="161"/>
      <c r="AU1" s="161"/>
      <c r="AV1" s="161"/>
      <c r="AW1" s="161"/>
      <c r="AX1" s="162"/>
      <c r="AY1" s="156" t="s">
        <v>81</v>
      </c>
      <c r="AZ1" s="157"/>
      <c r="BA1" s="157"/>
      <c r="BB1" s="157"/>
      <c r="BC1" s="157"/>
      <c r="BD1" s="167"/>
    </row>
    <row r="2" spans="1:56" ht="14.4" x14ac:dyDescent="0.3">
      <c r="A2" s="158"/>
      <c r="B2" s="159"/>
      <c r="C2" s="159"/>
      <c r="D2" s="159"/>
      <c r="E2" s="159"/>
      <c r="F2" s="159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3"/>
      <c r="AX2" s="164"/>
      <c r="AY2" s="160"/>
      <c r="AZ2" s="148"/>
      <c r="BA2" s="148"/>
      <c r="BB2" s="148"/>
      <c r="BC2" s="148"/>
      <c r="BD2" s="168"/>
    </row>
    <row r="3" spans="1:56" ht="14.4" x14ac:dyDescent="0.3">
      <c r="A3" s="158"/>
      <c r="B3" s="159"/>
      <c r="C3" s="159"/>
      <c r="D3" s="159"/>
      <c r="E3" s="159"/>
      <c r="F3" s="159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4"/>
      <c r="AY3" s="156" t="s">
        <v>82</v>
      </c>
      <c r="AZ3" s="157"/>
      <c r="BA3" s="157"/>
      <c r="BB3" s="157"/>
      <c r="BC3" s="157"/>
      <c r="BD3" s="167"/>
    </row>
    <row r="4" spans="1:56" ht="14.4" x14ac:dyDescent="0.3">
      <c r="A4" s="160"/>
      <c r="B4" s="148"/>
      <c r="C4" s="148"/>
      <c r="D4" s="148"/>
      <c r="E4" s="148"/>
      <c r="F4" s="148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6"/>
      <c r="AY4" s="160"/>
      <c r="AZ4" s="148"/>
      <c r="BA4" s="148"/>
      <c r="BB4" s="148"/>
      <c r="BC4" s="148"/>
      <c r="BD4" s="168"/>
    </row>
    <row r="5" spans="1:56" ht="22.5" customHeight="1" x14ac:dyDescent="0.3">
      <c r="A5" s="155" t="s">
        <v>83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4"/>
    </row>
    <row r="6" spans="1:56" ht="22.5" customHeight="1" x14ac:dyDescent="0.3">
      <c r="A6" s="155" t="s">
        <v>84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4"/>
    </row>
    <row r="7" spans="1:56" ht="14.4" x14ac:dyDescent="0.3">
      <c r="A7" s="145" t="s">
        <v>85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4"/>
    </row>
    <row r="8" spans="1:56" ht="33.75" customHeight="1" x14ac:dyDescent="0.3">
      <c r="A8" s="150" t="s">
        <v>86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143"/>
      <c r="AY8" s="143"/>
      <c r="AZ8" s="143"/>
      <c r="BA8" s="143"/>
      <c r="BB8" s="143"/>
      <c r="BC8" s="143"/>
      <c r="BD8" s="144"/>
    </row>
    <row r="9" spans="1:56" ht="33.75" customHeight="1" x14ac:dyDescent="0.3">
      <c r="A9" s="145" t="s">
        <v>87</v>
      </c>
      <c r="B9" s="143"/>
      <c r="C9" s="143"/>
      <c r="D9" s="144"/>
      <c r="E9" s="150" t="str">
        <f>'Formato Cronograma'!F4</f>
        <v>Cesar Augusto Prieto Cárdenas</v>
      </c>
      <c r="F9" s="151"/>
      <c r="G9" s="145" t="s">
        <v>88</v>
      </c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4"/>
      <c r="AA9" s="145" t="s">
        <v>89</v>
      </c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4"/>
      <c r="AW9" s="145" t="s">
        <v>90</v>
      </c>
      <c r="AX9" s="143"/>
      <c r="AY9" s="143"/>
      <c r="AZ9" s="144"/>
      <c r="BA9" s="152" t="s">
        <v>91</v>
      </c>
      <c r="BB9" s="153"/>
      <c r="BC9" s="153"/>
      <c r="BD9" s="154"/>
    </row>
    <row r="10" spans="1:56" ht="33.75" customHeight="1" x14ac:dyDescent="0.3">
      <c r="A10" s="145" t="s">
        <v>92</v>
      </c>
      <c r="B10" s="144"/>
      <c r="C10" s="46">
        <f>'Formato Cronograma'!K4</f>
        <v>46098</v>
      </c>
      <c r="D10" s="145" t="s">
        <v>93</v>
      </c>
      <c r="E10" s="149"/>
      <c r="F10" s="56">
        <f>'Formato Cronograma'!L4</f>
        <v>46247</v>
      </c>
      <c r="G10" s="146">
        <v>16</v>
      </c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4"/>
      <c r="AA10" s="147">
        <v>26</v>
      </c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4"/>
      <c r="AW10" s="145" t="s">
        <v>94</v>
      </c>
      <c r="AX10" s="144"/>
      <c r="AY10" s="147">
        <v>100</v>
      </c>
      <c r="AZ10" s="144"/>
      <c r="BA10" s="45" t="s">
        <v>95</v>
      </c>
      <c r="BB10" s="147"/>
      <c r="BC10" s="143"/>
      <c r="BD10" s="144"/>
    </row>
    <row r="11" spans="1:56" ht="14.4" x14ac:dyDescent="0.3">
      <c r="A11" s="145" t="s">
        <v>96</v>
      </c>
      <c r="B11" s="143"/>
      <c r="C11" s="143"/>
      <c r="D11" s="143"/>
      <c r="E11" s="143"/>
      <c r="F11" s="148"/>
      <c r="G11" s="145" t="s">
        <v>97</v>
      </c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5" t="s">
        <v>98</v>
      </c>
      <c r="AX11" s="143"/>
      <c r="AY11" s="143"/>
      <c r="AZ11" s="144"/>
      <c r="BA11" s="145" t="s">
        <v>99</v>
      </c>
      <c r="BB11" s="143"/>
      <c r="BC11" s="143"/>
      <c r="BD11" s="144"/>
    </row>
    <row r="12" spans="1:56" ht="41.4" x14ac:dyDescent="0.3">
      <c r="A12" s="47" t="s">
        <v>100</v>
      </c>
      <c r="B12" s="47" t="s">
        <v>101</v>
      </c>
      <c r="C12" s="47" t="s">
        <v>102</v>
      </c>
      <c r="D12" s="47" t="s">
        <v>103</v>
      </c>
      <c r="E12" s="47" t="s">
        <v>104</v>
      </c>
      <c r="F12" s="47" t="s">
        <v>105</v>
      </c>
      <c r="G12" s="47">
        <v>1</v>
      </c>
      <c r="H12" s="47">
        <v>2</v>
      </c>
      <c r="I12" s="47">
        <v>3</v>
      </c>
      <c r="J12" s="47">
        <v>4</v>
      </c>
      <c r="K12" s="47">
        <v>5</v>
      </c>
      <c r="L12" s="47">
        <v>6</v>
      </c>
      <c r="M12" s="47">
        <v>7</v>
      </c>
      <c r="N12" s="47">
        <v>8</v>
      </c>
      <c r="O12" s="47">
        <v>9</v>
      </c>
      <c r="P12" s="47">
        <v>10</v>
      </c>
      <c r="Q12" s="47">
        <v>11</v>
      </c>
      <c r="R12" s="47">
        <v>12</v>
      </c>
      <c r="S12" s="47">
        <v>13</v>
      </c>
      <c r="T12" s="47">
        <v>14</v>
      </c>
      <c r="U12" s="47">
        <v>15</v>
      </c>
      <c r="V12" s="47">
        <v>16</v>
      </c>
      <c r="W12" s="47">
        <v>17</v>
      </c>
      <c r="X12" s="47">
        <v>18</v>
      </c>
      <c r="Y12" s="47">
        <v>19</v>
      </c>
      <c r="Z12" s="47">
        <v>20</v>
      </c>
      <c r="AA12" s="47">
        <v>21</v>
      </c>
      <c r="AB12" s="47">
        <v>22</v>
      </c>
      <c r="AC12" s="47">
        <v>23</v>
      </c>
      <c r="AD12" s="47">
        <v>24</v>
      </c>
      <c r="AE12" s="47">
        <v>25</v>
      </c>
      <c r="AF12" s="47">
        <v>26</v>
      </c>
      <c r="AG12" s="47">
        <v>27</v>
      </c>
      <c r="AH12" s="47">
        <v>28</v>
      </c>
      <c r="AI12" s="47">
        <v>29</v>
      </c>
      <c r="AJ12" s="47">
        <v>30</v>
      </c>
      <c r="AK12" s="47">
        <v>31</v>
      </c>
      <c r="AL12" s="47">
        <v>32</v>
      </c>
      <c r="AM12" s="47">
        <v>33</v>
      </c>
      <c r="AN12" s="47">
        <v>34</v>
      </c>
      <c r="AO12" s="47">
        <v>35</v>
      </c>
      <c r="AP12" s="47">
        <v>36</v>
      </c>
      <c r="AQ12" s="47">
        <v>37</v>
      </c>
      <c r="AR12" s="47">
        <v>38</v>
      </c>
      <c r="AS12" s="47">
        <v>39</v>
      </c>
      <c r="AT12" s="47">
        <v>40</v>
      </c>
      <c r="AU12" s="47">
        <v>41</v>
      </c>
      <c r="AV12" s="47">
        <v>42</v>
      </c>
      <c r="AW12" s="47" t="s">
        <v>106</v>
      </c>
      <c r="AX12" s="47" t="s">
        <v>107</v>
      </c>
      <c r="AY12" s="47" t="s">
        <v>108</v>
      </c>
      <c r="AZ12" s="47" t="s">
        <v>109</v>
      </c>
      <c r="BA12" s="47" t="s">
        <v>110</v>
      </c>
      <c r="BB12" s="47" t="s">
        <v>111</v>
      </c>
      <c r="BC12" s="47" t="s">
        <v>112</v>
      </c>
      <c r="BD12" s="47" t="s">
        <v>113</v>
      </c>
    </row>
    <row r="13" spans="1:56" ht="27.6" x14ac:dyDescent="0.3">
      <c r="A13" s="49">
        <v>1</v>
      </c>
      <c r="B13" s="49" t="s">
        <v>114</v>
      </c>
      <c r="C13" s="55">
        <v>79139672</v>
      </c>
      <c r="D13" s="49" t="s">
        <v>115</v>
      </c>
      <c r="E13" s="49" t="s">
        <v>116</v>
      </c>
      <c r="F13" s="49" t="s">
        <v>117</v>
      </c>
      <c r="G13" s="49">
        <v>3</v>
      </c>
      <c r="H13" s="49">
        <v>2</v>
      </c>
      <c r="I13" s="49">
        <v>2</v>
      </c>
      <c r="J13" s="49">
        <v>2</v>
      </c>
      <c r="K13" s="49">
        <v>2</v>
      </c>
      <c r="L13" s="49">
        <v>2</v>
      </c>
      <c r="M13" s="49">
        <v>3</v>
      </c>
      <c r="N13" s="49">
        <v>2</v>
      </c>
      <c r="O13" s="49">
        <v>3</v>
      </c>
      <c r="P13" s="49">
        <v>2</v>
      </c>
      <c r="Q13" s="49">
        <v>3</v>
      </c>
      <c r="R13" s="49">
        <v>2</v>
      </c>
      <c r="S13" s="49">
        <v>3</v>
      </c>
      <c r="T13" s="49">
        <v>2</v>
      </c>
      <c r="U13" s="49">
        <v>3</v>
      </c>
      <c r="V13" s="49">
        <v>2</v>
      </c>
      <c r="W13" s="49">
        <v>3</v>
      </c>
      <c r="X13" s="49">
        <v>2</v>
      </c>
      <c r="Y13" s="49">
        <v>2</v>
      </c>
      <c r="Z13" s="49">
        <v>2</v>
      </c>
      <c r="AA13" s="49">
        <v>3</v>
      </c>
      <c r="AB13" s="49">
        <v>2</v>
      </c>
      <c r="AC13" s="49">
        <v>3</v>
      </c>
      <c r="AD13" s="49">
        <v>2</v>
      </c>
      <c r="AE13" s="49">
        <v>3</v>
      </c>
      <c r="AF13" s="49">
        <v>2</v>
      </c>
      <c r="AG13" s="49">
        <v>3</v>
      </c>
      <c r="AH13" s="49">
        <v>2</v>
      </c>
      <c r="AI13" s="49">
        <v>3</v>
      </c>
      <c r="AJ13" s="49">
        <v>2</v>
      </c>
      <c r="AK13" s="49">
        <v>2</v>
      </c>
      <c r="AL13" s="49">
        <v>3</v>
      </c>
      <c r="AM13" s="49">
        <v>3</v>
      </c>
      <c r="AN13" s="49">
        <v>3</v>
      </c>
      <c r="AO13" s="49">
        <v>3</v>
      </c>
      <c r="AP13" s="49"/>
      <c r="AQ13" s="49"/>
      <c r="AR13" s="49"/>
      <c r="AS13" s="49"/>
      <c r="AT13" s="49"/>
      <c r="AU13" s="49"/>
      <c r="AV13" s="49"/>
      <c r="AW13" s="51">
        <f t="shared" ref="AW13:AW18" si="0">IF(B13&lt;&gt;"",SUM(G13:AV13),"")</f>
        <v>86</v>
      </c>
      <c r="AX13" s="51">
        <f t="shared" ref="AX13:AX18" si="1">IF(B13&lt;&gt;"",COUNTA(G13:AV13),"")</f>
        <v>35</v>
      </c>
      <c r="AY13" s="52">
        <f t="shared" ref="AY13:AY18" si="2">IF(B13&lt;&gt;"",SUM(G13:AV13)/100,"")</f>
        <v>0.86</v>
      </c>
      <c r="AZ13" s="49" t="str">
        <f>IF(AY13="","",IF(AY13&gt;=80%,"Certificado","No certificado"))</f>
        <v>Certificado</v>
      </c>
      <c r="BA13" s="49"/>
      <c r="BB13" s="49"/>
      <c r="BC13" s="53"/>
      <c r="BD13" s="49" t="str">
        <f t="shared" ref="BD13:BD18" si="3">IF(B13="","",IF(AND(AY13&gt;=0.8,BC13&gt;=3),"Aprobado","No aprobado"))</f>
        <v>No aprobado</v>
      </c>
    </row>
    <row r="14" spans="1:56" ht="27.6" x14ac:dyDescent="0.3">
      <c r="A14" s="49">
        <v>2</v>
      </c>
      <c r="B14" s="49" t="s">
        <v>118</v>
      </c>
      <c r="C14" s="55">
        <v>79859706</v>
      </c>
      <c r="D14" s="49" t="s">
        <v>115</v>
      </c>
      <c r="E14" s="49" t="s">
        <v>119</v>
      </c>
      <c r="F14" s="49" t="s">
        <v>117</v>
      </c>
      <c r="G14" s="49">
        <v>3</v>
      </c>
      <c r="H14" s="49">
        <v>2</v>
      </c>
      <c r="I14" s="49">
        <v>2</v>
      </c>
      <c r="J14" s="49">
        <v>2</v>
      </c>
      <c r="K14" s="49" t="s">
        <v>120</v>
      </c>
      <c r="L14" s="49">
        <v>2</v>
      </c>
      <c r="M14" s="49">
        <v>3</v>
      </c>
      <c r="N14" s="49">
        <v>2</v>
      </c>
      <c r="O14" s="49">
        <v>3</v>
      </c>
      <c r="P14" s="49">
        <v>2</v>
      </c>
      <c r="Q14" s="49">
        <v>3</v>
      </c>
      <c r="R14" s="49">
        <v>2</v>
      </c>
      <c r="S14" s="49">
        <v>3</v>
      </c>
      <c r="T14" s="49">
        <v>2</v>
      </c>
      <c r="U14" s="49">
        <v>3</v>
      </c>
      <c r="V14" s="49">
        <v>2</v>
      </c>
      <c r="W14" s="49">
        <v>3</v>
      </c>
      <c r="X14" s="49">
        <v>2</v>
      </c>
      <c r="Y14" s="49">
        <v>2</v>
      </c>
      <c r="Z14" s="49">
        <v>2</v>
      </c>
      <c r="AA14" s="49">
        <v>3</v>
      </c>
      <c r="AB14" s="49">
        <v>2</v>
      </c>
      <c r="AC14" s="49">
        <v>3</v>
      </c>
      <c r="AD14" s="49">
        <v>2</v>
      </c>
      <c r="AE14" s="49">
        <v>3</v>
      </c>
      <c r="AF14" s="49">
        <v>2</v>
      </c>
      <c r="AG14" s="49">
        <v>3</v>
      </c>
      <c r="AH14" s="49">
        <v>2</v>
      </c>
      <c r="AI14" s="49">
        <v>3</v>
      </c>
      <c r="AJ14" s="49">
        <v>2</v>
      </c>
      <c r="AK14" s="49">
        <v>2</v>
      </c>
      <c r="AL14" s="49">
        <v>3</v>
      </c>
      <c r="AM14" s="49">
        <v>3</v>
      </c>
      <c r="AN14" s="49">
        <v>3</v>
      </c>
      <c r="AO14" s="49" t="s">
        <v>120</v>
      </c>
      <c r="AP14" s="49"/>
      <c r="AQ14" s="49"/>
      <c r="AR14" s="49"/>
      <c r="AS14" s="49"/>
      <c r="AT14" s="49"/>
      <c r="AU14" s="49"/>
      <c r="AV14" s="49"/>
      <c r="AW14" s="51">
        <f t="shared" si="0"/>
        <v>81</v>
      </c>
      <c r="AX14" s="51">
        <f t="shared" si="1"/>
        <v>35</v>
      </c>
      <c r="AY14" s="52">
        <f t="shared" si="2"/>
        <v>0.81</v>
      </c>
      <c r="AZ14" s="49" t="str">
        <f t="shared" ref="AZ14:AZ18" si="4">IF(AY14="","",IF(AY14&gt;=80%,"Certificado","No certificado"))</f>
        <v>Certificado</v>
      </c>
      <c r="BA14" s="49"/>
      <c r="BB14" s="49"/>
      <c r="BC14" s="53"/>
      <c r="BD14" s="49" t="str">
        <f t="shared" si="3"/>
        <v>No aprobado</v>
      </c>
    </row>
    <row r="15" spans="1:56" ht="41.4" x14ac:dyDescent="0.3">
      <c r="A15" s="49">
        <v>3</v>
      </c>
      <c r="B15" s="49" t="s">
        <v>121</v>
      </c>
      <c r="C15" s="55">
        <v>86051326</v>
      </c>
      <c r="D15" s="49" t="s">
        <v>115</v>
      </c>
      <c r="E15" s="49" t="s">
        <v>122</v>
      </c>
      <c r="F15" s="49" t="s">
        <v>117</v>
      </c>
      <c r="G15" s="49" t="s">
        <v>120</v>
      </c>
      <c r="H15" s="49" t="s">
        <v>120</v>
      </c>
      <c r="I15" s="49" t="s">
        <v>120</v>
      </c>
      <c r="J15" s="49" t="s">
        <v>120</v>
      </c>
      <c r="K15" s="49" t="s">
        <v>120</v>
      </c>
      <c r="L15" s="49" t="s">
        <v>120</v>
      </c>
      <c r="M15" s="49" t="s">
        <v>120</v>
      </c>
      <c r="N15" s="49" t="s">
        <v>120</v>
      </c>
      <c r="O15" s="49" t="s">
        <v>120</v>
      </c>
      <c r="P15" s="49" t="s">
        <v>120</v>
      </c>
      <c r="Q15" s="49" t="s">
        <v>120</v>
      </c>
      <c r="R15" s="49" t="s">
        <v>120</v>
      </c>
      <c r="S15" s="49" t="s">
        <v>120</v>
      </c>
      <c r="T15" s="49" t="s">
        <v>120</v>
      </c>
      <c r="U15" s="49" t="s">
        <v>120</v>
      </c>
      <c r="V15" s="49" t="s">
        <v>120</v>
      </c>
      <c r="W15" s="49" t="s">
        <v>120</v>
      </c>
      <c r="X15" s="49" t="s">
        <v>120</v>
      </c>
      <c r="Y15" s="49" t="s">
        <v>120</v>
      </c>
      <c r="Z15" s="49" t="s">
        <v>120</v>
      </c>
      <c r="AA15" s="49" t="s">
        <v>120</v>
      </c>
      <c r="AB15" s="49" t="s">
        <v>120</v>
      </c>
      <c r="AC15" s="49" t="s">
        <v>120</v>
      </c>
      <c r="AD15" s="49" t="s">
        <v>120</v>
      </c>
      <c r="AE15" s="49" t="s">
        <v>120</v>
      </c>
      <c r="AF15" s="49" t="s">
        <v>120</v>
      </c>
      <c r="AG15" s="49" t="s">
        <v>120</v>
      </c>
      <c r="AH15" s="49" t="s">
        <v>120</v>
      </c>
      <c r="AI15" s="49" t="s">
        <v>120</v>
      </c>
      <c r="AJ15" s="49" t="s">
        <v>120</v>
      </c>
      <c r="AK15" s="49" t="s">
        <v>120</v>
      </c>
      <c r="AL15" s="49" t="s">
        <v>120</v>
      </c>
      <c r="AM15" s="49" t="s">
        <v>120</v>
      </c>
      <c r="AN15" s="49" t="s">
        <v>120</v>
      </c>
      <c r="AO15" s="49" t="s">
        <v>120</v>
      </c>
      <c r="AP15" s="49"/>
      <c r="AQ15" s="49"/>
      <c r="AR15" s="49"/>
      <c r="AS15" s="49"/>
      <c r="AT15" s="49"/>
      <c r="AU15" s="49"/>
      <c r="AV15" s="49"/>
      <c r="AW15" s="51">
        <f t="shared" si="0"/>
        <v>0</v>
      </c>
      <c r="AX15" s="51">
        <f t="shared" si="1"/>
        <v>35</v>
      </c>
      <c r="AY15" s="52">
        <f t="shared" si="2"/>
        <v>0</v>
      </c>
      <c r="AZ15" s="49" t="str">
        <f t="shared" si="4"/>
        <v>No certificado</v>
      </c>
      <c r="BA15" s="49"/>
      <c r="BB15" s="49"/>
      <c r="BC15" s="53"/>
      <c r="BD15" s="49" t="str">
        <f t="shared" si="3"/>
        <v>No aprobado</v>
      </c>
    </row>
    <row r="16" spans="1:56" ht="27.6" x14ac:dyDescent="0.3">
      <c r="A16" s="49">
        <v>4</v>
      </c>
      <c r="B16" s="49" t="s">
        <v>123</v>
      </c>
      <c r="C16" s="55">
        <v>79645745</v>
      </c>
      <c r="D16" s="49" t="s">
        <v>115</v>
      </c>
      <c r="E16" s="49" t="s">
        <v>119</v>
      </c>
      <c r="F16" s="49" t="s">
        <v>117</v>
      </c>
      <c r="G16" s="49">
        <v>3</v>
      </c>
      <c r="H16" s="49">
        <v>2</v>
      </c>
      <c r="I16" s="49">
        <v>2</v>
      </c>
      <c r="J16" s="49">
        <v>2</v>
      </c>
      <c r="K16" s="49">
        <v>2</v>
      </c>
      <c r="L16" s="49">
        <v>2</v>
      </c>
      <c r="M16" s="49">
        <v>3</v>
      </c>
      <c r="N16" s="49">
        <v>2</v>
      </c>
      <c r="O16" s="49">
        <v>3</v>
      </c>
      <c r="P16" s="49">
        <v>2</v>
      </c>
      <c r="Q16" s="49">
        <v>3</v>
      </c>
      <c r="R16" s="49">
        <v>2</v>
      </c>
      <c r="S16" s="49">
        <v>3</v>
      </c>
      <c r="T16" s="49">
        <v>2</v>
      </c>
      <c r="U16" s="49">
        <v>3</v>
      </c>
      <c r="V16" s="49">
        <v>2</v>
      </c>
      <c r="W16" s="49">
        <v>3</v>
      </c>
      <c r="X16" s="49">
        <v>2</v>
      </c>
      <c r="Y16" s="49">
        <v>2</v>
      </c>
      <c r="Z16" s="49">
        <v>2</v>
      </c>
      <c r="AA16" s="49" t="s">
        <v>120</v>
      </c>
      <c r="AB16" s="49">
        <v>2</v>
      </c>
      <c r="AC16" s="49">
        <v>3</v>
      </c>
      <c r="AD16" s="49">
        <v>2</v>
      </c>
      <c r="AE16" s="49">
        <v>3</v>
      </c>
      <c r="AF16" s="49">
        <v>2</v>
      </c>
      <c r="AG16" s="49">
        <v>3</v>
      </c>
      <c r="AH16" s="49">
        <v>2</v>
      </c>
      <c r="AI16" s="49">
        <v>3</v>
      </c>
      <c r="AJ16" s="49">
        <v>2</v>
      </c>
      <c r="AK16" s="49">
        <v>2</v>
      </c>
      <c r="AL16" s="49">
        <v>3</v>
      </c>
      <c r="AM16" s="49">
        <v>3</v>
      </c>
      <c r="AN16" s="49">
        <v>3</v>
      </c>
      <c r="AO16" s="49">
        <v>3</v>
      </c>
      <c r="AP16" s="49"/>
      <c r="AQ16" s="49"/>
      <c r="AR16" s="49"/>
      <c r="AS16" s="49"/>
      <c r="AT16" s="49"/>
      <c r="AU16" s="49"/>
      <c r="AV16" s="49"/>
      <c r="AW16" s="51">
        <f t="shared" si="0"/>
        <v>83</v>
      </c>
      <c r="AX16" s="51">
        <f t="shared" si="1"/>
        <v>35</v>
      </c>
      <c r="AY16" s="52">
        <f t="shared" si="2"/>
        <v>0.83</v>
      </c>
      <c r="AZ16" s="49" t="str">
        <f t="shared" si="4"/>
        <v>Certificado</v>
      </c>
      <c r="BA16" s="49"/>
      <c r="BB16" s="49"/>
      <c r="BC16" s="53"/>
      <c r="BD16" s="49" t="str">
        <f t="shared" si="3"/>
        <v>No aprobado</v>
      </c>
    </row>
    <row r="17" spans="1:56" ht="27.6" x14ac:dyDescent="0.3">
      <c r="A17" s="49">
        <v>5</v>
      </c>
      <c r="B17" s="49" t="s">
        <v>124</v>
      </c>
      <c r="C17" s="55">
        <v>79359722</v>
      </c>
      <c r="D17" s="49" t="s">
        <v>115</v>
      </c>
      <c r="E17" s="49" t="s">
        <v>125</v>
      </c>
      <c r="F17" s="49" t="s">
        <v>117</v>
      </c>
      <c r="G17" s="49">
        <v>3</v>
      </c>
      <c r="H17" s="49">
        <v>2</v>
      </c>
      <c r="I17" s="49">
        <v>2</v>
      </c>
      <c r="J17" s="49" t="s">
        <v>120</v>
      </c>
      <c r="K17" s="49">
        <v>2</v>
      </c>
      <c r="L17" s="49">
        <v>2</v>
      </c>
      <c r="M17" s="49">
        <v>3</v>
      </c>
      <c r="N17" s="49" t="s">
        <v>120</v>
      </c>
      <c r="O17" s="49">
        <v>3</v>
      </c>
      <c r="P17" s="49">
        <v>2</v>
      </c>
      <c r="Q17" s="49">
        <v>3</v>
      </c>
      <c r="R17" s="49">
        <v>2</v>
      </c>
      <c r="S17" s="49">
        <v>3</v>
      </c>
      <c r="T17" s="49">
        <v>2</v>
      </c>
      <c r="U17" s="49">
        <v>3</v>
      </c>
      <c r="V17" s="49">
        <v>2</v>
      </c>
      <c r="W17" s="49">
        <v>3</v>
      </c>
      <c r="X17" s="49">
        <v>2</v>
      </c>
      <c r="Y17" s="49">
        <v>2</v>
      </c>
      <c r="Z17" s="49">
        <v>2</v>
      </c>
      <c r="AA17" s="49">
        <v>3</v>
      </c>
      <c r="AB17" s="49">
        <v>2</v>
      </c>
      <c r="AC17" s="49">
        <v>3</v>
      </c>
      <c r="AD17" s="49">
        <v>2</v>
      </c>
      <c r="AE17" s="49">
        <v>3</v>
      </c>
      <c r="AF17" s="49">
        <v>2</v>
      </c>
      <c r="AG17" s="49">
        <v>3</v>
      </c>
      <c r="AH17" s="49">
        <v>2</v>
      </c>
      <c r="AI17" s="49" t="s">
        <v>120</v>
      </c>
      <c r="AJ17" s="49">
        <v>2</v>
      </c>
      <c r="AK17" s="49">
        <v>2</v>
      </c>
      <c r="AL17" s="49">
        <v>3</v>
      </c>
      <c r="AM17" s="49">
        <v>3</v>
      </c>
      <c r="AN17" s="49">
        <v>3</v>
      </c>
      <c r="AO17" s="49" t="s">
        <v>120</v>
      </c>
      <c r="AP17" s="49"/>
      <c r="AQ17" s="49"/>
      <c r="AR17" s="49"/>
      <c r="AS17" s="49"/>
      <c r="AT17" s="49"/>
      <c r="AU17" s="49"/>
      <c r="AV17" s="49"/>
      <c r="AW17" s="51">
        <f t="shared" si="0"/>
        <v>76</v>
      </c>
      <c r="AX17" s="51">
        <f t="shared" si="1"/>
        <v>35</v>
      </c>
      <c r="AY17" s="52">
        <f t="shared" si="2"/>
        <v>0.76</v>
      </c>
      <c r="AZ17" s="49" t="str">
        <f t="shared" si="4"/>
        <v>No certificado</v>
      </c>
      <c r="BA17" s="49"/>
      <c r="BB17" s="49"/>
      <c r="BC17" s="53"/>
      <c r="BD17" s="49" t="str">
        <f t="shared" si="3"/>
        <v>No aprobado</v>
      </c>
    </row>
    <row r="18" spans="1:56" ht="41.4" x14ac:dyDescent="0.3">
      <c r="A18" s="49">
        <v>6</v>
      </c>
      <c r="B18" s="49" t="s">
        <v>126</v>
      </c>
      <c r="C18" s="55">
        <v>80215478</v>
      </c>
      <c r="D18" s="49" t="s">
        <v>115</v>
      </c>
      <c r="E18" s="49" t="s">
        <v>122</v>
      </c>
      <c r="F18" s="49" t="s">
        <v>117</v>
      </c>
      <c r="G18" s="49">
        <v>3</v>
      </c>
      <c r="H18" s="49">
        <v>2</v>
      </c>
      <c r="I18" s="49">
        <v>2</v>
      </c>
      <c r="J18" s="49">
        <v>2</v>
      </c>
      <c r="K18" s="49">
        <v>2</v>
      </c>
      <c r="L18" s="49">
        <v>2</v>
      </c>
      <c r="M18" s="49">
        <v>3</v>
      </c>
      <c r="N18" s="49">
        <v>2</v>
      </c>
      <c r="O18" s="49">
        <v>3</v>
      </c>
      <c r="P18" s="49">
        <v>2</v>
      </c>
      <c r="Q18" s="49">
        <v>3</v>
      </c>
      <c r="R18" s="49">
        <v>2</v>
      </c>
      <c r="S18" s="49">
        <v>3</v>
      </c>
      <c r="T18" s="49">
        <v>2</v>
      </c>
      <c r="U18" s="49">
        <v>3</v>
      </c>
      <c r="V18" s="49">
        <v>2</v>
      </c>
      <c r="W18" s="49">
        <v>3</v>
      </c>
      <c r="X18" s="49">
        <v>2</v>
      </c>
      <c r="Y18" s="49">
        <v>2</v>
      </c>
      <c r="Z18" s="49">
        <v>2</v>
      </c>
      <c r="AA18" s="49">
        <v>3</v>
      </c>
      <c r="AB18" s="49">
        <v>2</v>
      </c>
      <c r="AC18" s="49">
        <v>3</v>
      </c>
      <c r="AD18" s="49">
        <v>2</v>
      </c>
      <c r="AE18" s="49">
        <v>3</v>
      </c>
      <c r="AF18" s="49">
        <v>2</v>
      </c>
      <c r="AG18" s="49">
        <v>3</v>
      </c>
      <c r="AH18" s="49">
        <v>2</v>
      </c>
      <c r="AI18" s="49">
        <v>3</v>
      </c>
      <c r="AJ18" s="49">
        <v>2</v>
      </c>
      <c r="AK18" s="49">
        <v>2</v>
      </c>
      <c r="AL18" s="49">
        <v>3</v>
      </c>
      <c r="AM18" s="49">
        <v>3</v>
      </c>
      <c r="AN18" s="49">
        <v>3</v>
      </c>
      <c r="AO18" s="49">
        <v>3</v>
      </c>
      <c r="AP18" s="49"/>
      <c r="AQ18" s="49"/>
      <c r="AR18" s="49"/>
      <c r="AS18" s="49"/>
      <c r="AT18" s="49"/>
      <c r="AU18" s="49"/>
      <c r="AV18" s="49"/>
      <c r="AW18" s="51">
        <f t="shared" si="0"/>
        <v>86</v>
      </c>
      <c r="AX18" s="51">
        <f t="shared" si="1"/>
        <v>35</v>
      </c>
      <c r="AY18" s="52">
        <f t="shared" si="2"/>
        <v>0.86</v>
      </c>
      <c r="AZ18" s="49" t="str">
        <f t="shared" si="4"/>
        <v>Certificado</v>
      </c>
      <c r="BA18" s="49"/>
      <c r="BB18" s="49"/>
      <c r="BC18" s="53"/>
      <c r="BD18" s="49" t="str">
        <f t="shared" si="3"/>
        <v>No aprobado</v>
      </c>
    </row>
    <row r="19" spans="1:56" ht="48.75" customHeight="1" x14ac:dyDescent="0.3">
      <c r="A19" s="142" t="s">
        <v>127</v>
      </c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4"/>
    </row>
  </sheetData>
  <mergeCells count="26">
    <mergeCell ref="A6:BD6"/>
    <mergeCell ref="A1:F4"/>
    <mergeCell ref="G1:AX4"/>
    <mergeCell ref="AY1:BD2"/>
    <mergeCell ref="AY3:BD4"/>
    <mergeCell ref="A5:BD5"/>
    <mergeCell ref="A7:BD7"/>
    <mergeCell ref="A8:BD8"/>
    <mergeCell ref="A9:D9"/>
    <mergeCell ref="E9:F9"/>
    <mergeCell ref="G9:Z9"/>
    <mergeCell ref="AA9:AV9"/>
    <mergeCell ref="AW9:AZ9"/>
    <mergeCell ref="BA9:BD9"/>
    <mergeCell ref="A19:BD19"/>
    <mergeCell ref="A10:B10"/>
    <mergeCell ref="G10:Z10"/>
    <mergeCell ref="AA10:AV10"/>
    <mergeCell ref="AW10:AX10"/>
    <mergeCell ref="AY10:AZ10"/>
    <mergeCell ref="BB10:BD10"/>
    <mergeCell ref="A11:F11"/>
    <mergeCell ref="G11:AV11"/>
    <mergeCell ref="AW11:AZ11"/>
    <mergeCell ref="BA11:BD11"/>
    <mergeCell ref="D10:E10"/>
  </mergeCells>
  <dataValidations count="1">
    <dataValidation type="list" allowBlank="1" showErrorMessage="1" sqref="D13:D18" xr:uid="{10752A9F-B3C6-4750-942F-2AF8C37AD006}">
      <formula1>"Contratista,Planta"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8DD3-A495-448F-878C-ACD0DF618D20}">
  <sheetPr>
    <outlinePr summaryBelow="0" summaryRight="0"/>
  </sheetPr>
  <dimension ref="A1:AA22"/>
  <sheetViews>
    <sheetView topLeftCell="A4" workbookViewId="0">
      <selection activeCell="E13" sqref="E13:F14"/>
    </sheetView>
  </sheetViews>
  <sheetFormatPr baseColWidth="10" defaultColWidth="12.5546875" defaultRowHeight="15.75" customHeight="1" x14ac:dyDescent="0.3"/>
  <cols>
    <col min="1" max="1" width="12.5546875" style="44"/>
    <col min="2" max="2" width="38.109375" style="44" customWidth="1"/>
    <col min="3" max="3" width="15.88671875" style="44" customWidth="1"/>
    <col min="4" max="4" width="15.33203125" style="44" customWidth="1"/>
    <col min="5" max="6" width="25.5546875" style="44" customWidth="1"/>
    <col min="7" max="19" width="12.5546875" style="44"/>
    <col min="20" max="20" width="15.33203125" style="44" customWidth="1"/>
    <col min="21" max="21" width="11.33203125" style="44" customWidth="1"/>
    <col min="22" max="22" width="13.88671875" style="44" customWidth="1"/>
    <col min="23" max="23" width="14.33203125" style="44" customWidth="1"/>
    <col min="24" max="16384" width="12.5546875" style="44"/>
  </cols>
  <sheetData>
    <row r="1" spans="1:27" ht="14.4" x14ac:dyDescent="0.3">
      <c r="A1" s="156" t="s">
        <v>80</v>
      </c>
      <c r="B1" s="157"/>
      <c r="C1" s="157"/>
      <c r="D1" s="157"/>
      <c r="E1" s="157"/>
      <c r="F1" s="157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2"/>
      <c r="V1" s="156" t="s">
        <v>81</v>
      </c>
      <c r="W1" s="157"/>
      <c r="X1" s="157"/>
      <c r="Y1" s="157"/>
      <c r="Z1" s="157"/>
      <c r="AA1" s="167"/>
    </row>
    <row r="2" spans="1:27" ht="14.4" x14ac:dyDescent="0.3">
      <c r="A2" s="158"/>
      <c r="B2" s="159"/>
      <c r="C2" s="159"/>
      <c r="D2" s="159"/>
      <c r="E2" s="159"/>
      <c r="F2" s="159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4"/>
      <c r="V2" s="160"/>
      <c r="W2" s="148"/>
      <c r="X2" s="148"/>
      <c r="Y2" s="148"/>
      <c r="Z2" s="148"/>
      <c r="AA2" s="168"/>
    </row>
    <row r="3" spans="1:27" ht="14.4" x14ac:dyDescent="0.3">
      <c r="A3" s="158"/>
      <c r="B3" s="159"/>
      <c r="C3" s="159"/>
      <c r="D3" s="159"/>
      <c r="E3" s="159"/>
      <c r="F3" s="159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4"/>
      <c r="V3" s="156" t="s">
        <v>82</v>
      </c>
      <c r="W3" s="157"/>
      <c r="X3" s="157"/>
      <c r="Y3" s="157"/>
      <c r="Z3" s="157"/>
      <c r="AA3" s="167"/>
    </row>
    <row r="4" spans="1:27" ht="14.4" x14ac:dyDescent="0.3">
      <c r="A4" s="160"/>
      <c r="B4" s="148"/>
      <c r="C4" s="148"/>
      <c r="D4" s="148"/>
      <c r="E4" s="148"/>
      <c r="F4" s="148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6"/>
      <c r="V4" s="160"/>
      <c r="W4" s="148"/>
      <c r="X4" s="148"/>
      <c r="Y4" s="148"/>
      <c r="Z4" s="148"/>
      <c r="AA4" s="168"/>
    </row>
    <row r="5" spans="1:27" ht="22.5" customHeight="1" x14ac:dyDescent="0.3">
      <c r="A5" s="155" t="s">
        <v>83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4"/>
    </row>
    <row r="6" spans="1:27" ht="22.5" customHeight="1" x14ac:dyDescent="0.3">
      <c r="A6" s="155" t="s">
        <v>84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4"/>
    </row>
    <row r="7" spans="1:27" ht="14.4" x14ac:dyDescent="0.3">
      <c r="A7" s="145" t="s">
        <v>85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4"/>
    </row>
    <row r="8" spans="1:27" ht="33.75" customHeight="1" x14ac:dyDescent="0.3">
      <c r="A8" s="150" t="s">
        <v>128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57"/>
      <c r="P8" s="157"/>
      <c r="Q8" s="157"/>
      <c r="R8" s="157"/>
      <c r="S8" s="157"/>
      <c r="T8" s="143"/>
      <c r="U8" s="143"/>
      <c r="V8" s="143"/>
      <c r="W8" s="143"/>
      <c r="X8" s="143"/>
      <c r="Y8" s="143"/>
      <c r="Z8" s="143"/>
      <c r="AA8" s="144"/>
    </row>
    <row r="9" spans="1:27" ht="33.75" customHeight="1" x14ac:dyDescent="0.3">
      <c r="A9" s="145" t="s">
        <v>87</v>
      </c>
      <c r="B9" s="143"/>
      <c r="C9" s="143"/>
      <c r="D9" s="144"/>
      <c r="E9" s="150" t="str">
        <f>'Formato Cronograma'!F5</f>
        <v>Bertha Viviana Ruales Guzmán</v>
      </c>
      <c r="F9" s="151"/>
      <c r="G9" s="145" t="s">
        <v>88</v>
      </c>
      <c r="H9" s="149"/>
      <c r="I9" s="149"/>
      <c r="J9" s="149"/>
      <c r="K9" s="149"/>
      <c r="L9" s="149"/>
      <c r="M9" s="149"/>
      <c r="N9" s="149"/>
      <c r="O9" s="169" t="s">
        <v>89</v>
      </c>
      <c r="P9" s="169"/>
      <c r="Q9" s="169"/>
      <c r="R9" s="169"/>
      <c r="S9" s="169"/>
      <c r="T9" s="149" t="s">
        <v>90</v>
      </c>
      <c r="U9" s="143"/>
      <c r="V9" s="143"/>
      <c r="W9" s="144"/>
      <c r="X9" s="152" t="s">
        <v>91</v>
      </c>
      <c r="Y9" s="153"/>
      <c r="Z9" s="153"/>
      <c r="AA9" s="154"/>
    </row>
    <row r="10" spans="1:27" ht="33.75" customHeight="1" x14ac:dyDescent="0.3">
      <c r="A10" s="145" t="s">
        <v>92</v>
      </c>
      <c r="B10" s="144"/>
      <c r="C10" s="46">
        <f>'Formato Cronograma'!K5</f>
        <v>46237</v>
      </c>
      <c r="D10" s="145" t="s">
        <v>93</v>
      </c>
      <c r="E10" s="171"/>
      <c r="F10" s="48">
        <f>'Formato Cronograma'!L5</f>
        <v>46335</v>
      </c>
      <c r="G10" s="147">
        <v>5</v>
      </c>
      <c r="H10" s="146"/>
      <c r="I10" s="146"/>
      <c r="J10" s="146"/>
      <c r="K10" s="146"/>
      <c r="L10" s="146"/>
      <c r="M10" s="146"/>
      <c r="N10" s="146"/>
      <c r="O10" s="170">
        <v>8</v>
      </c>
      <c r="P10" s="170"/>
      <c r="Q10" s="170"/>
      <c r="R10" s="170"/>
      <c r="S10" s="170"/>
      <c r="T10" s="149" t="s">
        <v>129</v>
      </c>
      <c r="U10" s="144"/>
      <c r="V10" s="147">
        <v>32</v>
      </c>
      <c r="W10" s="144"/>
      <c r="X10" s="45" t="s">
        <v>95</v>
      </c>
      <c r="Y10" s="147"/>
      <c r="Z10" s="143"/>
      <c r="AA10" s="144"/>
    </row>
    <row r="11" spans="1:27" ht="14.4" x14ac:dyDescent="0.3">
      <c r="A11" s="145" t="s">
        <v>96</v>
      </c>
      <c r="B11" s="143"/>
      <c r="C11" s="143"/>
      <c r="D11" s="143"/>
      <c r="E11" s="143"/>
      <c r="F11" s="148"/>
      <c r="G11" s="145" t="s">
        <v>97</v>
      </c>
      <c r="H11" s="143"/>
      <c r="I11" s="143"/>
      <c r="J11" s="143"/>
      <c r="K11" s="143"/>
      <c r="L11" s="143"/>
      <c r="M11" s="143"/>
      <c r="N11" s="143"/>
      <c r="O11" s="148"/>
      <c r="P11" s="148"/>
      <c r="Q11" s="148"/>
      <c r="R11" s="148"/>
      <c r="S11" s="148"/>
      <c r="T11" s="145" t="s">
        <v>98</v>
      </c>
      <c r="U11" s="143"/>
      <c r="V11" s="143"/>
      <c r="W11" s="144"/>
      <c r="X11" s="145" t="s">
        <v>99</v>
      </c>
      <c r="Y11" s="143"/>
      <c r="Z11" s="143"/>
      <c r="AA11" s="144"/>
    </row>
    <row r="12" spans="1:27" ht="41.4" x14ac:dyDescent="0.3">
      <c r="A12" s="47" t="s">
        <v>100</v>
      </c>
      <c r="B12" s="47" t="s">
        <v>101</v>
      </c>
      <c r="C12" s="47" t="s">
        <v>102</v>
      </c>
      <c r="D12" s="47" t="s">
        <v>103</v>
      </c>
      <c r="E12" s="47" t="s">
        <v>104</v>
      </c>
      <c r="F12" s="47" t="s">
        <v>105</v>
      </c>
      <c r="G12" s="47">
        <v>1</v>
      </c>
      <c r="H12" s="47">
        <v>2</v>
      </c>
      <c r="I12" s="47">
        <v>3</v>
      </c>
      <c r="J12" s="47">
        <v>4</v>
      </c>
      <c r="K12" s="47">
        <v>5</v>
      </c>
      <c r="L12" s="47">
        <v>6</v>
      </c>
      <c r="M12" s="47">
        <v>7</v>
      </c>
      <c r="N12" s="47">
        <v>8</v>
      </c>
      <c r="O12" s="47">
        <v>9</v>
      </c>
      <c r="P12" s="47">
        <v>10</v>
      </c>
      <c r="Q12" s="47">
        <v>11</v>
      </c>
      <c r="R12" s="47">
        <v>12</v>
      </c>
      <c r="S12" s="47">
        <v>13</v>
      </c>
      <c r="T12" s="47" t="s">
        <v>106</v>
      </c>
      <c r="U12" s="47" t="s">
        <v>107</v>
      </c>
      <c r="V12" s="47" t="s">
        <v>108</v>
      </c>
      <c r="W12" s="47" t="s">
        <v>109</v>
      </c>
      <c r="X12" s="47" t="s">
        <v>110</v>
      </c>
      <c r="Y12" s="47" t="s">
        <v>111</v>
      </c>
      <c r="Z12" s="47" t="s">
        <v>112</v>
      </c>
      <c r="AA12" s="47" t="s">
        <v>113</v>
      </c>
    </row>
    <row r="13" spans="1:27" ht="55.2" x14ac:dyDescent="0.3">
      <c r="A13" s="49">
        <v>1</v>
      </c>
      <c r="B13" s="49" t="s">
        <v>130</v>
      </c>
      <c r="C13" s="55">
        <v>19259792</v>
      </c>
      <c r="D13" s="49" t="s">
        <v>115</v>
      </c>
      <c r="E13" s="49" t="str">
        <f>_xlfn.XLOOKUP(C13,[1]Hoja1!$B:$B,[1]Hoja1!$G:$G)</f>
        <v>DIRECCIÓN DE GESTIÓN DE TECNOLOGÍAS DE INFORMACIÓN Y COMUNICACIONES</v>
      </c>
      <c r="F13" s="49" t="str">
        <f>_xlfn.XLOOKUP(C13,[1]Hoja1!$B:$B,[1]Hoja1!$F:$F)</f>
        <v>GESTOR DE OPERACIONES</v>
      </c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51">
        <f t="shared" ref="T13:T21" si="0">IF(B13&lt;&gt;"",SUM(G13:S13),"")</f>
        <v>0</v>
      </c>
      <c r="U13" s="51">
        <f t="shared" ref="U13:U21" si="1">IF(B13&lt;&gt;"",COUNTA(G13:S13),"")</f>
        <v>0</v>
      </c>
      <c r="V13" s="52">
        <f t="shared" ref="V13:V21" si="2">IF(B13&lt;&gt;"",SUM(G13:S13)/40,"")</f>
        <v>0</v>
      </c>
      <c r="W13" s="49" t="str">
        <f>IF(V13="","",IF(V13&gt;=80%,"Certificado","No certificado"))</f>
        <v>No certificado</v>
      </c>
      <c r="X13" s="49"/>
      <c r="Y13" s="49"/>
      <c r="Z13" s="54"/>
      <c r="AA13" s="49" t="str">
        <f t="shared" ref="AA13:AA21" si="3">IF(B13="","",IF(AND(V13&gt;=0.8,Z13&gt;=3),"Aprobado","No aprobado"))</f>
        <v>No aprobado</v>
      </c>
    </row>
    <row r="14" spans="1:27" ht="27.6" x14ac:dyDescent="0.3">
      <c r="A14" s="49">
        <v>2</v>
      </c>
      <c r="B14" s="49" t="s">
        <v>131</v>
      </c>
      <c r="C14" s="55">
        <v>52498179</v>
      </c>
      <c r="D14" s="49" t="s">
        <v>115</v>
      </c>
      <c r="E14" s="49" t="str">
        <f>_xlfn.XLOOKUP(C14,[1]Hoja1!$B:$B,[1]Hoja1!$G:$G)</f>
        <v>DIRECCIÓN ADMINISTRATIVA Y FINANCIERA</v>
      </c>
      <c r="F14" s="49" t="str">
        <f>_xlfn.XLOOKUP(C14,[1]Hoja1!$B:$B,[1]Hoja1!$F:$F)</f>
        <v>GESTOR DE OPERACIONES</v>
      </c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51">
        <f t="shared" si="0"/>
        <v>0</v>
      </c>
      <c r="U14" s="51">
        <f t="shared" si="1"/>
        <v>0</v>
      </c>
      <c r="V14" s="52">
        <f t="shared" si="2"/>
        <v>0</v>
      </c>
      <c r="W14" s="49" t="str">
        <f t="shared" ref="W14:W21" si="4">IF(V14="","",IF(V14&gt;=80%,"Certificado","No certificado"))</f>
        <v>No certificado</v>
      </c>
      <c r="X14" s="49"/>
      <c r="Y14" s="49"/>
      <c r="Z14" s="54"/>
      <c r="AA14" s="49" t="str">
        <f t="shared" si="3"/>
        <v>No aprobado</v>
      </c>
    </row>
    <row r="15" spans="1:27" ht="41.4" x14ac:dyDescent="0.3">
      <c r="A15" s="49">
        <v>3</v>
      </c>
      <c r="B15" s="49" t="s">
        <v>132</v>
      </c>
      <c r="C15" s="55">
        <v>14139437</v>
      </c>
      <c r="D15" s="49" t="s">
        <v>115</v>
      </c>
      <c r="E15" s="49" t="str">
        <f>_xlfn.XLOOKUP(C15,[1]Hoja1!$B:$B,[1]Hoja1!$G:$G)</f>
        <v>SUBDIRECCIÓN DE LIQUIDACIONES DEL ASEGURAMIENTO</v>
      </c>
      <c r="F15" s="49" t="str">
        <f>_xlfn.XLOOKUP(C15,[1]Hoja1!$B:$B,[1]Hoja1!$F:$F)</f>
        <v>GESTOR DE OPERACIONES</v>
      </c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51">
        <f t="shared" si="0"/>
        <v>0</v>
      </c>
      <c r="U15" s="51">
        <f t="shared" si="1"/>
        <v>0</v>
      </c>
      <c r="V15" s="52">
        <f t="shared" si="2"/>
        <v>0</v>
      </c>
      <c r="W15" s="49" t="str">
        <f t="shared" si="4"/>
        <v>No certificado</v>
      </c>
      <c r="X15" s="49"/>
      <c r="Y15" s="49"/>
      <c r="Z15" s="54"/>
      <c r="AA15" s="49" t="str">
        <f t="shared" si="3"/>
        <v>No aprobado</v>
      </c>
    </row>
    <row r="16" spans="1:27" ht="27.6" x14ac:dyDescent="0.3">
      <c r="A16" s="49">
        <v>4</v>
      </c>
      <c r="B16" s="49" t="s">
        <v>133</v>
      </c>
      <c r="C16" s="55">
        <v>1032399404</v>
      </c>
      <c r="D16" s="49" t="s">
        <v>115</v>
      </c>
      <c r="E16" s="49" t="str">
        <f>_xlfn.XLOOKUP(C16,[1]Hoja1!$B:$B,[1]Hoja1!$G:$G)</f>
        <v>DIRECCIÓN DE OTRAS PRESTACIONES</v>
      </c>
      <c r="F16" s="49" t="str">
        <f>_xlfn.XLOOKUP(C16,[1]Hoja1!$B:$B,[1]Hoja1!$F:$F)</f>
        <v>GESTOR DE OPERACIONES</v>
      </c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51">
        <f t="shared" si="0"/>
        <v>0</v>
      </c>
      <c r="U16" s="51">
        <f t="shared" si="1"/>
        <v>0</v>
      </c>
      <c r="V16" s="52">
        <f t="shared" si="2"/>
        <v>0</v>
      </c>
      <c r="W16" s="49" t="str">
        <f t="shared" si="4"/>
        <v>No certificado</v>
      </c>
      <c r="X16" s="49"/>
      <c r="Y16" s="49"/>
      <c r="Z16" s="54"/>
      <c r="AA16" s="49" t="str">
        <f t="shared" si="3"/>
        <v>No aprobado</v>
      </c>
    </row>
    <row r="17" spans="1:27" ht="14.4" x14ac:dyDescent="0.3">
      <c r="A17" s="49">
        <v>5</v>
      </c>
      <c r="B17" s="49" t="s">
        <v>435</v>
      </c>
      <c r="C17" s="55">
        <v>1121332079</v>
      </c>
      <c r="D17" s="49" t="s">
        <v>115</v>
      </c>
      <c r="E17" s="49" t="str">
        <f>_xlfn.XLOOKUP(C17,[1]Hoja1!$B:$B,[1]Hoja1!$G:$G)</f>
        <v>OFICINA DE CONTROL INTERNO</v>
      </c>
      <c r="F17" s="49" t="str">
        <f>_xlfn.XLOOKUP(C17,[1]Hoja1!$B:$B,[1]Hoja1!$F:$F)</f>
        <v>GESTOR DE OPERACIONES</v>
      </c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51">
        <f t="shared" si="0"/>
        <v>0</v>
      </c>
      <c r="U17" s="51">
        <f t="shared" si="1"/>
        <v>0</v>
      </c>
      <c r="V17" s="52">
        <f t="shared" si="2"/>
        <v>0</v>
      </c>
      <c r="W17" s="49" t="str">
        <f t="shared" si="4"/>
        <v>No certificado</v>
      </c>
      <c r="X17" s="49"/>
      <c r="Y17" s="49"/>
      <c r="Z17" s="54"/>
      <c r="AA17" s="49" t="str">
        <f t="shared" si="3"/>
        <v>No aprobado</v>
      </c>
    </row>
    <row r="18" spans="1:27" ht="27.6" x14ac:dyDescent="0.3">
      <c r="A18" s="49">
        <v>6</v>
      </c>
      <c r="B18" s="49" t="s">
        <v>134</v>
      </c>
      <c r="C18" s="55">
        <v>52536438</v>
      </c>
      <c r="D18" s="49" t="s">
        <v>115</v>
      </c>
      <c r="E18" s="49" t="str">
        <f>_xlfn.XLOOKUP(C18,[1]Hoja1!$B:$B,[1]Hoja1!$G:$G)</f>
        <v>DIRECCIÓN DE OTRAS PRESTACIONES</v>
      </c>
      <c r="F18" s="49" t="str">
        <f>_xlfn.XLOOKUP(C18,[1]Hoja1!$B:$B,[1]Hoja1!$F:$F)</f>
        <v>GESTOR DE OPERACIONES</v>
      </c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51">
        <f t="shared" si="0"/>
        <v>0</v>
      </c>
      <c r="U18" s="51">
        <f t="shared" si="1"/>
        <v>0</v>
      </c>
      <c r="V18" s="52">
        <f t="shared" si="2"/>
        <v>0</v>
      </c>
      <c r="W18" s="49" t="str">
        <f t="shared" si="4"/>
        <v>No certificado</v>
      </c>
      <c r="X18" s="49"/>
      <c r="Y18" s="49"/>
      <c r="Z18" s="54"/>
      <c r="AA18" s="49" t="str">
        <f t="shared" si="3"/>
        <v>No aprobado</v>
      </c>
    </row>
    <row r="19" spans="1:27" ht="14.4" x14ac:dyDescent="0.3">
      <c r="A19" s="49">
        <v>7</v>
      </c>
      <c r="B19" s="49" t="s">
        <v>135</v>
      </c>
      <c r="C19" s="55">
        <v>28977244</v>
      </c>
      <c r="D19" s="49" t="s">
        <v>115</v>
      </c>
      <c r="E19" s="49" t="str">
        <f>_xlfn.XLOOKUP(C19,[1]Hoja1!$B:$B,[1]Hoja1!$G:$G)</f>
        <v>OFICINA DE CONTROL INTERNO</v>
      </c>
      <c r="F19" s="49" t="str">
        <f>_xlfn.XLOOKUP(C19,[1]Hoja1!$B:$B,[1]Hoja1!$F:$F)</f>
        <v>GESTOR DE OPERACIONES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51">
        <f t="shared" si="0"/>
        <v>0</v>
      </c>
      <c r="U19" s="51">
        <f t="shared" si="1"/>
        <v>0</v>
      </c>
      <c r="V19" s="52">
        <f t="shared" si="2"/>
        <v>0</v>
      </c>
      <c r="W19" s="49" t="str">
        <f t="shared" si="4"/>
        <v>No certificado</v>
      </c>
      <c r="X19" s="49"/>
      <c r="Y19" s="49"/>
      <c r="Z19" s="54"/>
      <c r="AA19" s="49" t="str">
        <f t="shared" si="3"/>
        <v>No aprobado</v>
      </c>
    </row>
    <row r="20" spans="1:27" ht="55.2" x14ac:dyDescent="0.3">
      <c r="A20" s="49">
        <v>8</v>
      </c>
      <c r="B20" s="49" t="s">
        <v>136</v>
      </c>
      <c r="C20" s="55">
        <v>80152956</v>
      </c>
      <c r="D20" s="49" t="s">
        <v>115</v>
      </c>
      <c r="E20" s="49" t="str">
        <f>_xlfn.XLOOKUP(C20,[1]Hoja1!$B:$B,[1]Hoja1!$G:$G)</f>
        <v>DIRECCIÓN DE GESTIÓN DE TECNOLOGÍAS DE INFORMACIÓN Y COMUNICACIONES</v>
      </c>
      <c r="F20" s="49" t="str">
        <f>_xlfn.XLOOKUP(C20,[1]Hoja1!$B:$B,[1]Hoja1!$F:$F)</f>
        <v>GESTOR DE OPERACIONES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51">
        <f t="shared" si="0"/>
        <v>0</v>
      </c>
      <c r="U20" s="51">
        <f t="shared" si="1"/>
        <v>0</v>
      </c>
      <c r="V20" s="52">
        <f t="shared" si="2"/>
        <v>0</v>
      </c>
      <c r="W20" s="49" t="str">
        <f t="shared" si="4"/>
        <v>No certificado</v>
      </c>
      <c r="X20" s="49"/>
      <c r="Y20" s="49"/>
      <c r="Z20" s="54"/>
      <c r="AA20" s="49" t="str">
        <f t="shared" si="3"/>
        <v>No aprobado</v>
      </c>
    </row>
    <row r="21" spans="1:27" ht="41.4" x14ac:dyDescent="0.3">
      <c r="A21" s="49">
        <v>9</v>
      </c>
      <c r="B21" s="49" t="s">
        <v>436</v>
      </c>
      <c r="C21" s="55">
        <v>52353064</v>
      </c>
      <c r="D21" s="49" t="s">
        <v>115</v>
      </c>
      <c r="E21" s="49" t="str">
        <f>_xlfn.XLOOKUP(C21,[1]Hoja1!$B:$B,[1]Hoja1!$G:$G)</f>
        <v>SUBDIRECCIÓN DE LIQUIDACIONES DEL ASEGURAMIENTO</v>
      </c>
      <c r="F21" s="49" t="str">
        <f>_xlfn.XLOOKUP(C21,[1]Hoja1!$B:$B,[1]Hoja1!$F:$F)</f>
        <v>GESTOR DE OPERACIONES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51">
        <f t="shared" si="0"/>
        <v>0</v>
      </c>
      <c r="U21" s="51">
        <f t="shared" si="1"/>
        <v>0</v>
      </c>
      <c r="V21" s="52">
        <f t="shared" si="2"/>
        <v>0</v>
      </c>
      <c r="W21" s="49" t="str">
        <f t="shared" si="4"/>
        <v>No certificado</v>
      </c>
      <c r="X21" s="49"/>
      <c r="Y21" s="49"/>
      <c r="Z21" s="54"/>
      <c r="AA21" s="49" t="str">
        <f t="shared" si="3"/>
        <v>No aprobado</v>
      </c>
    </row>
    <row r="22" spans="1:27" ht="48.75" customHeight="1" x14ac:dyDescent="0.3">
      <c r="A22" s="142" t="s">
        <v>127</v>
      </c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4"/>
    </row>
  </sheetData>
  <mergeCells count="26">
    <mergeCell ref="A6:AA6"/>
    <mergeCell ref="A1:F4"/>
    <mergeCell ref="G1:U4"/>
    <mergeCell ref="V1:AA2"/>
    <mergeCell ref="V3:AA4"/>
    <mergeCell ref="A5:AA5"/>
    <mergeCell ref="T10:U10"/>
    <mergeCell ref="V10:W10"/>
    <mergeCell ref="Y10:AA10"/>
    <mergeCell ref="A7:AA7"/>
    <mergeCell ref="A8:AA8"/>
    <mergeCell ref="A9:D9"/>
    <mergeCell ref="E9:F9"/>
    <mergeCell ref="T9:W9"/>
    <mergeCell ref="X9:AA9"/>
    <mergeCell ref="G9:N9"/>
    <mergeCell ref="G10:N10"/>
    <mergeCell ref="O9:S9"/>
    <mergeCell ref="O10:S10"/>
    <mergeCell ref="A10:B10"/>
    <mergeCell ref="D10:E10"/>
    <mergeCell ref="A11:F11"/>
    <mergeCell ref="G11:S11"/>
    <mergeCell ref="T11:W11"/>
    <mergeCell ref="X11:AA11"/>
    <mergeCell ref="A22:AA22"/>
  </mergeCells>
  <dataValidations count="2">
    <dataValidation type="list" allowBlank="1" showErrorMessage="1" sqref="D13:D21" xr:uid="{CFC57E4D-A791-4FE1-BE86-1CAD7FAB76F6}">
      <formula1>"Contratista,Planta"</formula1>
    </dataValidation>
    <dataValidation allowBlank="1" showErrorMessage="1" sqref="C14:C21" xr:uid="{7A99186C-AA29-4A38-BF8F-1437EAFD785C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3359-DF14-45A9-89DB-E43488CFFC82}">
  <sheetPr>
    <tabColor rgb="FFFFFF00"/>
    <outlinePr summaryBelow="0" summaryRight="0"/>
  </sheetPr>
  <dimension ref="A1:AA29"/>
  <sheetViews>
    <sheetView topLeftCell="A8" workbookViewId="0">
      <selection activeCell="C13" sqref="C13"/>
    </sheetView>
  </sheetViews>
  <sheetFormatPr baseColWidth="10" defaultColWidth="12.5546875" defaultRowHeight="15.75" customHeight="1" x14ac:dyDescent="0.3"/>
  <cols>
    <col min="1" max="1" width="12.5546875" style="44"/>
    <col min="2" max="2" width="38.109375" style="44" customWidth="1"/>
    <col min="3" max="3" width="15.88671875" style="44" customWidth="1"/>
    <col min="4" max="4" width="15.33203125" style="44" customWidth="1"/>
    <col min="5" max="6" width="25.5546875" style="44" customWidth="1"/>
    <col min="7" max="19" width="12.5546875" style="44"/>
    <col min="20" max="20" width="15.33203125" style="44" customWidth="1"/>
    <col min="21" max="21" width="11.33203125" style="44" customWidth="1"/>
    <col min="22" max="22" width="13.88671875" style="44" customWidth="1"/>
    <col min="23" max="23" width="14.33203125" style="44" customWidth="1"/>
    <col min="24" max="16384" width="12.5546875" style="44"/>
  </cols>
  <sheetData>
    <row r="1" spans="1:27" ht="14.4" x14ac:dyDescent="0.3">
      <c r="A1" s="156" t="s">
        <v>80</v>
      </c>
      <c r="B1" s="157"/>
      <c r="C1" s="157"/>
      <c r="D1" s="157"/>
      <c r="E1" s="157"/>
      <c r="F1" s="157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2"/>
      <c r="V1" s="156" t="s">
        <v>81</v>
      </c>
      <c r="W1" s="157"/>
      <c r="X1" s="157"/>
      <c r="Y1" s="157"/>
      <c r="Z1" s="157"/>
      <c r="AA1" s="167"/>
    </row>
    <row r="2" spans="1:27" ht="14.4" x14ac:dyDescent="0.3">
      <c r="A2" s="158"/>
      <c r="B2" s="159"/>
      <c r="C2" s="159"/>
      <c r="D2" s="159"/>
      <c r="E2" s="159"/>
      <c r="F2" s="159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4"/>
      <c r="V2" s="160"/>
      <c r="W2" s="148"/>
      <c r="X2" s="148"/>
      <c r="Y2" s="148"/>
      <c r="Z2" s="148"/>
      <c r="AA2" s="168"/>
    </row>
    <row r="3" spans="1:27" ht="14.4" x14ac:dyDescent="0.3">
      <c r="A3" s="158"/>
      <c r="B3" s="159"/>
      <c r="C3" s="159"/>
      <c r="D3" s="159"/>
      <c r="E3" s="159"/>
      <c r="F3" s="159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4"/>
      <c r="V3" s="156" t="s">
        <v>82</v>
      </c>
      <c r="W3" s="157"/>
      <c r="X3" s="157"/>
      <c r="Y3" s="157"/>
      <c r="Z3" s="157"/>
      <c r="AA3" s="167"/>
    </row>
    <row r="4" spans="1:27" ht="14.4" x14ac:dyDescent="0.3">
      <c r="A4" s="160"/>
      <c r="B4" s="148"/>
      <c r="C4" s="148"/>
      <c r="D4" s="148"/>
      <c r="E4" s="148"/>
      <c r="F4" s="148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6"/>
      <c r="V4" s="160"/>
      <c r="W4" s="148"/>
      <c r="X4" s="148"/>
      <c r="Y4" s="148"/>
      <c r="Z4" s="148"/>
      <c r="AA4" s="168"/>
    </row>
    <row r="5" spans="1:27" ht="22.5" customHeight="1" x14ac:dyDescent="0.3">
      <c r="A5" s="155" t="s">
        <v>83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4"/>
    </row>
    <row r="6" spans="1:27" ht="22.5" customHeight="1" x14ac:dyDescent="0.3">
      <c r="A6" s="155" t="s">
        <v>84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4"/>
    </row>
    <row r="7" spans="1:27" ht="14.4" x14ac:dyDescent="0.3">
      <c r="A7" s="145" t="s">
        <v>85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4"/>
    </row>
    <row r="8" spans="1:27" ht="33.75" customHeight="1" x14ac:dyDescent="0.3">
      <c r="A8" s="150" t="s">
        <v>128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57"/>
      <c r="P8" s="157"/>
      <c r="Q8" s="157"/>
      <c r="R8" s="157"/>
      <c r="S8" s="157"/>
      <c r="T8" s="143"/>
      <c r="U8" s="143"/>
      <c r="V8" s="143"/>
      <c r="W8" s="143"/>
      <c r="X8" s="143"/>
      <c r="Y8" s="143"/>
      <c r="Z8" s="143"/>
      <c r="AA8" s="144"/>
    </row>
    <row r="9" spans="1:27" ht="33.75" customHeight="1" x14ac:dyDescent="0.3">
      <c r="A9" s="145" t="s">
        <v>87</v>
      </c>
      <c r="B9" s="143"/>
      <c r="C9" s="143"/>
      <c r="D9" s="144"/>
      <c r="E9" s="150" t="str">
        <f>'Formato Cronograma'!F6</f>
        <v>Diego Leon Reyes</v>
      </c>
      <c r="F9" s="151"/>
      <c r="G9" s="145" t="s">
        <v>88</v>
      </c>
      <c r="H9" s="149"/>
      <c r="I9" s="149"/>
      <c r="J9" s="149"/>
      <c r="K9" s="149"/>
      <c r="L9" s="149"/>
      <c r="M9" s="149"/>
      <c r="N9" s="149"/>
      <c r="O9" s="169" t="s">
        <v>89</v>
      </c>
      <c r="P9" s="169"/>
      <c r="Q9" s="169"/>
      <c r="R9" s="169"/>
      <c r="S9" s="169"/>
      <c r="T9" s="149" t="s">
        <v>90</v>
      </c>
      <c r="U9" s="143"/>
      <c r="V9" s="143"/>
      <c r="W9" s="144"/>
      <c r="X9" s="152" t="s">
        <v>91</v>
      </c>
      <c r="Y9" s="153"/>
      <c r="Z9" s="153"/>
      <c r="AA9" s="154"/>
    </row>
    <row r="10" spans="1:27" ht="33.75" customHeight="1" x14ac:dyDescent="0.3">
      <c r="A10" s="145" t="s">
        <v>92</v>
      </c>
      <c r="B10" s="144"/>
      <c r="C10" s="46">
        <f>'Formato Cronograma'!K6</f>
        <v>46252</v>
      </c>
      <c r="D10" s="145" t="s">
        <v>93</v>
      </c>
      <c r="E10" s="171"/>
      <c r="F10" s="48">
        <f>'Formato Cronograma'!L6</f>
        <v>46308</v>
      </c>
      <c r="G10" s="147">
        <v>5</v>
      </c>
      <c r="H10" s="146"/>
      <c r="I10" s="146"/>
      <c r="J10" s="146"/>
      <c r="K10" s="146"/>
      <c r="L10" s="146"/>
      <c r="M10" s="146"/>
      <c r="N10" s="146"/>
      <c r="O10" s="170">
        <v>8</v>
      </c>
      <c r="P10" s="170"/>
      <c r="Q10" s="170"/>
      <c r="R10" s="170"/>
      <c r="S10" s="170"/>
      <c r="T10" s="149" t="s">
        <v>129</v>
      </c>
      <c r="U10" s="144"/>
      <c r="V10" s="147">
        <v>32</v>
      </c>
      <c r="W10" s="144"/>
      <c r="X10" s="45" t="s">
        <v>95</v>
      </c>
      <c r="Y10" s="147"/>
      <c r="Z10" s="143"/>
      <c r="AA10" s="144"/>
    </row>
    <row r="11" spans="1:27" ht="14.4" x14ac:dyDescent="0.3">
      <c r="A11" s="145" t="s">
        <v>96</v>
      </c>
      <c r="B11" s="143"/>
      <c r="C11" s="143"/>
      <c r="D11" s="143"/>
      <c r="E11" s="143"/>
      <c r="F11" s="148"/>
      <c r="G11" s="145" t="s">
        <v>97</v>
      </c>
      <c r="H11" s="143"/>
      <c r="I11" s="143"/>
      <c r="J11" s="143"/>
      <c r="K11" s="143"/>
      <c r="L11" s="143"/>
      <c r="M11" s="143"/>
      <c r="N11" s="143"/>
      <c r="O11" s="148"/>
      <c r="P11" s="148"/>
      <c r="Q11" s="148"/>
      <c r="R11" s="148"/>
      <c r="S11" s="148"/>
      <c r="T11" s="145" t="s">
        <v>98</v>
      </c>
      <c r="U11" s="143"/>
      <c r="V11" s="143"/>
      <c r="W11" s="144"/>
      <c r="X11" s="145" t="s">
        <v>99</v>
      </c>
      <c r="Y11" s="143"/>
      <c r="Z11" s="143"/>
      <c r="AA11" s="144"/>
    </row>
    <row r="12" spans="1:27" ht="41.4" x14ac:dyDescent="0.3">
      <c r="A12" s="47" t="s">
        <v>100</v>
      </c>
      <c r="B12" s="47" t="s">
        <v>101</v>
      </c>
      <c r="C12" s="47" t="s">
        <v>102</v>
      </c>
      <c r="D12" s="47" t="s">
        <v>103</v>
      </c>
      <c r="E12" s="47" t="s">
        <v>104</v>
      </c>
      <c r="F12" s="47" t="s">
        <v>105</v>
      </c>
      <c r="G12" s="47">
        <v>1</v>
      </c>
      <c r="H12" s="47">
        <v>2</v>
      </c>
      <c r="I12" s="47">
        <v>3</v>
      </c>
      <c r="J12" s="47">
        <v>4</v>
      </c>
      <c r="K12" s="47">
        <v>5</v>
      </c>
      <c r="L12" s="47">
        <v>6</v>
      </c>
      <c r="M12" s="47">
        <v>7</v>
      </c>
      <c r="N12" s="47">
        <v>8</v>
      </c>
      <c r="O12" s="47">
        <v>9</v>
      </c>
      <c r="P12" s="47">
        <v>10</v>
      </c>
      <c r="Q12" s="47">
        <v>11</v>
      </c>
      <c r="R12" s="47">
        <v>12</v>
      </c>
      <c r="S12" s="47">
        <v>13</v>
      </c>
      <c r="T12" s="47" t="s">
        <v>106</v>
      </c>
      <c r="U12" s="47" t="s">
        <v>107</v>
      </c>
      <c r="V12" s="47" t="s">
        <v>108</v>
      </c>
      <c r="W12" s="47" t="s">
        <v>109</v>
      </c>
      <c r="X12" s="47" t="s">
        <v>110</v>
      </c>
      <c r="Y12" s="47" t="s">
        <v>111</v>
      </c>
      <c r="Z12" s="47" t="s">
        <v>112</v>
      </c>
      <c r="AA12" s="47" t="s">
        <v>113</v>
      </c>
    </row>
    <row r="13" spans="1:27" ht="14.4" x14ac:dyDescent="0.3">
      <c r="A13" s="49">
        <v>1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51" t="str">
        <f t="shared" ref="T13:T28" si="0">IF(B13&lt;&gt;"",SUM(G13:S13),"")</f>
        <v/>
      </c>
      <c r="U13" s="51" t="str">
        <f t="shared" ref="U13:U28" si="1">IF(B13&lt;&gt;"",COUNTA(G13:S13),"")</f>
        <v/>
      </c>
      <c r="V13" s="52" t="str">
        <f t="shared" ref="V13:V28" si="2">IF(B13&lt;&gt;"",SUM(G13:S13)/40,"")</f>
        <v/>
      </c>
      <c r="W13" s="49" t="str">
        <f>IF(V13="","",IF(V13&gt;=80%,"Certificado","No certificado"))</f>
        <v/>
      </c>
      <c r="X13" s="49"/>
      <c r="Y13" s="49"/>
      <c r="Z13" s="54"/>
      <c r="AA13" s="49" t="str">
        <f t="shared" ref="AA13:AA28" si="3">IF(B13="","",IF(AND(V13&gt;=0.8,Z13&gt;=3),"Aprobado","No aprobado"))</f>
        <v/>
      </c>
    </row>
    <row r="14" spans="1:27" ht="14.4" x14ac:dyDescent="0.3">
      <c r="A14" s="49">
        <v>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51" t="str">
        <f t="shared" si="0"/>
        <v/>
      </c>
      <c r="U14" s="51" t="str">
        <f t="shared" si="1"/>
        <v/>
      </c>
      <c r="V14" s="52" t="str">
        <f t="shared" si="2"/>
        <v/>
      </c>
      <c r="W14" s="49" t="str">
        <f t="shared" ref="W14:W28" si="4">IF(V14="","",IF(V14&gt;=80%,"Certificado","No certificado"))</f>
        <v/>
      </c>
      <c r="X14" s="49"/>
      <c r="Y14" s="49"/>
      <c r="Z14" s="54"/>
      <c r="AA14" s="49" t="str">
        <f t="shared" si="3"/>
        <v/>
      </c>
    </row>
    <row r="15" spans="1:27" ht="14.4" x14ac:dyDescent="0.3">
      <c r="A15" s="49">
        <v>3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51" t="str">
        <f t="shared" si="0"/>
        <v/>
      </c>
      <c r="U15" s="51" t="str">
        <f t="shared" si="1"/>
        <v/>
      </c>
      <c r="V15" s="52" t="str">
        <f t="shared" si="2"/>
        <v/>
      </c>
      <c r="W15" s="49" t="str">
        <f t="shared" si="4"/>
        <v/>
      </c>
      <c r="X15" s="49"/>
      <c r="Y15" s="49"/>
      <c r="Z15" s="54"/>
      <c r="AA15" s="49" t="str">
        <f t="shared" si="3"/>
        <v/>
      </c>
    </row>
    <row r="16" spans="1:27" ht="14.4" x14ac:dyDescent="0.3">
      <c r="A16" s="49">
        <v>4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51" t="str">
        <f t="shared" si="0"/>
        <v/>
      </c>
      <c r="U16" s="51" t="str">
        <f t="shared" si="1"/>
        <v/>
      </c>
      <c r="V16" s="52" t="str">
        <f t="shared" si="2"/>
        <v/>
      </c>
      <c r="W16" s="49" t="str">
        <f t="shared" si="4"/>
        <v/>
      </c>
      <c r="X16" s="49"/>
      <c r="Y16" s="49"/>
      <c r="Z16" s="54"/>
      <c r="AA16" s="49" t="str">
        <f t="shared" si="3"/>
        <v/>
      </c>
    </row>
    <row r="17" spans="1:27" ht="14.4" x14ac:dyDescent="0.3">
      <c r="A17" s="49">
        <v>5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51" t="str">
        <f t="shared" si="0"/>
        <v/>
      </c>
      <c r="U17" s="51" t="str">
        <f t="shared" si="1"/>
        <v/>
      </c>
      <c r="V17" s="52" t="str">
        <f t="shared" si="2"/>
        <v/>
      </c>
      <c r="W17" s="49" t="str">
        <f t="shared" si="4"/>
        <v/>
      </c>
      <c r="X17" s="49"/>
      <c r="Y17" s="49"/>
      <c r="Z17" s="54"/>
      <c r="AA17" s="49" t="str">
        <f t="shared" si="3"/>
        <v/>
      </c>
    </row>
    <row r="18" spans="1:27" ht="14.4" x14ac:dyDescent="0.3">
      <c r="A18" s="49">
        <v>6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51" t="str">
        <f t="shared" si="0"/>
        <v/>
      </c>
      <c r="U18" s="51" t="str">
        <f t="shared" si="1"/>
        <v/>
      </c>
      <c r="V18" s="52" t="str">
        <f t="shared" si="2"/>
        <v/>
      </c>
      <c r="W18" s="49" t="str">
        <f t="shared" si="4"/>
        <v/>
      </c>
      <c r="X18" s="49"/>
      <c r="Y18" s="49"/>
      <c r="Z18" s="54"/>
      <c r="AA18" s="49" t="str">
        <f t="shared" si="3"/>
        <v/>
      </c>
    </row>
    <row r="19" spans="1:27" ht="14.4" x14ac:dyDescent="0.3">
      <c r="A19" s="49">
        <v>7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51" t="str">
        <f t="shared" si="0"/>
        <v/>
      </c>
      <c r="U19" s="51" t="str">
        <f t="shared" si="1"/>
        <v/>
      </c>
      <c r="V19" s="52" t="str">
        <f t="shared" si="2"/>
        <v/>
      </c>
      <c r="W19" s="49" t="str">
        <f t="shared" si="4"/>
        <v/>
      </c>
      <c r="X19" s="49"/>
      <c r="Y19" s="49"/>
      <c r="Z19" s="54"/>
      <c r="AA19" s="49" t="str">
        <f t="shared" si="3"/>
        <v/>
      </c>
    </row>
    <row r="20" spans="1:27" ht="14.4" x14ac:dyDescent="0.3">
      <c r="A20" s="49">
        <v>8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51" t="str">
        <f t="shared" si="0"/>
        <v/>
      </c>
      <c r="U20" s="51" t="str">
        <f t="shared" si="1"/>
        <v/>
      </c>
      <c r="V20" s="52" t="str">
        <f t="shared" si="2"/>
        <v/>
      </c>
      <c r="W20" s="49" t="str">
        <f t="shared" si="4"/>
        <v/>
      </c>
      <c r="X20" s="49"/>
      <c r="Y20" s="49"/>
      <c r="Z20" s="54"/>
      <c r="AA20" s="49" t="str">
        <f t="shared" si="3"/>
        <v/>
      </c>
    </row>
    <row r="21" spans="1:27" ht="14.4" x14ac:dyDescent="0.3">
      <c r="A21" s="49">
        <v>9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51" t="str">
        <f t="shared" si="0"/>
        <v/>
      </c>
      <c r="U21" s="51" t="str">
        <f t="shared" si="1"/>
        <v/>
      </c>
      <c r="V21" s="52" t="str">
        <f t="shared" si="2"/>
        <v/>
      </c>
      <c r="W21" s="49" t="str">
        <f t="shared" si="4"/>
        <v/>
      </c>
      <c r="X21" s="49"/>
      <c r="Y21" s="49"/>
      <c r="Z21" s="54"/>
      <c r="AA21" s="49" t="str">
        <f t="shared" si="3"/>
        <v/>
      </c>
    </row>
    <row r="22" spans="1:27" ht="14.4" x14ac:dyDescent="0.3">
      <c r="A22" s="49">
        <v>10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51" t="str">
        <f t="shared" si="0"/>
        <v/>
      </c>
      <c r="U22" s="51" t="str">
        <f t="shared" si="1"/>
        <v/>
      </c>
      <c r="V22" s="52" t="str">
        <f t="shared" si="2"/>
        <v/>
      </c>
      <c r="W22" s="49" t="str">
        <f t="shared" si="4"/>
        <v/>
      </c>
      <c r="X22" s="49"/>
      <c r="Y22" s="49"/>
      <c r="Z22" s="54"/>
      <c r="AA22" s="49" t="str">
        <f t="shared" si="3"/>
        <v/>
      </c>
    </row>
    <row r="23" spans="1:27" ht="14.4" x14ac:dyDescent="0.3">
      <c r="A23" s="49">
        <v>11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51" t="str">
        <f t="shared" si="0"/>
        <v/>
      </c>
      <c r="U23" s="51" t="str">
        <f t="shared" si="1"/>
        <v/>
      </c>
      <c r="V23" s="52" t="str">
        <f t="shared" si="2"/>
        <v/>
      </c>
      <c r="W23" s="49" t="str">
        <f t="shared" si="4"/>
        <v/>
      </c>
      <c r="X23" s="49"/>
      <c r="Y23" s="49"/>
      <c r="Z23" s="54"/>
      <c r="AA23" s="49" t="str">
        <f t="shared" si="3"/>
        <v/>
      </c>
    </row>
    <row r="24" spans="1:27" ht="14.4" x14ac:dyDescent="0.3">
      <c r="A24" s="49">
        <v>12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51" t="str">
        <f t="shared" si="0"/>
        <v/>
      </c>
      <c r="U24" s="51" t="str">
        <f t="shared" si="1"/>
        <v/>
      </c>
      <c r="V24" s="52" t="str">
        <f t="shared" si="2"/>
        <v/>
      </c>
      <c r="W24" s="49" t="str">
        <f t="shared" si="4"/>
        <v/>
      </c>
      <c r="X24" s="49"/>
      <c r="Y24" s="49"/>
      <c r="Z24" s="54"/>
      <c r="AA24" s="49" t="str">
        <f t="shared" si="3"/>
        <v/>
      </c>
    </row>
    <row r="25" spans="1:27" ht="14.4" x14ac:dyDescent="0.3">
      <c r="A25" s="49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51" t="str">
        <f t="shared" si="0"/>
        <v/>
      </c>
      <c r="U25" s="51" t="str">
        <f t="shared" si="1"/>
        <v/>
      </c>
      <c r="V25" s="52" t="str">
        <f t="shared" si="2"/>
        <v/>
      </c>
      <c r="W25" s="49" t="str">
        <f t="shared" si="4"/>
        <v/>
      </c>
      <c r="X25" s="49"/>
      <c r="Y25" s="49"/>
      <c r="Z25" s="54"/>
      <c r="AA25" s="49" t="str">
        <f t="shared" si="3"/>
        <v/>
      </c>
    </row>
    <row r="26" spans="1:27" ht="14.4" x14ac:dyDescent="0.3">
      <c r="A26" s="49">
        <v>14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51" t="str">
        <f t="shared" si="0"/>
        <v/>
      </c>
      <c r="U26" s="51" t="str">
        <f t="shared" si="1"/>
        <v/>
      </c>
      <c r="V26" s="52" t="str">
        <f t="shared" si="2"/>
        <v/>
      </c>
      <c r="W26" s="49" t="str">
        <f t="shared" si="4"/>
        <v/>
      </c>
      <c r="X26" s="49"/>
      <c r="Y26" s="49"/>
      <c r="Z26" s="54"/>
      <c r="AA26" s="49" t="str">
        <f t="shared" si="3"/>
        <v/>
      </c>
    </row>
    <row r="27" spans="1:27" ht="14.4" x14ac:dyDescent="0.3">
      <c r="A27" s="49">
        <v>15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51" t="str">
        <f t="shared" si="0"/>
        <v/>
      </c>
      <c r="U27" s="51" t="str">
        <f t="shared" si="1"/>
        <v/>
      </c>
      <c r="V27" s="52" t="str">
        <f t="shared" si="2"/>
        <v/>
      </c>
      <c r="W27" s="49" t="str">
        <f t="shared" si="4"/>
        <v/>
      </c>
      <c r="X27" s="49"/>
      <c r="Y27" s="49"/>
      <c r="Z27" s="54"/>
      <c r="AA27" s="49" t="str">
        <f t="shared" si="3"/>
        <v/>
      </c>
    </row>
    <row r="28" spans="1:27" ht="14.4" x14ac:dyDescent="0.3">
      <c r="A28" s="49">
        <v>16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51" t="str">
        <f t="shared" si="0"/>
        <v/>
      </c>
      <c r="U28" s="51" t="str">
        <f t="shared" si="1"/>
        <v/>
      </c>
      <c r="V28" s="52" t="str">
        <f t="shared" si="2"/>
        <v/>
      </c>
      <c r="W28" s="49" t="str">
        <f t="shared" si="4"/>
        <v/>
      </c>
      <c r="X28" s="49"/>
      <c r="Y28" s="49"/>
      <c r="Z28" s="54"/>
      <c r="AA28" s="49" t="str">
        <f t="shared" si="3"/>
        <v/>
      </c>
    </row>
    <row r="29" spans="1:27" ht="48.75" customHeight="1" x14ac:dyDescent="0.3">
      <c r="A29" s="142" t="s">
        <v>127</v>
      </c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4"/>
    </row>
  </sheetData>
  <mergeCells count="26">
    <mergeCell ref="A6:AA6"/>
    <mergeCell ref="A1:F4"/>
    <mergeCell ref="G1:U4"/>
    <mergeCell ref="V1:AA2"/>
    <mergeCell ref="V3:AA4"/>
    <mergeCell ref="A5:AA5"/>
    <mergeCell ref="A7:AA7"/>
    <mergeCell ref="A8:AA8"/>
    <mergeCell ref="A9:D9"/>
    <mergeCell ref="E9:F9"/>
    <mergeCell ref="G9:N9"/>
    <mergeCell ref="O9:S9"/>
    <mergeCell ref="T9:W9"/>
    <mergeCell ref="X9:AA9"/>
    <mergeCell ref="A29:AA29"/>
    <mergeCell ref="A10:B10"/>
    <mergeCell ref="G10:N10"/>
    <mergeCell ref="O10:S10"/>
    <mergeCell ref="T10:U10"/>
    <mergeCell ref="V10:W10"/>
    <mergeCell ref="Y10:AA10"/>
    <mergeCell ref="A11:F11"/>
    <mergeCell ref="G11:S11"/>
    <mergeCell ref="T11:W11"/>
    <mergeCell ref="X11:AA11"/>
    <mergeCell ref="D10:E10"/>
  </mergeCells>
  <dataValidations count="1">
    <dataValidation type="list" allowBlank="1" showErrorMessage="1" sqref="C13:D28" xr:uid="{D06FD5DE-C408-472E-B0A1-3B4487975F45}">
      <formula1>"Contratista,Planta"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9577-FF42-44CE-A734-00C10A8B5E91}">
  <sheetPr>
    <tabColor rgb="FF00B050"/>
    <outlinePr summaryBelow="0" summaryRight="0"/>
  </sheetPr>
  <dimension ref="A1:BH32"/>
  <sheetViews>
    <sheetView topLeftCell="A10" workbookViewId="0">
      <selection activeCell="F13" sqref="F13:F31"/>
    </sheetView>
  </sheetViews>
  <sheetFormatPr baseColWidth="10" defaultColWidth="12.5546875" defaultRowHeight="15.75" customHeight="1" x14ac:dyDescent="0.3"/>
  <cols>
    <col min="1" max="1" width="12.5546875" style="44"/>
    <col min="2" max="2" width="38.109375" style="44" customWidth="1"/>
    <col min="3" max="3" width="15.88671875" style="44" customWidth="1"/>
    <col min="4" max="4" width="15.33203125" style="44" customWidth="1"/>
    <col min="5" max="6" width="25.5546875" style="44" customWidth="1"/>
    <col min="7" max="21" width="12.5546875" style="44"/>
    <col min="22" max="22" width="15.33203125" style="44" customWidth="1"/>
    <col min="23" max="23" width="11.33203125" style="44" customWidth="1"/>
    <col min="24" max="24" width="13.88671875" style="44" customWidth="1"/>
    <col min="25" max="25" width="14.33203125" style="44" customWidth="1"/>
    <col min="26" max="16384" width="12.5546875" style="44"/>
  </cols>
  <sheetData>
    <row r="1" spans="1:60" ht="14.4" x14ac:dyDescent="0.3">
      <c r="A1" s="156" t="s">
        <v>80</v>
      </c>
      <c r="B1" s="157"/>
      <c r="C1" s="157"/>
      <c r="D1" s="157"/>
      <c r="E1" s="157"/>
      <c r="F1" s="157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2"/>
      <c r="X1" s="156" t="s">
        <v>81</v>
      </c>
      <c r="Y1" s="157"/>
      <c r="Z1" s="157"/>
      <c r="AA1" s="157"/>
      <c r="AB1" s="157"/>
      <c r="AC1" s="167"/>
      <c r="AD1" s="44" t="s">
        <v>137</v>
      </c>
    </row>
    <row r="2" spans="1:60" ht="14.4" x14ac:dyDescent="0.3">
      <c r="A2" s="158"/>
      <c r="B2" s="159"/>
      <c r="C2" s="159"/>
      <c r="D2" s="159"/>
      <c r="E2" s="159"/>
      <c r="F2" s="159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4"/>
      <c r="X2" s="160"/>
      <c r="Y2" s="148"/>
      <c r="Z2" s="148"/>
      <c r="AA2" s="148"/>
      <c r="AB2" s="148"/>
      <c r="AC2" s="168"/>
      <c r="AD2" s="44">
        <v>4</v>
      </c>
    </row>
    <row r="3" spans="1:60" ht="14.4" x14ac:dyDescent="0.3">
      <c r="A3" s="158"/>
      <c r="B3" s="159"/>
      <c r="C3" s="159"/>
      <c r="D3" s="159"/>
      <c r="E3" s="159"/>
      <c r="F3" s="159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4"/>
      <c r="X3" s="156" t="s">
        <v>82</v>
      </c>
      <c r="Y3" s="157"/>
      <c r="Z3" s="157"/>
      <c r="AA3" s="157"/>
      <c r="AB3" s="157"/>
      <c r="AC3" s="167"/>
      <c r="AD3" s="44">
        <v>5</v>
      </c>
    </row>
    <row r="4" spans="1:60" ht="14.4" x14ac:dyDescent="0.3">
      <c r="A4" s="160"/>
      <c r="B4" s="148"/>
      <c r="C4" s="148"/>
      <c r="D4" s="148"/>
      <c r="E4" s="148"/>
      <c r="F4" s="148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6"/>
      <c r="X4" s="160"/>
      <c r="Y4" s="148"/>
      <c r="Z4" s="148"/>
      <c r="AA4" s="148"/>
      <c r="AB4" s="148"/>
      <c r="AC4" s="168"/>
    </row>
    <row r="5" spans="1:60" ht="22.5" customHeight="1" x14ac:dyDescent="0.3">
      <c r="A5" s="155" t="s">
        <v>83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4"/>
    </row>
    <row r="6" spans="1:60" ht="22.5" customHeight="1" x14ac:dyDescent="0.3">
      <c r="A6" s="155" t="s">
        <v>84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4"/>
    </row>
    <row r="7" spans="1:60" ht="14.4" x14ac:dyDescent="0.3">
      <c r="A7" s="145" t="s">
        <v>85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4"/>
    </row>
    <row r="8" spans="1:60" ht="33.75" customHeight="1" x14ac:dyDescent="0.3">
      <c r="A8" s="150" t="s">
        <v>138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57"/>
      <c r="P8" s="157"/>
      <c r="Q8" s="157"/>
      <c r="R8" s="157"/>
      <c r="S8" s="157"/>
      <c r="T8" s="157"/>
      <c r="U8" s="157"/>
      <c r="V8" s="143"/>
      <c r="W8" s="143"/>
      <c r="X8" s="143"/>
      <c r="Y8" s="143"/>
      <c r="Z8" s="143"/>
      <c r="AA8" s="143"/>
      <c r="AB8" s="143"/>
      <c r="AC8" s="144"/>
    </row>
    <row r="9" spans="1:60" ht="72.75" customHeight="1" x14ac:dyDescent="0.3">
      <c r="A9" s="145" t="s">
        <v>87</v>
      </c>
      <c r="B9" s="143"/>
      <c r="C9" s="143"/>
      <c r="D9" s="144"/>
      <c r="E9" s="150" t="str">
        <f>'Formato Cronograma'!F7</f>
        <v>Docente principal: 
- Estefania Pisciotti Blanco
Conferencistas invitados:
- Paul Pulido Pachón</v>
      </c>
      <c r="F9" s="151"/>
      <c r="G9" s="145" t="s">
        <v>88</v>
      </c>
      <c r="H9" s="149"/>
      <c r="I9" s="149"/>
      <c r="J9" s="149"/>
      <c r="K9" s="149"/>
      <c r="L9" s="149"/>
      <c r="M9" s="149"/>
      <c r="N9" s="149"/>
      <c r="O9" s="169" t="s">
        <v>89</v>
      </c>
      <c r="P9" s="169"/>
      <c r="Q9" s="169"/>
      <c r="R9" s="169"/>
      <c r="S9" s="169"/>
      <c r="T9" s="169"/>
      <c r="U9" s="169"/>
      <c r="V9" s="149" t="s">
        <v>90</v>
      </c>
      <c r="W9" s="143"/>
      <c r="X9" s="143"/>
      <c r="Y9" s="144"/>
      <c r="Z9" s="152" t="s">
        <v>91</v>
      </c>
      <c r="AA9" s="153"/>
      <c r="AB9" s="153"/>
      <c r="AC9" s="154"/>
    </row>
    <row r="10" spans="1:60" ht="33.75" customHeight="1" x14ac:dyDescent="0.3">
      <c r="A10" s="145" t="s">
        <v>92</v>
      </c>
      <c r="B10" s="144"/>
      <c r="C10" s="46">
        <f>'Formato Cronograma'!K7</f>
        <v>46162</v>
      </c>
      <c r="D10" s="145" t="s">
        <v>93</v>
      </c>
      <c r="E10" s="171"/>
      <c r="F10" s="48">
        <f>'Formato Cronograma'!L7</f>
        <v>46220</v>
      </c>
      <c r="G10" s="147">
        <v>2</v>
      </c>
      <c r="H10" s="146"/>
      <c r="I10" s="146"/>
      <c r="J10" s="146"/>
      <c r="K10" s="146"/>
      <c r="L10" s="146"/>
      <c r="M10" s="146"/>
      <c r="N10" s="146"/>
      <c r="O10" s="170">
        <v>13</v>
      </c>
      <c r="P10" s="170"/>
      <c r="Q10" s="170"/>
      <c r="R10" s="170"/>
      <c r="S10" s="170"/>
      <c r="T10" s="170"/>
      <c r="U10" s="170"/>
      <c r="V10" s="149" t="s">
        <v>129</v>
      </c>
      <c r="W10" s="144"/>
      <c r="X10" s="147">
        <v>32</v>
      </c>
      <c r="Y10" s="144"/>
      <c r="Z10" s="45" t="s">
        <v>95</v>
      </c>
      <c r="AA10" s="147">
        <v>62738</v>
      </c>
      <c r="AB10" s="143"/>
      <c r="AC10" s="144"/>
      <c r="AD10" s="172" t="s">
        <v>139</v>
      </c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/>
      <c r="BH10" s="172"/>
    </row>
    <row r="11" spans="1:60" ht="15" customHeight="1" x14ac:dyDescent="0.3">
      <c r="A11" s="145" t="s">
        <v>96</v>
      </c>
      <c r="B11" s="143"/>
      <c r="C11" s="143"/>
      <c r="D11" s="143"/>
      <c r="E11" s="143"/>
      <c r="F11" s="148"/>
      <c r="G11" s="145" t="s">
        <v>97</v>
      </c>
      <c r="H11" s="143"/>
      <c r="I11" s="143"/>
      <c r="J11" s="143"/>
      <c r="K11" s="143"/>
      <c r="L11" s="143"/>
      <c r="M11" s="143"/>
      <c r="N11" s="143"/>
      <c r="O11" s="148"/>
      <c r="P11" s="148"/>
      <c r="Q11" s="148"/>
      <c r="R11" s="148"/>
      <c r="S11" s="148"/>
      <c r="T11" s="148"/>
      <c r="U11" s="148"/>
      <c r="V11" s="145" t="s">
        <v>98</v>
      </c>
      <c r="W11" s="143"/>
      <c r="X11" s="143"/>
      <c r="Y11" s="144"/>
      <c r="Z11" s="145" t="s">
        <v>99</v>
      </c>
      <c r="AA11" s="143"/>
      <c r="AB11" s="143"/>
      <c r="AC11" s="144"/>
      <c r="AD11" s="173" t="s">
        <v>140</v>
      </c>
      <c r="AE11" s="174"/>
      <c r="AF11" s="174"/>
      <c r="AG11" s="174"/>
      <c r="AH11" s="174"/>
      <c r="AI11" s="175"/>
      <c r="AJ11" s="173" t="s">
        <v>141</v>
      </c>
      <c r="AK11" s="174"/>
      <c r="AL11" s="174"/>
      <c r="AM11" s="174"/>
      <c r="AN11" s="174"/>
      <c r="AO11" s="175"/>
      <c r="AP11" s="173" t="s">
        <v>142</v>
      </c>
      <c r="AQ11" s="174"/>
      <c r="AR11" s="175"/>
      <c r="AS11" s="173" t="s">
        <v>143</v>
      </c>
      <c r="AT11" s="174"/>
      <c r="AU11" s="174"/>
      <c r="AV11" s="174"/>
      <c r="AW11" s="174"/>
      <c r="AX11" s="174"/>
      <c r="AY11" s="174"/>
      <c r="AZ11" s="174"/>
      <c r="BA11" s="174"/>
      <c r="BB11" s="175"/>
      <c r="BC11" s="173" t="s">
        <v>144</v>
      </c>
      <c r="BD11" s="174"/>
      <c r="BE11" s="174"/>
      <c r="BF11" s="174"/>
      <c r="BG11" s="175"/>
      <c r="BH11" s="98" t="s">
        <v>145</v>
      </c>
    </row>
    <row r="12" spans="1:60" ht="151.80000000000001" x14ac:dyDescent="0.3">
      <c r="A12" s="120" t="s">
        <v>100</v>
      </c>
      <c r="B12" s="120" t="s">
        <v>101</v>
      </c>
      <c r="C12" s="120" t="s">
        <v>102</v>
      </c>
      <c r="D12" s="120" t="s">
        <v>103</v>
      </c>
      <c r="E12" s="120" t="s">
        <v>104</v>
      </c>
      <c r="F12" s="120" t="s">
        <v>105</v>
      </c>
      <c r="G12" s="120">
        <v>1</v>
      </c>
      <c r="H12" s="120">
        <v>2</v>
      </c>
      <c r="I12" s="120">
        <v>3</v>
      </c>
      <c r="J12" s="120">
        <v>4</v>
      </c>
      <c r="K12" s="120">
        <v>5</v>
      </c>
      <c r="L12" s="120">
        <v>6</v>
      </c>
      <c r="M12" s="120">
        <v>7</v>
      </c>
      <c r="N12" s="120">
        <v>8</v>
      </c>
      <c r="O12" s="120">
        <v>9</v>
      </c>
      <c r="P12" s="120">
        <v>10</v>
      </c>
      <c r="Q12" s="120">
        <v>11</v>
      </c>
      <c r="R12" s="120">
        <v>12</v>
      </c>
      <c r="S12" s="120">
        <v>13</v>
      </c>
      <c r="T12" s="120">
        <v>14</v>
      </c>
      <c r="U12" s="120">
        <v>15</v>
      </c>
      <c r="V12" s="120" t="s">
        <v>106</v>
      </c>
      <c r="W12" s="120" t="s">
        <v>107</v>
      </c>
      <c r="X12" s="120" t="s">
        <v>108</v>
      </c>
      <c r="Y12" s="120" t="s">
        <v>109</v>
      </c>
      <c r="Z12" s="120" t="s">
        <v>110</v>
      </c>
      <c r="AA12" s="120" t="s">
        <v>111</v>
      </c>
      <c r="AB12" s="120" t="s">
        <v>112</v>
      </c>
      <c r="AC12" s="120" t="s">
        <v>113</v>
      </c>
      <c r="AD12" s="121" t="s">
        <v>146</v>
      </c>
      <c r="AE12" s="121" t="s">
        <v>147</v>
      </c>
      <c r="AF12" s="121" t="s">
        <v>148</v>
      </c>
      <c r="AG12" s="121" t="s">
        <v>149</v>
      </c>
      <c r="AH12" s="121" t="s">
        <v>150</v>
      </c>
      <c r="AI12" s="121" t="s">
        <v>151</v>
      </c>
      <c r="AJ12" s="121" t="s">
        <v>146</v>
      </c>
      <c r="AK12" s="121" t="s">
        <v>147</v>
      </c>
      <c r="AL12" s="121" t="s">
        <v>148</v>
      </c>
      <c r="AM12" s="121" t="s">
        <v>149</v>
      </c>
      <c r="AN12" s="121" t="s">
        <v>150</v>
      </c>
      <c r="AO12" s="121" t="s">
        <v>151</v>
      </c>
      <c r="AP12" s="121" t="s">
        <v>152</v>
      </c>
      <c r="AQ12" s="121" t="s">
        <v>153</v>
      </c>
      <c r="AR12" s="121" t="s">
        <v>154</v>
      </c>
      <c r="AS12" s="121" t="s">
        <v>155</v>
      </c>
      <c r="AT12" s="121" t="s">
        <v>156</v>
      </c>
      <c r="AU12" s="121" t="s">
        <v>157</v>
      </c>
      <c r="AV12" s="121" t="s">
        <v>158</v>
      </c>
      <c r="AW12" s="121" t="s">
        <v>159</v>
      </c>
      <c r="AX12" s="121" t="s">
        <v>160</v>
      </c>
      <c r="AY12" s="121" t="s">
        <v>161</v>
      </c>
      <c r="AZ12" s="121" t="s">
        <v>162</v>
      </c>
      <c r="BA12" s="121" t="s">
        <v>163</v>
      </c>
      <c r="BB12" s="121" t="s">
        <v>164</v>
      </c>
      <c r="BC12" s="121" t="s">
        <v>165</v>
      </c>
      <c r="BD12" s="121" t="s">
        <v>166</v>
      </c>
      <c r="BE12" s="121" t="s">
        <v>167</v>
      </c>
      <c r="BF12" s="121" t="s">
        <v>168</v>
      </c>
      <c r="BG12" s="121" t="s">
        <v>169</v>
      </c>
      <c r="BH12" s="121" t="s">
        <v>170</v>
      </c>
    </row>
    <row r="13" spans="1:60" ht="27.6" x14ac:dyDescent="0.3">
      <c r="A13" s="49">
        <v>1</v>
      </c>
      <c r="B13" s="49" t="s">
        <v>171</v>
      </c>
      <c r="C13" s="55">
        <v>63532359</v>
      </c>
      <c r="D13" s="49" t="s">
        <v>115</v>
      </c>
      <c r="E13" s="49" t="s">
        <v>177</v>
      </c>
      <c r="F13" s="49" t="str">
        <f>_xlfn.XLOOKUP(C13,[1]Hoja1!$B:$B,[1]Hoja1!$F:$F)</f>
        <v>GESTOR DE OPERACIONES</v>
      </c>
      <c r="G13" s="51">
        <v>3</v>
      </c>
      <c r="H13" s="51">
        <v>2</v>
      </c>
      <c r="I13" s="51">
        <v>2</v>
      </c>
      <c r="J13" s="51">
        <v>2</v>
      </c>
      <c r="K13" s="51">
        <v>2</v>
      </c>
      <c r="L13" s="51" t="s">
        <v>120</v>
      </c>
      <c r="M13" s="51">
        <v>2</v>
      </c>
      <c r="N13" s="51">
        <v>2</v>
      </c>
      <c r="O13" s="51">
        <v>2</v>
      </c>
      <c r="P13" s="51" t="s">
        <v>120</v>
      </c>
      <c r="Q13" s="51" t="s">
        <v>120</v>
      </c>
      <c r="R13" s="51">
        <v>2</v>
      </c>
      <c r="S13" s="51">
        <v>2</v>
      </c>
      <c r="T13" s="51">
        <v>2</v>
      </c>
      <c r="U13" s="51">
        <v>3</v>
      </c>
      <c r="V13" s="51">
        <f>IF(B13&lt;&gt;"",SUM(G13:U13),"")</f>
        <v>26</v>
      </c>
      <c r="W13" s="51">
        <f>IF(B13&lt;&gt;"",COUNTA(G13:U13),"")</f>
        <v>15</v>
      </c>
      <c r="X13" s="52">
        <f>IF(B13&lt;&gt;"",SUM(G13:U13)/32,"")</f>
        <v>0.8125</v>
      </c>
      <c r="Y13" s="49" t="str">
        <f>IF(X13="","",IF(X13&gt;=80%,"Certificado","No certificado"))</f>
        <v>Certificado</v>
      </c>
      <c r="Z13" s="49" t="s">
        <v>172</v>
      </c>
      <c r="AA13" s="49">
        <v>4</v>
      </c>
      <c r="AB13" s="54">
        <v>4</v>
      </c>
      <c r="AC13" s="49" t="str">
        <f t="shared" ref="AC13:AC31" si="0">IF(B13="","",IF(AND(X13&gt;=0.8,AB13&gt;=3),"Aprobado","No aprobado"))</f>
        <v>Aprobado</v>
      </c>
      <c r="AD13" s="118">
        <v>4</v>
      </c>
      <c r="AE13" s="118">
        <v>5</v>
      </c>
      <c r="AF13" s="118">
        <v>5</v>
      </c>
      <c r="AG13" s="118">
        <v>5</v>
      </c>
      <c r="AH13" s="118">
        <v>5</v>
      </c>
      <c r="AI13" s="118">
        <v>4</v>
      </c>
      <c r="AJ13" s="118">
        <v>4</v>
      </c>
      <c r="AK13" s="118">
        <v>4</v>
      </c>
      <c r="AL13" s="118">
        <v>4</v>
      </c>
      <c r="AM13" s="118">
        <v>4</v>
      </c>
      <c r="AN13" s="118">
        <v>4</v>
      </c>
      <c r="AO13" s="118">
        <v>4</v>
      </c>
      <c r="AP13" s="118">
        <v>5</v>
      </c>
      <c r="AQ13" s="118">
        <v>5</v>
      </c>
      <c r="AR13" s="118">
        <v>5</v>
      </c>
      <c r="AS13" s="118">
        <v>4</v>
      </c>
      <c r="AT13" s="118">
        <v>4</v>
      </c>
      <c r="AU13" s="118">
        <v>5</v>
      </c>
      <c r="AV13" s="118">
        <v>4</v>
      </c>
      <c r="AW13" s="118">
        <v>4</v>
      </c>
      <c r="AX13" s="118">
        <v>5</v>
      </c>
      <c r="AY13" s="118">
        <v>5</v>
      </c>
      <c r="AZ13" s="118">
        <v>5</v>
      </c>
      <c r="BA13" s="118">
        <v>5</v>
      </c>
      <c r="BB13" s="118">
        <v>5</v>
      </c>
      <c r="BC13" s="118" t="s">
        <v>173</v>
      </c>
      <c r="BD13" s="118" t="s">
        <v>174</v>
      </c>
      <c r="BE13" s="118" t="s">
        <v>173</v>
      </c>
      <c r="BF13" s="118" t="s">
        <v>175</v>
      </c>
      <c r="BG13" s="118">
        <v>4</v>
      </c>
      <c r="BH13" s="119">
        <f>AVERAGE(AD13:BG13)</f>
        <v>4.5</v>
      </c>
    </row>
    <row r="14" spans="1:60" ht="27.6" x14ac:dyDescent="0.3">
      <c r="A14" s="49">
        <v>2</v>
      </c>
      <c r="B14" s="49" t="s">
        <v>176</v>
      </c>
      <c r="C14" s="55">
        <v>1016051844</v>
      </c>
      <c r="D14" s="49" t="s">
        <v>115</v>
      </c>
      <c r="E14" s="49" t="s">
        <v>177</v>
      </c>
      <c r="F14" s="49" t="str">
        <f>_xlfn.XLOOKUP(C14,[1]Hoja1!$B:$B,[1]Hoja1!$F:$F)</f>
        <v>GESTOR DE OPERACIONES</v>
      </c>
      <c r="G14" s="51">
        <v>3</v>
      </c>
      <c r="H14" s="51">
        <v>2</v>
      </c>
      <c r="I14" s="51">
        <v>2</v>
      </c>
      <c r="J14" s="51">
        <v>2</v>
      </c>
      <c r="K14" s="51">
        <v>2</v>
      </c>
      <c r="L14" s="51">
        <v>2</v>
      </c>
      <c r="M14" s="51" t="s">
        <v>120</v>
      </c>
      <c r="N14" s="51">
        <v>2</v>
      </c>
      <c r="O14" s="51">
        <v>2</v>
      </c>
      <c r="P14" s="51">
        <v>2</v>
      </c>
      <c r="Q14" s="51">
        <v>2</v>
      </c>
      <c r="R14" s="51">
        <v>2</v>
      </c>
      <c r="S14" s="51">
        <v>2</v>
      </c>
      <c r="T14" s="51">
        <v>2</v>
      </c>
      <c r="U14" s="51">
        <v>3</v>
      </c>
      <c r="V14" s="51">
        <f t="shared" ref="V14:V31" si="1">IF(B14&lt;&gt;"",SUM(G14:U14),"")</f>
        <v>30</v>
      </c>
      <c r="W14" s="51">
        <f t="shared" ref="W14:W31" si="2">IF(B14&lt;&gt;"",COUNTA(G14:U14),"")</f>
        <v>15</v>
      </c>
      <c r="X14" s="52">
        <f t="shared" ref="X14:X31" si="3">IF(B14&lt;&gt;"",SUM(G14:U14)/32,"")</f>
        <v>0.9375</v>
      </c>
      <c r="Y14" s="49" t="str">
        <f t="shared" ref="Y14:Y31" si="4">IF(X14="","",IF(X14&gt;=80%,"Certificado","No certificado"))</f>
        <v>Certificado</v>
      </c>
      <c r="Z14" s="49">
        <v>4</v>
      </c>
      <c r="AA14" s="49" t="s">
        <v>172</v>
      </c>
      <c r="AB14" s="54">
        <v>4</v>
      </c>
      <c r="AC14" s="49" t="str">
        <f t="shared" si="0"/>
        <v>Aprobado</v>
      </c>
      <c r="AD14" s="118">
        <v>4</v>
      </c>
      <c r="AE14" s="118">
        <v>5</v>
      </c>
      <c r="AF14" s="118">
        <v>5</v>
      </c>
      <c r="AG14" s="118">
        <v>5</v>
      </c>
      <c r="AH14" s="118">
        <v>5</v>
      </c>
      <c r="AI14" s="118">
        <v>4</v>
      </c>
      <c r="AJ14" s="118">
        <v>4</v>
      </c>
      <c r="AK14" s="118">
        <v>4</v>
      </c>
      <c r="AL14" s="118">
        <v>4</v>
      </c>
      <c r="AM14" s="118">
        <v>4</v>
      </c>
      <c r="AN14" s="118">
        <v>4</v>
      </c>
      <c r="AO14" s="118">
        <v>4</v>
      </c>
      <c r="AP14" s="118">
        <v>5</v>
      </c>
      <c r="AQ14" s="118">
        <v>5</v>
      </c>
      <c r="AR14" s="118">
        <v>5</v>
      </c>
      <c r="AS14" s="118">
        <v>5</v>
      </c>
      <c r="AT14" s="118">
        <v>5</v>
      </c>
      <c r="AU14" s="118">
        <v>5</v>
      </c>
      <c r="AV14" s="118">
        <v>5</v>
      </c>
      <c r="AW14" s="118">
        <v>5</v>
      </c>
      <c r="AX14" s="118">
        <v>5</v>
      </c>
      <c r="AY14" s="118">
        <v>5</v>
      </c>
      <c r="AZ14" s="118">
        <v>5</v>
      </c>
      <c r="BA14" s="118">
        <v>5</v>
      </c>
      <c r="BB14" s="118">
        <v>5</v>
      </c>
      <c r="BC14" s="118" t="s">
        <v>178</v>
      </c>
      <c r="BD14" s="118" t="s">
        <v>179</v>
      </c>
      <c r="BE14" s="118" t="s">
        <v>180</v>
      </c>
      <c r="BF14" s="118" t="s">
        <v>175</v>
      </c>
      <c r="BG14" s="118">
        <v>5</v>
      </c>
      <c r="BH14" s="119">
        <f t="shared" ref="BH14:BH31" si="5">AVERAGE(AD14:BG14)</f>
        <v>4.6923076923076925</v>
      </c>
    </row>
    <row r="15" spans="1:60" ht="27.6" x14ac:dyDescent="0.3">
      <c r="A15" s="49">
        <v>3</v>
      </c>
      <c r="B15" s="49" t="s">
        <v>181</v>
      </c>
      <c r="C15" s="55">
        <v>52761826</v>
      </c>
      <c r="D15" s="49" t="s">
        <v>115</v>
      </c>
      <c r="E15" s="49" t="s">
        <v>177</v>
      </c>
      <c r="F15" s="49" t="str">
        <f>_xlfn.XLOOKUP(C15,[1]Hoja1!$B:$B,[1]Hoja1!$F:$F)</f>
        <v>GESTOR DE OPERACIONES</v>
      </c>
      <c r="G15" s="51">
        <v>3</v>
      </c>
      <c r="H15" s="51" t="s">
        <v>120</v>
      </c>
      <c r="I15" s="51">
        <v>2</v>
      </c>
      <c r="J15" s="51">
        <v>2</v>
      </c>
      <c r="K15" s="51">
        <v>2</v>
      </c>
      <c r="L15" s="51" t="s">
        <v>120</v>
      </c>
      <c r="M15" s="51">
        <v>2</v>
      </c>
      <c r="N15" s="51">
        <v>2</v>
      </c>
      <c r="O15" s="51">
        <v>2</v>
      </c>
      <c r="P15" s="51">
        <v>2</v>
      </c>
      <c r="Q15" s="51">
        <v>2</v>
      </c>
      <c r="R15" s="51" t="s">
        <v>120</v>
      </c>
      <c r="S15" s="51">
        <v>2</v>
      </c>
      <c r="T15" s="51">
        <v>2</v>
      </c>
      <c r="U15" s="51">
        <v>3</v>
      </c>
      <c r="V15" s="51">
        <f t="shared" si="1"/>
        <v>26</v>
      </c>
      <c r="W15" s="51">
        <f t="shared" si="2"/>
        <v>15</v>
      </c>
      <c r="X15" s="52">
        <f t="shared" si="3"/>
        <v>0.8125</v>
      </c>
      <c r="Y15" s="49" t="str">
        <f t="shared" si="4"/>
        <v>Certificado</v>
      </c>
      <c r="Z15" s="49">
        <v>4</v>
      </c>
      <c r="AA15" s="49" t="s">
        <v>172</v>
      </c>
      <c r="AB15" s="54">
        <v>4</v>
      </c>
      <c r="AC15" s="49" t="str">
        <f t="shared" si="0"/>
        <v>Aprobado</v>
      </c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9"/>
    </row>
    <row r="16" spans="1:60" ht="14.4" x14ac:dyDescent="0.3">
      <c r="A16" s="49">
        <v>4</v>
      </c>
      <c r="B16" s="49" t="s">
        <v>182</v>
      </c>
      <c r="C16" s="55">
        <v>1020740232</v>
      </c>
      <c r="D16" s="49" t="s">
        <v>115</v>
      </c>
      <c r="E16" s="49" t="s">
        <v>218</v>
      </c>
      <c r="F16" s="49" t="str">
        <f>_xlfn.XLOOKUP(C16,[1]Hoja1!$B:$B,[1]Hoja1!$F:$F)</f>
        <v>GESTOR DE OPERACIONES</v>
      </c>
      <c r="G16" s="51">
        <v>3</v>
      </c>
      <c r="H16" s="51">
        <v>2</v>
      </c>
      <c r="I16" s="51">
        <v>2</v>
      </c>
      <c r="J16" s="51">
        <v>2</v>
      </c>
      <c r="K16" s="51">
        <v>2</v>
      </c>
      <c r="L16" s="51">
        <v>2</v>
      </c>
      <c r="M16" s="51" t="s">
        <v>120</v>
      </c>
      <c r="N16" s="51">
        <v>2</v>
      </c>
      <c r="O16" s="51">
        <v>2</v>
      </c>
      <c r="P16" s="51" t="s">
        <v>120</v>
      </c>
      <c r="Q16" s="51" t="s">
        <v>120</v>
      </c>
      <c r="R16" s="51">
        <v>2</v>
      </c>
      <c r="S16" s="51">
        <v>2</v>
      </c>
      <c r="T16" s="51">
        <v>2</v>
      </c>
      <c r="U16" s="51">
        <v>3</v>
      </c>
      <c r="V16" s="51">
        <f t="shared" si="1"/>
        <v>26</v>
      </c>
      <c r="W16" s="51">
        <f t="shared" si="2"/>
        <v>15</v>
      </c>
      <c r="X16" s="52">
        <f t="shared" si="3"/>
        <v>0.8125</v>
      </c>
      <c r="Y16" s="49" t="str">
        <f t="shared" si="4"/>
        <v>Certificado</v>
      </c>
      <c r="Z16" s="49">
        <v>4</v>
      </c>
      <c r="AA16" s="49" t="s">
        <v>172</v>
      </c>
      <c r="AB16" s="54">
        <v>4</v>
      </c>
      <c r="AC16" s="49" t="str">
        <f t="shared" si="0"/>
        <v>Aprobado</v>
      </c>
      <c r="AD16" s="118">
        <v>5</v>
      </c>
      <c r="AE16" s="118">
        <v>5</v>
      </c>
      <c r="AF16" s="118">
        <v>5</v>
      </c>
      <c r="AG16" s="118">
        <v>5</v>
      </c>
      <c r="AH16" s="118">
        <v>5</v>
      </c>
      <c r="AI16" s="118">
        <v>5</v>
      </c>
      <c r="AJ16" s="118">
        <v>5</v>
      </c>
      <c r="AK16" s="118">
        <v>5</v>
      </c>
      <c r="AL16" s="118">
        <v>5</v>
      </c>
      <c r="AM16" s="118">
        <v>5</v>
      </c>
      <c r="AN16" s="118">
        <v>5</v>
      </c>
      <c r="AO16" s="118">
        <v>5</v>
      </c>
      <c r="AP16" s="118">
        <v>5</v>
      </c>
      <c r="AQ16" s="118">
        <v>5</v>
      </c>
      <c r="AR16" s="118">
        <v>5</v>
      </c>
      <c r="AS16" s="118">
        <v>5</v>
      </c>
      <c r="AT16" s="118">
        <v>4</v>
      </c>
      <c r="AU16" s="118">
        <v>5</v>
      </c>
      <c r="AV16" s="118">
        <v>5</v>
      </c>
      <c r="AW16" s="118">
        <v>5</v>
      </c>
      <c r="AX16" s="118">
        <v>4</v>
      </c>
      <c r="AY16" s="118">
        <v>4</v>
      </c>
      <c r="AZ16" s="118">
        <v>4</v>
      </c>
      <c r="BA16" s="118">
        <v>4</v>
      </c>
      <c r="BB16" s="118">
        <v>5</v>
      </c>
      <c r="BC16" s="118" t="s">
        <v>183</v>
      </c>
      <c r="BD16" s="118" t="s">
        <v>184</v>
      </c>
      <c r="BE16" s="118" t="s">
        <v>185</v>
      </c>
      <c r="BF16" s="118" t="s">
        <v>175</v>
      </c>
      <c r="BG16" s="118">
        <v>5</v>
      </c>
      <c r="BH16" s="119">
        <f t="shared" si="5"/>
        <v>4.8076923076923075</v>
      </c>
    </row>
    <row r="17" spans="1:60" ht="27.6" x14ac:dyDescent="0.3">
      <c r="A17" s="49">
        <v>5</v>
      </c>
      <c r="B17" s="49" t="s">
        <v>186</v>
      </c>
      <c r="C17" s="55">
        <v>52758406</v>
      </c>
      <c r="D17" s="49" t="s">
        <v>115</v>
      </c>
      <c r="E17" s="49" t="s">
        <v>222</v>
      </c>
      <c r="F17" s="49" t="str">
        <f>_xlfn.XLOOKUP(C17,[1]Hoja1!$B:$B,[1]Hoja1!$F:$F)</f>
        <v>GESTOR DE OPERACIONES</v>
      </c>
      <c r="G17" s="51" t="s">
        <v>120</v>
      </c>
      <c r="H17" s="51">
        <v>2</v>
      </c>
      <c r="I17" s="51">
        <v>2</v>
      </c>
      <c r="J17" s="51" t="s">
        <v>120</v>
      </c>
      <c r="K17" s="51">
        <v>2</v>
      </c>
      <c r="L17" s="51" t="s">
        <v>120</v>
      </c>
      <c r="M17" s="51">
        <v>2</v>
      </c>
      <c r="N17" s="51" t="s">
        <v>120</v>
      </c>
      <c r="O17" s="51" t="s">
        <v>120</v>
      </c>
      <c r="P17" s="51">
        <v>2</v>
      </c>
      <c r="Q17" s="51">
        <v>2</v>
      </c>
      <c r="R17" s="51">
        <v>2</v>
      </c>
      <c r="S17" s="51">
        <v>2</v>
      </c>
      <c r="T17" s="51">
        <v>2</v>
      </c>
      <c r="U17" s="51">
        <v>3</v>
      </c>
      <c r="V17" s="51">
        <f t="shared" si="1"/>
        <v>21</v>
      </c>
      <c r="W17" s="51">
        <f t="shared" si="2"/>
        <v>15</v>
      </c>
      <c r="X17" s="52">
        <f t="shared" si="3"/>
        <v>0.65625</v>
      </c>
      <c r="Y17" s="49" t="str">
        <f t="shared" si="4"/>
        <v>No certificado</v>
      </c>
      <c r="Z17" s="49">
        <v>4</v>
      </c>
      <c r="AA17" s="49" t="s">
        <v>172</v>
      </c>
      <c r="AB17" s="54">
        <v>3</v>
      </c>
      <c r="AC17" s="49" t="str">
        <f t="shared" si="0"/>
        <v>No aprobado</v>
      </c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18"/>
      <c r="BH17" s="119"/>
    </row>
    <row r="18" spans="1:60" ht="14.4" x14ac:dyDescent="0.3">
      <c r="A18" s="49">
        <v>6</v>
      </c>
      <c r="B18" s="49" t="s">
        <v>187</v>
      </c>
      <c r="C18" s="55">
        <v>13928254</v>
      </c>
      <c r="D18" s="49" t="s">
        <v>115</v>
      </c>
      <c r="E18" s="49" t="s">
        <v>218</v>
      </c>
      <c r="F18" s="49" t="str">
        <f>_xlfn.XLOOKUP(C18,[1]Hoja1!$B:$B,[1]Hoja1!$F:$F)</f>
        <v>GESTOR</v>
      </c>
      <c r="G18" s="51">
        <v>3</v>
      </c>
      <c r="H18" s="51">
        <v>2</v>
      </c>
      <c r="I18" s="51">
        <v>2</v>
      </c>
      <c r="J18" s="51">
        <v>2</v>
      </c>
      <c r="K18" s="51">
        <v>2</v>
      </c>
      <c r="L18" s="51" t="s">
        <v>120</v>
      </c>
      <c r="M18" s="51">
        <v>2</v>
      </c>
      <c r="N18" s="51" t="s">
        <v>120</v>
      </c>
      <c r="O18" s="51">
        <v>2</v>
      </c>
      <c r="P18" s="51">
        <v>2</v>
      </c>
      <c r="Q18" s="51">
        <v>2</v>
      </c>
      <c r="R18" s="51">
        <v>2</v>
      </c>
      <c r="S18" s="51">
        <v>2</v>
      </c>
      <c r="T18" s="51">
        <v>2</v>
      </c>
      <c r="U18" s="51">
        <v>3</v>
      </c>
      <c r="V18" s="51">
        <f t="shared" si="1"/>
        <v>28</v>
      </c>
      <c r="W18" s="51">
        <f t="shared" si="2"/>
        <v>15</v>
      </c>
      <c r="X18" s="52">
        <f t="shared" si="3"/>
        <v>0.875</v>
      </c>
      <c r="Y18" s="49" t="str">
        <f t="shared" si="4"/>
        <v>Certificado</v>
      </c>
      <c r="Z18" s="49" t="s">
        <v>188</v>
      </c>
      <c r="AA18" s="49">
        <v>4</v>
      </c>
      <c r="AB18" s="54">
        <v>4</v>
      </c>
      <c r="AC18" s="49" t="str">
        <f t="shared" si="0"/>
        <v>Aprobado</v>
      </c>
      <c r="AD18" s="118">
        <v>5</v>
      </c>
      <c r="AE18" s="118">
        <v>5</v>
      </c>
      <c r="AF18" s="118">
        <v>5</v>
      </c>
      <c r="AG18" s="118">
        <v>5</v>
      </c>
      <c r="AH18" s="118">
        <v>5</v>
      </c>
      <c r="AI18" s="118">
        <v>5</v>
      </c>
      <c r="AJ18" s="118">
        <v>4</v>
      </c>
      <c r="AK18" s="118">
        <v>5</v>
      </c>
      <c r="AL18" s="118">
        <v>4</v>
      </c>
      <c r="AM18" s="118">
        <v>4</v>
      </c>
      <c r="AN18" s="118">
        <v>5</v>
      </c>
      <c r="AO18" s="118">
        <v>5</v>
      </c>
      <c r="AP18" s="118">
        <v>5</v>
      </c>
      <c r="AQ18" s="118">
        <v>5</v>
      </c>
      <c r="AR18" s="118">
        <v>5</v>
      </c>
      <c r="AS18" s="118">
        <v>5</v>
      </c>
      <c r="AT18" s="118">
        <v>5</v>
      </c>
      <c r="AU18" s="118">
        <v>5</v>
      </c>
      <c r="AV18" s="118">
        <v>5</v>
      </c>
      <c r="AW18" s="118">
        <v>5</v>
      </c>
      <c r="AX18" s="118">
        <v>5</v>
      </c>
      <c r="AY18" s="118">
        <v>5</v>
      </c>
      <c r="AZ18" s="118">
        <v>5</v>
      </c>
      <c r="BA18" s="118">
        <v>5</v>
      </c>
      <c r="BB18" s="118">
        <v>5</v>
      </c>
      <c r="BC18" s="118" t="s">
        <v>189</v>
      </c>
      <c r="BD18" s="118" t="s">
        <v>190</v>
      </c>
      <c r="BE18" s="118" t="s">
        <v>189</v>
      </c>
      <c r="BF18" s="118" t="s">
        <v>175</v>
      </c>
      <c r="BG18" s="118">
        <v>5</v>
      </c>
      <c r="BH18" s="119">
        <f t="shared" si="5"/>
        <v>4.884615384615385</v>
      </c>
    </row>
    <row r="19" spans="1:60" ht="27.6" x14ac:dyDescent="0.3">
      <c r="A19" s="49">
        <v>7</v>
      </c>
      <c r="B19" s="49" t="s">
        <v>191</v>
      </c>
      <c r="C19" s="55">
        <v>80200994</v>
      </c>
      <c r="D19" s="49" t="s">
        <v>115</v>
      </c>
      <c r="E19" s="49" t="s">
        <v>192</v>
      </c>
      <c r="F19" s="49" t="str">
        <f>_xlfn.XLOOKUP(C19,[1]Hoja1!$B:$B,[1]Hoja1!$F:$F)</f>
        <v>GESTOR DE OPERACIONES</v>
      </c>
      <c r="G19" s="51">
        <v>3</v>
      </c>
      <c r="H19" s="51">
        <v>2</v>
      </c>
      <c r="I19" s="51">
        <v>2</v>
      </c>
      <c r="J19" s="51">
        <v>2</v>
      </c>
      <c r="K19" s="51">
        <v>2</v>
      </c>
      <c r="L19" s="51">
        <v>2</v>
      </c>
      <c r="M19" s="51">
        <v>2</v>
      </c>
      <c r="N19" s="51">
        <v>2</v>
      </c>
      <c r="O19" s="51">
        <v>2</v>
      </c>
      <c r="P19" s="51">
        <v>2</v>
      </c>
      <c r="Q19" s="51">
        <v>2</v>
      </c>
      <c r="R19" s="51">
        <v>2</v>
      </c>
      <c r="S19" s="51">
        <v>2</v>
      </c>
      <c r="T19" s="51">
        <v>2</v>
      </c>
      <c r="U19" s="51">
        <v>3</v>
      </c>
      <c r="V19" s="51">
        <f t="shared" si="1"/>
        <v>32</v>
      </c>
      <c r="W19" s="51">
        <f t="shared" si="2"/>
        <v>15</v>
      </c>
      <c r="X19" s="52">
        <f t="shared" si="3"/>
        <v>1</v>
      </c>
      <c r="Y19" s="49" t="str">
        <f t="shared" si="4"/>
        <v>Certificado</v>
      </c>
      <c r="Z19" s="49">
        <v>4</v>
      </c>
      <c r="AA19" s="49">
        <v>4</v>
      </c>
      <c r="AB19" s="54">
        <v>4</v>
      </c>
      <c r="AC19" s="49" t="str">
        <f t="shared" si="0"/>
        <v>Aprobado</v>
      </c>
      <c r="AD19" s="118">
        <v>5</v>
      </c>
      <c r="AE19" s="118">
        <v>5</v>
      </c>
      <c r="AF19" s="118">
        <v>5</v>
      </c>
      <c r="AG19" s="118">
        <v>5</v>
      </c>
      <c r="AH19" s="118">
        <v>5</v>
      </c>
      <c r="AI19" s="118">
        <v>5</v>
      </c>
      <c r="AJ19" s="118">
        <v>5</v>
      </c>
      <c r="AK19" s="118">
        <v>5</v>
      </c>
      <c r="AL19" s="118">
        <v>5</v>
      </c>
      <c r="AM19" s="118">
        <v>5</v>
      </c>
      <c r="AN19" s="118">
        <v>5</v>
      </c>
      <c r="AO19" s="118">
        <v>5</v>
      </c>
      <c r="AP19" s="118">
        <v>5</v>
      </c>
      <c r="AQ19" s="118">
        <v>5</v>
      </c>
      <c r="AR19" s="118">
        <v>5</v>
      </c>
      <c r="AS19" s="118">
        <v>5</v>
      </c>
      <c r="AT19" s="118">
        <v>5</v>
      </c>
      <c r="AU19" s="118">
        <v>5</v>
      </c>
      <c r="AV19" s="118">
        <v>5</v>
      </c>
      <c r="AW19" s="118">
        <v>5</v>
      </c>
      <c r="AX19" s="118">
        <v>5</v>
      </c>
      <c r="AY19" s="118">
        <v>5</v>
      </c>
      <c r="AZ19" s="118">
        <v>5</v>
      </c>
      <c r="BA19" s="118">
        <v>5</v>
      </c>
      <c r="BB19" s="118">
        <v>5</v>
      </c>
      <c r="BC19" s="118" t="s">
        <v>193</v>
      </c>
      <c r="BD19" s="118" t="s">
        <v>194</v>
      </c>
      <c r="BE19" s="118" t="s">
        <v>195</v>
      </c>
      <c r="BF19" s="118" t="s">
        <v>175</v>
      </c>
      <c r="BG19" s="118">
        <v>5</v>
      </c>
      <c r="BH19" s="119">
        <f t="shared" si="5"/>
        <v>5</v>
      </c>
    </row>
    <row r="20" spans="1:60" ht="41.4" x14ac:dyDescent="0.3">
      <c r="A20" s="49">
        <v>8</v>
      </c>
      <c r="B20" s="49" t="s">
        <v>196</v>
      </c>
      <c r="C20" s="55">
        <v>80097261</v>
      </c>
      <c r="D20" s="49" t="s">
        <v>115</v>
      </c>
      <c r="E20" s="49" t="s">
        <v>122</v>
      </c>
      <c r="F20" s="49" t="str">
        <f>_xlfn.XLOOKUP(C20,[1]Hoja1!$B:$B,[1]Hoja1!$F:$F)</f>
        <v>GESTOR DE OPERACIONES</v>
      </c>
      <c r="G20" s="51">
        <v>3</v>
      </c>
      <c r="H20" s="51">
        <v>2</v>
      </c>
      <c r="I20" s="51">
        <v>2</v>
      </c>
      <c r="J20" s="51">
        <v>2</v>
      </c>
      <c r="K20" s="51">
        <v>2</v>
      </c>
      <c r="L20" s="51">
        <v>2</v>
      </c>
      <c r="M20" s="51">
        <v>2</v>
      </c>
      <c r="N20" s="51">
        <v>2</v>
      </c>
      <c r="O20" s="51">
        <v>2</v>
      </c>
      <c r="P20" s="51">
        <v>2</v>
      </c>
      <c r="Q20" s="51">
        <v>2</v>
      </c>
      <c r="R20" s="51">
        <v>2</v>
      </c>
      <c r="S20" s="51">
        <v>2</v>
      </c>
      <c r="T20" s="51">
        <v>2</v>
      </c>
      <c r="U20" s="51" t="s">
        <v>120</v>
      </c>
      <c r="V20" s="51">
        <f t="shared" si="1"/>
        <v>29</v>
      </c>
      <c r="W20" s="51">
        <f t="shared" si="2"/>
        <v>15</v>
      </c>
      <c r="X20" s="52">
        <f t="shared" si="3"/>
        <v>0.90625</v>
      </c>
      <c r="Y20" s="49" t="str">
        <f t="shared" si="4"/>
        <v>Certificado</v>
      </c>
      <c r="Z20" s="49" t="s">
        <v>197</v>
      </c>
      <c r="AA20" s="49" t="s">
        <v>172</v>
      </c>
      <c r="AB20" s="54" t="s">
        <v>197</v>
      </c>
      <c r="AC20" s="49" t="str">
        <f t="shared" si="0"/>
        <v>Aprobado</v>
      </c>
      <c r="AD20" s="118">
        <v>5</v>
      </c>
      <c r="AE20" s="118">
        <v>5</v>
      </c>
      <c r="AF20" s="118">
        <v>5</v>
      </c>
      <c r="AG20" s="118">
        <v>5</v>
      </c>
      <c r="AH20" s="118">
        <v>5</v>
      </c>
      <c r="AI20" s="118">
        <v>5</v>
      </c>
      <c r="AJ20" s="118">
        <v>5</v>
      </c>
      <c r="AK20" s="118">
        <v>5</v>
      </c>
      <c r="AL20" s="118">
        <v>5</v>
      </c>
      <c r="AM20" s="118">
        <v>5</v>
      </c>
      <c r="AN20" s="118">
        <v>5</v>
      </c>
      <c r="AO20" s="118">
        <v>5</v>
      </c>
      <c r="AP20" s="118">
        <v>5</v>
      </c>
      <c r="AQ20" s="118">
        <v>5</v>
      </c>
      <c r="AR20" s="118">
        <v>5</v>
      </c>
      <c r="AS20" s="118">
        <v>5</v>
      </c>
      <c r="AT20" s="118">
        <v>5</v>
      </c>
      <c r="AU20" s="118">
        <v>5</v>
      </c>
      <c r="AV20" s="118">
        <v>5</v>
      </c>
      <c r="AW20" s="118">
        <v>5</v>
      </c>
      <c r="AX20" s="118">
        <v>5</v>
      </c>
      <c r="AY20" s="118">
        <v>5</v>
      </c>
      <c r="AZ20" s="118">
        <v>5</v>
      </c>
      <c r="BA20" s="118">
        <v>5</v>
      </c>
      <c r="BB20" s="118">
        <v>5</v>
      </c>
      <c r="BC20" s="118" t="s">
        <v>198</v>
      </c>
      <c r="BD20" s="118" t="s">
        <v>199</v>
      </c>
      <c r="BE20" s="118" t="s">
        <v>200</v>
      </c>
      <c r="BF20" s="118" t="s">
        <v>175</v>
      </c>
      <c r="BG20" s="118">
        <v>5</v>
      </c>
      <c r="BH20" s="119">
        <f t="shared" si="5"/>
        <v>5</v>
      </c>
    </row>
    <row r="21" spans="1:60" ht="14.4" x14ac:dyDescent="0.3">
      <c r="A21" s="49">
        <v>9</v>
      </c>
      <c r="B21" s="49" t="s">
        <v>201</v>
      </c>
      <c r="C21" s="55">
        <v>52455010</v>
      </c>
      <c r="D21" s="49" t="s">
        <v>115</v>
      </c>
      <c r="E21" s="49" t="s">
        <v>218</v>
      </c>
      <c r="F21" s="49" t="str">
        <f>_xlfn.XLOOKUP(C21,[1]Hoja1!$B:$B,[1]Hoja1!$F:$F)</f>
        <v>GESTOR DE OPERACIONES</v>
      </c>
      <c r="G21" s="51">
        <v>3</v>
      </c>
      <c r="H21" s="51" t="s">
        <v>120</v>
      </c>
      <c r="I21" s="51" t="s">
        <v>120</v>
      </c>
      <c r="J21" s="51" t="s">
        <v>120</v>
      </c>
      <c r="K21" s="51" t="s">
        <v>120</v>
      </c>
      <c r="L21" s="51" t="s">
        <v>120</v>
      </c>
      <c r="M21" s="51" t="s">
        <v>120</v>
      </c>
      <c r="N21" s="51" t="s">
        <v>120</v>
      </c>
      <c r="O21" s="51" t="s">
        <v>120</v>
      </c>
      <c r="P21" s="51" t="s">
        <v>120</v>
      </c>
      <c r="Q21" s="51" t="s">
        <v>120</v>
      </c>
      <c r="R21" s="51" t="s">
        <v>120</v>
      </c>
      <c r="S21" s="51" t="s">
        <v>120</v>
      </c>
      <c r="T21" s="51" t="s">
        <v>120</v>
      </c>
      <c r="U21" s="51" t="s">
        <v>120</v>
      </c>
      <c r="V21" s="51">
        <f t="shared" si="1"/>
        <v>3</v>
      </c>
      <c r="W21" s="51">
        <f t="shared" si="2"/>
        <v>15</v>
      </c>
      <c r="X21" s="52">
        <f t="shared" si="3"/>
        <v>9.375E-2</v>
      </c>
      <c r="Y21" s="49" t="str">
        <f t="shared" si="4"/>
        <v>No certificado</v>
      </c>
      <c r="Z21" s="49" t="s">
        <v>172</v>
      </c>
      <c r="AA21" s="49" t="s">
        <v>172</v>
      </c>
      <c r="AB21" s="54">
        <v>0</v>
      </c>
      <c r="AC21" s="49" t="str">
        <f t="shared" si="0"/>
        <v>No aprobado</v>
      </c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19"/>
    </row>
    <row r="22" spans="1:60" ht="27.6" x14ac:dyDescent="0.3">
      <c r="A22" s="49">
        <v>10</v>
      </c>
      <c r="B22" s="49" t="s">
        <v>202</v>
      </c>
      <c r="C22" s="55">
        <v>1030640231</v>
      </c>
      <c r="D22" s="49" t="s">
        <v>115</v>
      </c>
      <c r="E22" s="49" t="s">
        <v>177</v>
      </c>
      <c r="F22" s="49" t="str">
        <f>_xlfn.XLOOKUP(C22,[1]Hoja1!$B:$B,[1]Hoja1!$F:$F)</f>
        <v>GESTOR DE OPERACIONES</v>
      </c>
      <c r="G22" s="51">
        <v>3</v>
      </c>
      <c r="H22" s="51">
        <v>2</v>
      </c>
      <c r="I22" s="51">
        <v>2</v>
      </c>
      <c r="J22" s="51">
        <v>2</v>
      </c>
      <c r="K22" s="51">
        <v>2</v>
      </c>
      <c r="L22" s="51">
        <v>2</v>
      </c>
      <c r="M22" s="51" t="s">
        <v>120</v>
      </c>
      <c r="N22" s="51">
        <v>2</v>
      </c>
      <c r="O22" s="51">
        <v>2</v>
      </c>
      <c r="P22" s="51">
        <v>2</v>
      </c>
      <c r="Q22" s="51">
        <v>2</v>
      </c>
      <c r="R22" s="51">
        <v>2</v>
      </c>
      <c r="S22" s="51">
        <v>2</v>
      </c>
      <c r="T22" s="51">
        <v>2</v>
      </c>
      <c r="U22" s="51" t="s">
        <v>120</v>
      </c>
      <c r="V22" s="51">
        <f t="shared" si="1"/>
        <v>27</v>
      </c>
      <c r="W22" s="51">
        <f t="shared" si="2"/>
        <v>15</v>
      </c>
      <c r="X22" s="52">
        <f t="shared" si="3"/>
        <v>0.84375</v>
      </c>
      <c r="Y22" s="49" t="str">
        <f t="shared" si="4"/>
        <v>Certificado</v>
      </c>
      <c r="Z22" s="49">
        <v>4</v>
      </c>
      <c r="AA22" s="49">
        <v>4</v>
      </c>
      <c r="AB22" s="54">
        <v>4</v>
      </c>
      <c r="AC22" s="49" t="str">
        <f t="shared" si="0"/>
        <v>Aprobado</v>
      </c>
      <c r="AD22" s="118">
        <v>5</v>
      </c>
      <c r="AE22" s="118">
        <v>5</v>
      </c>
      <c r="AF22" s="118">
        <v>5</v>
      </c>
      <c r="AG22" s="118">
        <v>5</v>
      </c>
      <c r="AH22" s="118">
        <v>5</v>
      </c>
      <c r="AI22" s="118">
        <v>5</v>
      </c>
      <c r="AJ22" s="118">
        <v>5</v>
      </c>
      <c r="AK22" s="118">
        <v>5</v>
      </c>
      <c r="AL22" s="118">
        <v>5</v>
      </c>
      <c r="AM22" s="118">
        <v>5</v>
      </c>
      <c r="AN22" s="118">
        <v>5</v>
      </c>
      <c r="AO22" s="118">
        <v>5</v>
      </c>
      <c r="AP22" s="118">
        <v>5</v>
      </c>
      <c r="AQ22" s="118">
        <v>5</v>
      </c>
      <c r="AR22" s="118">
        <v>5</v>
      </c>
      <c r="AS22" s="118">
        <v>5</v>
      </c>
      <c r="AT22" s="118">
        <v>5</v>
      </c>
      <c r="AU22" s="118">
        <v>5</v>
      </c>
      <c r="AV22" s="118">
        <v>5</v>
      </c>
      <c r="AW22" s="118">
        <v>5</v>
      </c>
      <c r="AX22" s="118">
        <v>5</v>
      </c>
      <c r="AY22" s="118">
        <v>5</v>
      </c>
      <c r="AZ22" s="118">
        <v>5</v>
      </c>
      <c r="BA22" s="118">
        <v>5</v>
      </c>
      <c r="BB22" s="118">
        <v>5</v>
      </c>
      <c r="BC22" s="118" t="s">
        <v>75</v>
      </c>
      <c r="BD22" s="118" t="s">
        <v>203</v>
      </c>
      <c r="BE22" s="118" t="s">
        <v>204</v>
      </c>
      <c r="BF22" s="118" t="s">
        <v>175</v>
      </c>
      <c r="BG22" s="118">
        <v>5</v>
      </c>
      <c r="BH22" s="119">
        <f t="shared" si="5"/>
        <v>5</v>
      </c>
    </row>
    <row r="23" spans="1:60" ht="14.4" x14ac:dyDescent="0.3">
      <c r="A23" s="49">
        <v>11</v>
      </c>
      <c r="B23" s="49" t="s">
        <v>205</v>
      </c>
      <c r="C23" s="55">
        <v>46458408</v>
      </c>
      <c r="D23" s="49" t="s">
        <v>115</v>
      </c>
      <c r="E23" s="49" t="s">
        <v>218</v>
      </c>
      <c r="F23" s="49" t="str">
        <f>_xlfn.XLOOKUP(C23,[1]Hoja1!$B:$B,[1]Hoja1!$F:$F)</f>
        <v>GESTOR DE OPERACIONES</v>
      </c>
      <c r="G23" s="51">
        <v>3</v>
      </c>
      <c r="H23" s="51">
        <v>2</v>
      </c>
      <c r="I23" s="51">
        <v>2</v>
      </c>
      <c r="J23" s="51">
        <v>2</v>
      </c>
      <c r="K23" s="51" t="s">
        <v>120</v>
      </c>
      <c r="L23" s="51">
        <v>2</v>
      </c>
      <c r="M23" s="51">
        <v>2</v>
      </c>
      <c r="N23" s="51">
        <v>2</v>
      </c>
      <c r="O23" s="51">
        <v>2</v>
      </c>
      <c r="P23" s="51">
        <v>2</v>
      </c>
      <c r="Q23" s="51">
        <v>2</v>
      </c>
      <c r="R23" s="51">
        <v>2</v>
      </c>
      <c r="S23" s="51">
        <v>2</v>
      </c>
      <c r="T23" s="51">
        <v>2</v>
      </c>
      <c r="U23" s="51" t="s">
        <v>120</v>
      </c>
      <c r="V23" s="51">
        <f t="shared" si="1"/>
        <v>27</v>
      </c>
      <c r="W23" s="51">
        <f t="shared" si="2"/>
        <v>15</v>
      </c>
      <c r="X23" s="52">
        <f t="shared" si="3"/>
        <v>0.84375</v>
      </c>
      <c r="Y23" s="49" t="str">
        <f t="shared" si="4"/>
        <v>Certificado</v>
      </c>
      <c r="Z23" s="49">
        <v>4</v>
      </c>
      <c r="AA23" s="49">
        <v>4</v>
      </c>
      <c r="AB23" s="54">
        <v>4</v>
      </c>
      <c r="AC23" s="49" t="str">
        <f t="shared" si="0"/>
        <v>Aprobado</v>
      </c>
      <c r="AD23" s="118">
        <v>5</v>
      </c>
      <c r="AE23" s="118">
        <v>5</v>
      </c>
      <c r="AF23" s="118">
        <v>5</v>
      </c>
      <c r="AG23" s="118">
        <v>5</v>
      </c>
      <c r="AH23" s="118">
        <v>5</v>
      </c>
      <c r="AI23" s="118">
        <v>5</v>
      </c>
      <c r="AJ23" s="118">
        <v>5</v>
      </c>
      <c r="AK23" s="118">
        <v>5</v>
      </c>
      <c r="AL23" s="118">
        <v>5</v>
      </c>
      <c r="AM23" s="118">
        <v>5</v>
      </c>
      <c r="AN23" s="118">
        <v>5</v>
      </c>
      <c r="AO23" s="118">
        <v>5</v>
      </c>
      <c r="AP23" s="118">
        <v>5</v>
      </c>
      <c r="AQ23" s="118">
        <v>5</v>
      </c>
      <c r="AR23" s="118">
        <v>5</v>
      </c>
      <c r="AS23" s="118">
        <v>5</v>
      </c>
      <c r="AT23" s="118">
        <v>5</v>
      </c>
      <c r="AU23" s="118">
        <v>5</v>
      </c>
      <c r="AV23" s="118">
        <v>5</v>
      </c>
      <c r="AW23" s="118">
        <v>5</v>
      </c>
      <c r="AX23" s="118">
        <v>5</v>
      </c>
      <c r="AY23" s="118">
        <v>5</v>
      </c>
      <c r="AZ23" s="118">
        <v>5</v>
      </c>
      <c r="BA23" s="118">
        <v>5</v>
      </c>
      <c r="BB23" s="118">
        <v>5</v>
      </c>
      <c r="BC23" s="118" t="s">
        <v>206</v>
      </c>
      <c r="BD23" s="118" t="s">
        <v>207</v>
      </c>
      <c r="BE23" s="118" t="s">
        <v>207</v>
      </c>
      <c r="BF23" s="118" t="s">
        <v>175</v>
      </c>
      <c r="BG23" s="118">
        <v>5</v>
      </c>
      <c r="BH23" s="119">
        <f t="shared" si="5"/>
        <v>5</v>
      </c>
    </row>
    <row r="24" spans="1:60" ht="27.6" x14ac:dyDescent="0.3">
      <c r="A24" s="49">
        <v>12</v>
      </c>
      <c r="B24" s="49" t="s">
        <v>208</v>
      </c>
      <c r="C24" s="55">
        <v>43016375</v>
      </c>
      <c r="D24" s="49" t="s">
        <v>115</v>
      </c>
      <c r="E24" s="49" t="s">
        <v>177</v>
      </c>
      <c r="F24" s="49" t="str">
        <f>_xlfn.XLOOKUP(C24,[1]Hoja1!$B:$B,[1]Hoja1!$F:$F)</f>
        <v>GESTOR DE OPERACIONES</v>
      </c>
      <c r="G24" s="51">
        <v>3</v>
      </c>
      <c r="H24" s="51">
        <v>2</v>
      </c>
      <c r="I24" s="51">
        <v>2</v>
      </c>
      <c r="J24" s="51">
        <v>2</v>
      </c>
      <c r="K24" s="51">
        <v>2</v>
      </c>
      <c r="L24" s="51">
        <v>2</v>
      </c>
      <c r="M24" s="51">
        <v>2</v>
      </c>
      <c r="N24" s="51">
        <v>2</v>
      </c>
      <c r="O24" s="51">
        <v>2</v>
      </c>
      <c r="P24" s="51">
        <v>2</v>
      </c>
      <c r="Q24" s="51">
        <v>2</v>
      </c>
      <c r="R24" s="51">
        <v>2</v>
      </c>
      <c r="S24" s="51">
        <v>2</v>
      </c>
      <c r="T24" s="51">
        <v>2</v>
      </c>
      <c r="U24" s="51">
        <v>3</v>
      </c>
      <c r="V24" s="51">
        <f t="shared" si="1"/>
        <v>32</v>
      </c>
      <c r="W24" s="51">
        <f t="shared" si="2"/>
        <v>15</v>
      </c>
      <c r="X24" s="52">
        <f t="shared" si="3"/>
        <v>1</v>
      </c>
      <c r="Y24" s="49" t="str">
        <f t="shared" si="4"/>
        <v>Certificado</v>
      </c>
      <c r="Z24" s="49">
        <v>4</v>
      </c>
      <c r="AA24" s="49" t="s">
        <v>172</v>
      </c>
      <c r="AB24" s="54">
        <v>4</v>
      </c>
      <c r="AC24" s="49" t="str">
        <f t="shared" si="0"/>
        <v>Aprobado</v>
      </c>
      <c r="AD24" s="118">
        <v>5</v>
      </c>
      <c r="AE24" s="118">
        <v>5</v>
      </c>
      <c r="AF24" s="118">
        <v>5</v>
      </c>
      <c r="AG24" s="118">
        <v>5</v>
      </c>
      <c r="AH24" s="118">
        <v>5</v>
      </c>
      <c r="AI24" s="118">
        <v>5</v>
      </c>
      <c r="AJ24" s="118">
        <v>4</v>
      </c>
      <c r="AK24" s="118">
        <v>4</v>
      </c>
      <c r="AL24" s="118">
        <v>3</v>
      </c>
      <c r="AM24" s="118">
        <v>4</v>
      </c>
      <c r="AN24" s="118">
        <v>4</v>
      </c>
      <c r="AO24" s="118">
        <v>4</v>
      </c>
      <c r="AP24" s="118">
        <v>5</v>
      </c>
      <c r="AQ24" s="118">
        <v>5</v>
      </c>
      <c r="AR24" s="118">
        <v>5</v>
      </c>
      <c r="AS24" s="118">
        <v>5</v>
      </c>
      <c r="AT24" s="118">
        <v>5</v>
      </c>
      <c r="AU24" s="118">
        <v>4</v>
      </c>
      <c r="AV24" s="118">
        <v>5</v>
      </c>
      <c r="AW24" s="118">
        <v>5</v>
      </c>
      <c r="AX24" s="118">
        <v>5</v>
      </c>
      <c r="AY24" s="118">
        <v>5</v>
      </c>
      <c r="AZ24" s="118">
        <v>5</v>
      </c>
      <c r="BA24" s="118">
        <v>5</v>
      </c>
      <c r="BB24" s="118">
        <v>5</v>
      </c>
      <c r="BC24" s="118" t="s">
        <v>209</v>
      </c>
      <c r="BD24" s="118" t="s">
        <v>210</v>
      </c>
      <c r="BE24" s="118" t="s">
        <v>211</v>
      </c>
      <c r="BF24" s="118" t="s">
        <v>175</v>
      </c>
      <c r="BG24" s="118">
        <v>4</v>
      </c>
      <c r="BH24" s="119">
        <f t="shared" si="5"/>
        <v>4.6538461538461542</v>
      </c>
    </row>
    <row r="25" spans="1:60" ht="41.4" x14ac:dyDescent="0.3">
      <c r="A25" s="49">
        <v>13</v>
      </c>
      <c r="B25" s="49" t="s">
        <v>212</v>
      </c>
      <c r="C25" s="55">
        <v>52318058</v>
      </c>
      <c r="D25" s="49" t="s">
        <v>115</v>
      </c>
      <c r="E25" s="49" t="s">
        <v>122</v>
      </c>
      <c r="F25" s="49" t="str">
        <f>_xlfn.XLOOKUP(C25,[1]Hoja1!$B:$B,[1]Hoja1!$F:$F)</f>
        <v>AUXILIAR ADMINISTRATIVO</v>
      </c>
      <c r="G25" s="51" t="s">
        <v>120</v>
      </c>
      <c r="H25" s="51" t="s">
        <v>120</v>
      </c>
      <c r="I25" s="51" t="s">
        <v>120</v>
      </c>
      <c r="J25" s="51" t="s">
        <v>120</v>
      </c>
      <c r="K25" s="51" t="s">
        <v>120</v>
      </c>
      <c r="L25" s="51" t="s">
        <v>120</v>
      </c>
      <c r="M25" s="51" t="s">
        <v>120</v>
      </c>
      <c r="N25" s="51" t="s">
        <v>120</v>
      </c>
      <c r="O25" s="51" t="s">
        <v>120</v>
      </c>
      <c r="P25" s="51" t="s">
        <v>120</v>
      </c>
      <c r="Q25" s="51" t="s">
        <v>120</v>
      </c>
      <c r="R25" s="51" t="s">
        <v>120</v>
      </c>
      <c r="S25" s="51" t="s">
        <v>120</v>
      </c>
      <c r="T25" s="51" t="s">
        <v>120</v>
      </c>
      <c r="U25" s="51" t="s">
        <v>120</v>
      </c>
      <c r="V25" s="51">
        <f t="shared" si="1"/>
        <v>0</v>
      </c>
      <c r="W25" s="51">
        <f t="shared" si="2"/>
        <v>15</v>
      </c>
      <c r="X25" s="52">
        <f t="shared" si="3"/>
        <v>0</v>
      </c>
      <c r="Y25" s="49" t="str">
        <f t="shared" si="4"/>
        <v>No certificado</v>
      </c>
      <c r="Z25" s="49" t="s">
        <v>172</v>
      </c>
      <c r="AA25" s="49" t="s">
        <v>172</v>
      </c>
      <c r="AB25" s="54">
        <v>0</v>
      </c>
      <c r="AC25" s="49" t="str">
        <f t="shared" si="0"/>
        <v>No aprobado</v>
      </c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18"/>
      <c r="BG25" s="118"/>
      <c r="BH25" s="119"/>
    </row>
    <row r="26" spans="1:60" ht="27.6" x14ac:dyDescent="0.3">
      <c r="A26" s="49">
        <v>14</v>
      </c>
      <c r="B26" s="49" t="s">
        <v>213</v>
      </c>
      <c r="C26" s="55">
        <v>52315691</v>
      </c>
      <c r="D26" s="49" t="s">
        <v>115</v>
      </c>
      <c r="E26" s="49" t="s">
        <v>192</v>
      </c>
      <c r="F26" s="49" t="str">
        <f>_xlfn.XLOOKUP(C26,[1]Hoja1!$B:$B,[1]Hoja1!$F:$F)</f>
        <v>GESTOR DE OPERACIONES</v>
      </c>
      <c r="G26" s="51" t="s">
        <v>120</v>
      </c>
      <c r="H26" s="51">
        <v>2</v>
      </c>
      <c r="I26" s="51">
        <v>2</v>
      </c>
      <c r="J26" s="51">
        <v>2</v>
      </c>
      <c r="K26" s="51">
        <v>2</v>
      </c>
      <c r="L26" s="51">
        <v>2</v>
      </c>
      <c r="M26" s="51">
        <v>2</v>
      </c>
      <c r="N26" s="51">
        <v>2</v>
      </c>
      <c r="O26" s="51">
        <v>2</v>
      </c>
      <c r="P26" s="51">
        <v>2</v>
      </c>
      <c r="Q26" s="51">
        <v>2</v>
      </c>
      <c r="R26" s="51">
        <v>2</v>
      </c>
      <c r="S26" s="51">
        <v>2</v>
      </c>
      <c r="T26" s="51">
        <v>2</v>
      </c>
      <c r="U26" s="51">
        <v>3</v>
      </c>
      <c r="V26" s="51">
        <f t="shared" ref="V26:V28" si="6">IF(B26&lt;&gt;"",SUM(G26:U26),"")</f>
        <v>29</v>
      </c>
      <c r="W26" s="51">
        <f t="shared" ref="W26:W28" si="7">IF(B26&lt;&gt;"",COUNTA(G26:U26),"")</f>
        <v>15</v>
      </c>
      <c r="X26" s="52">
        <f t="shared" si="3"/>
        <v>0.90625</v>
      </c>
      <c r="Y26" s="49" t="str">
        <f t="shared" ref="Y26:Y28" si="8">IF(X26="","",IF(X26&gt;=80%,"Certificado","No certificado"))</f>
        <v>Certificado</v>
      </c>
      <c r="Z26" s="49">
        <v>4</v>
      </c>
      <c r="AA26" s="49">
        <v>4</v>
      </c>
      <c r="AB26" s="54">
        <v>4</v>
      </c>
      <c r="AC26" s="49" t="str">
        <f t="shared" si="0"/>
        <v>Aprobado</v>
      </c>
      <c r="AD26" s="118">
        <v>5</v>
      </c>
      <c r="AE26" s="118">
        <v>5</v>
      </c>
      <c r="AF26" s="118">
        <v>5</v>
      </c>
      <c r="AG26" s="118">
        <v>5</v>
      </c>
      <c r="AH26" s="118">
        <v>5</v>
      </c>
      <c r="AI26" s="118">
        <v>5</v>
      </c>
      <c r="AJ26" s="118">
        <v>5</v>
      </c>
      <c r="AK26" s="118">
        <v>5</v>
      </c>
      <c r="AL26" s="118">
        <v>5</v>
      </c>
      <c r="AM26" s="118">
        <v>5</v>
      </c>
      <c r="AN26" s="118">
        <v>5</v>
      </c>
      <c r="AO26" s="118">
        <v>5</v>
      </c>
      <c r="AP26" s="118">
        <v>5</v>
      </c>
      <c r="AQ26" s="118">
        <v>5</v>
      </c>
      <c r="AR26" s="118">
        <v>5</v>
      </c>
      <c r="AS26" s="118">
        <v>5</v>
      </c>
      <c r="AT26" s="118">
        <v>5</v>
      </c>
      <c r="AU26" s="118">
        <v>5</v>
      </c>
      <c r="AV26" s="118">
        <v>5</v>
      </c>
      <c r="AW26" s="118">
        <v>5</v>
      </c>
      <c r="AX26" s="118">
        <v>5</v>
      </c>
      <c r="AY26" s="118">
        <v>5</v>
      </c>
      <c r="AZ26" s="118">
        <v>5</v>
      </c>
      <c r="BA26" s="118">
        <v>5</v>
      </c>
      <c r="BB26" s="118">
        <v>5</v>
      </c>
      <c r="BC26" s="118" t="s">
        <v>214</v>
      </c>
      <c r="BD26" s="118" t="s">
        <v>215</v>
      </c>
      <c r="BE26" s="118" t="s">
        <v>216</v>
      </c>
      <c r="BF26" s="118" t="s">
        <v>175</v>
      </c>
      <c r="BG26" s="118">
        <v>5</v>
      </c>
      <c r="BH26" s="119">
        <f t="shared" si="5"/>
        <v>5</v>
      </c>
    </row>
    <row r="27" spans="1:60" ht="14.4" x14ac:dyDescent="0.3">
      <c r="A27" s="49">
        <v>15</v>
      </c>
      <c r="B27" s="49" t="s">
        <v>217</v>
      </c>
      <c r="C27" s="55">
        <v>70663332</v>
      </c>
      <c r="D27" s="49" t="s">
        <v>115</v>
      </c>
      <c r="E27" s="49" t="s">
        <v>218</v>
      </c>
      <c r="F27" s="49" t="str">
        <f>_xlfn.XLOOKUP(C27,[1]Hoja1!$B:$B,[1]Hoja1!$F:$F)</f>
        <v>GESTOR DE OPERACIONES</v>
      </c>
      <c r="G27" s="51">
        <v>3</v>
      </c>
      <c r="H27" s="51">
        <v>2</v>
      </c>
      <c r="I27" s="51">
        <v>2</v>
      </c>
      <c r="J27" s="51">
        <v>2</v>
      </c>
      <c r="K27" s="51">
        <v>2</v>
      </c>
      <c r="L27" s="51">
        <v>2</v>
      </c>
      <c r="M27" s="51">
        <v>2</v>
      </c>
      <c r="N27" s="51">
        <v>2</v>
      </c>
      <c r="O27" s="51">
        <v>2</v>
      </c>
      <c r="P27" s="51">
        <v>2</v>
      </c>
      <c r="Q27" s="51">
        <v>2</v>
      </c>
      <c r="R27" s="51">
        <v>2</v>
      </c>
      <c r="S27" s="51">
        <v>2</v>
      </c>
      <c r="T27" s="51">
        <v>2</v>
      </c>
      <c r="U27" s="51">
        <v>3</v>
      </c>
      <c r="V27" s="51">
        <f t="shared" si="6"/>
        <v>32</v>
      </c>
      <c r="W27" s="51">
        <f t="shared" si="7"/>
        <v>15</v>
      </c>
      <c r="X27" s="52">
        <f t="shared" si="3"/>
        <v>1</v>
      </c>
      <c r="Y27" s="49" t="str">
        <f t="shared" si="8"/>
        <v>Certificado</v>
      </c>
      <c r="Z27" s="49" t="s">
        <v>188</v>
      </c>
      <c r="AA27" s="49">
        <v>4</v>
      </c>
      <c r="AB27" s="54">
        <v>4</v>
      </c>
      <c r="AC27" s="49" t="str">
        <f t="shared" si="0"/>
        <v>Aprobado</v>
      </c>
      <c r="AD27" s="118">
        <v>5</v>
      </c>
      <c r="AE27" s="118">
        <v>5</v>
      </c>
      <c r="AF27" s="118">
        <v>4</v>
      </c>
      <c r="AG27" s="118">
        <v>4</v>
      </c>
      <c r="AH27" s="118">
        <v>5</v>
      </c>
      <c r="AI27" s="118">
        <v>5</v>
      </c>
      <c r="AJ27" s="118">
        <v>4</v>
      </c>
      <c r="AK27" s="118">
        <v>4</v>
      </c>
      <c r="AL27" s="118">
        <v>3</v>
      </c>
      <c r="AM27" s="118">
        <v>4</v>
      </c>
      <c r="AN27" s="118">
        <v>4</v>
      </c>
      <c r="AO27" s="118">
        <v>4</v>
      </c>
      <c r="AP27" s="118">
        <v>5</v>
      </c>
      <c r="AQ27" s="118">
        <v>5</v>
      </c>
      <c r="AR27" s="118">
        <v>5</v>
      </c>
      <c r="AS27" s="118">
        <v>5</v>
      </c>
      <c r="AT27" s="118">
        <v>5</v>
      </c>
      <c r="AU27" s="118">
        <v>5</v>
      </c>
      <c r="AV27" s="118">
        <v>5</v>
      </c>
      <c r="AW27" s="118">
        <v>5</v>
      </c>
      <c r="AX27" s="118">
        <v>5</v>
      </c>
      <c r="AY27" s="118">
        <v>5</v>
      </c>
      <c r="AZ27" s="118">
        <v>5</v>
      </c>
      <c r="BA27" s="118">
        <v>5</v>
      </c>
      <c r="BB27" s="118">
        <v>5</v>
      </c>
      <c r="BC27" s="118" t="s">
        <v>219</v>
      </c>
      <c r="BD27" s="118" t="s">
        <v>219</v>
      </c>
      <c r="BE27" s="118" t="s">
        <v>220</v>
      </c>
      <c r="BF27" s="118" t="s">
        <v>175</v>
      </c>
      <c r="BG27" s="118">
        <v>5</v>
      </c>
      <c r="BH27" s="119">
        <f t="shared" si="5"/>
        <v>4.6538461538461542</v>
      </c>
    </row>
    <row r="28" spans="1:60" ht="27.6" x14ac:dyDescent="0.3">
      <c r="A28" s="49">
        <v>16</v>
      </c>
      <c r="B28" s="49" t="s">
        <v>221</v>
      </c>
      <c r="C28" s="55">
        <v>52454760</v>
      </c>
      <c r="D28" s="49" t="s">
        <v>115</v>
      </c>
      <c r="E28" s="49" t="s">
        <v>222</v>
      </c>
      <c r="F28" s="49" t="str">
        <f>_xlfn.XLOOKUP(C28,[1]Hoja1!$B:$B,[1]Hoja1!$F:$F)</f>
        <v>GESTOR DE OPERACIONES</v>
      </c>
      <c r="G28" s="51">
        <v>3</v>
      </c>
      <c r="H28" s="51">
        <v>2</v>
      </c>
      <c r="I28" s="51">
        <v>2</v>
      </c>
      <c r="J28" s="51">
        <v>2</v>
      </c>
      <c r="K28" s="51">
        <v>2</v>
      </c>
      <c r="L28" s="51">
        <v>2</v>
      </c>
      <c r="M28" s="51">
        <v>2</v>
      </c>
      <c r="N28" s="51">
        <v>2</v>
      </c>
      <c r="O28" s="51">
        <v>2</v>
      </c>
      <c r="P28" s="51">
        <v>2</v>
      </c>
      <c r="Q28" s="51">
        <v>2</v>
      </c>
      <c r="R28" s="51">
        <v>2</v>
      </c>
      <c r="S28" s="51">
        <v>2</v>
      </c>
      <c r="T28" s="51">
        <v>2</v>
      </c>
      <c r="U28" s="51">
        <v>3</v>
      </c>
      <c r="V28" s="51">
        <f t="shared" si="6"/>
        <v>32</v>
      </c>
      <c r="W28" s="51">
        <f t="shared" si="7"/>
        <v>15</v>
      </c>
      <c r="X28" s="52">
        <f t="shared" si="3"/>
        <v>1</v>
      </c>
      <c r="Y28" s="49" t="str">
        <f t="shared" si="8"/>
        <v>Certificado</v>
      </c>
      <c r="Z28" s="49" t="s">
        <v>197</v>
      </c>
      <c r="AA28" s="49">
        <v>4</v>
      </c>
      <c r="AB28" s="54" t="s">
        <v>197</v>
      </c>
      <c r="AC28" s="49" t="str">
        <f t="shared" si="0"/>
        <v>Aprobado</v>
      </c>
      <c r="AD28" s="118">
        <v>5</v>
      </c>
      <c r="AE28" s="118">
        <v>5</v>
      </c>
      <c r="AF28" s="118">
        <v>5</v>
      </c>
      <c r="AG28" s="118">
        <v>5</v>
      </c>
      <c r="AH28" s="118">
        <v>5</v>
      </c>
      <c r="AI28" s="118">
        <v>5</v>
      </c>
      <c r="AJ28" s="118">
        <v>5</v>
      </c>
      <c r="AK28" s="118">
        <v>5</v>
      </c>
      <c r="AL28" s="118">
        <v>5</v>
      </c>
      <c r="AM28" s="118">
        <v>5</v>
      </c>
      <c r="AN28" s="118">
        <v>5</v>
      </c>
      <c r="AO28" s="118">
        <v>5</v>
      </c>
      <c r="AP28" s="118">
        <v>5</v>
      </c>
      <c r="AQ28" s="118">
        <v>5</v>
      </c>
      <c r="AR28" s="118">
        <v>5</v>
      </c>
      <c r="AS28" s="118">
        <v>5</v>
      </c>
      <c r="AT28" s="118">
        <v>5</v>
      </c>
      <c r="AU28" s="118">
        <v>5</v>
      </c>
      <c r="AV28" s="118">
        <v>5</v>
      </c>
      <c r="AW28" s="118">
        <v>5</v>
      </c>
      <c r="AX28" s="118">
        <v>5</v>
      </c>
      <c r="AY28" s="118">
        <v>5</v>
      </c>
      <c r="AZ28" s="118">
        <v>5</v>
      </c>
      <c r="BA28" s="118">
        <v>5</v>
      </c>
      <c r="BB28" s="118">
        <v>5</v>
      </c>
      <c r="BC28" s="118" t="s">
        <v>223</v>
      </c>
      <c r="BD28" s="118" t="s">
        <v>224</v>
      </c>
      <c r="BE28" s="118" t="s">
        <v>225</v>
      </c>
      <c r="BF28" s="118" t="s">
        <v>175</v>
      </c>
      <c r="BG28" s="118">
        <v>5</v>
      </c>
      <c r="BH28" s="119">
        <f t="shared" si="5"/>
        <v>5</v>
      </c>
    </row>
    <row r="29" spans="1:60" ht="14.4" x14ac:dyDescent="0.3">
      <c r="A29" s="49">
        <v>17</v>
      </c>
      <c r="B29" s="49" t="s">
        <v>226</v>
      </c>
      <c r="C29" s="55">
        <v>1015415271</v>
      </c>
      <c r="D29" s="49" t="s">
        <v>115</v>
      </c>
      <c r="E29" s="49" t="s">
        <v>227</v>
      </c>
      <c r="F29" s="49" t="str">
        <f>_xlfn.XLOOKUP(C29,[1]Hoja1!$B:$B,[1]Hoja1!$F:$F)</f>
        <v>GESTOR DE OPERACIONES</v>
      </c>
      <c r="G29" s="51">
        <v>3</v>
      </c>
      <c r="H29" s="51">
        <v>2</v>
      </c>
      <c r="I29" s="51">
        <v>2</v>
      </c>
      <c r="J29" s="51">
        <v>2</v>
      </c>
      <c r="K29" s="51">
        <v>2</v>
      </c>
      <c r="L29" s="51">
        <v>2</v>
      </c>
      <c r="M29" s="51">
        <v>2</v>
      </c>
      <c r="N29" s="51">
        <v>2</v>
      </c>
      <c r="O29" s="51">
        <v>2</v>
      </c>
      <c r="P29" s="51">
        <v>2</v>
      </c>
      <c r="Q29" s="51">
        <v>2</v>
      </c>
      <c r="R29" s="51">
        <v>2</v>
      </c>
      <c r="S29" s="51">
        <v>2</v>
      </c>
      <c r="T29" s="51">
        <v>2</v>
      </c>
      <c r="U29" s="51">
        <v>3</v>
      </c>
      <c r="V29" s="51">
        <f t="shared" si="1"/>
        <v>32</v>
      </c>
      <c r="W29" s="51">
        <f t="shared" si="2"/>
        <v>15</v>
      </c>
      <c r="X29" s="52">
        <f t="shared" si="3"/>
        <v>1</v>
      </c>
      <c r="Y29" s="49" t="str">
        <f t="shared" si="4"/>
        <v>Certificado</v>
      </c>
      <c r="Z29" s="49" t="s">
        <v>188</v>
      </c>
      <c r="AA29" s="49" t="s">
        <v>188</v>
      </c>
      <c r="AB29" s="54" t="s">
        <v>197</v>
      </c>
      <c r="AC29" s="49" t="str">
        <f t="shared" si="0"/>
        <v>Aprobado</v>
      </c>
      <c r="AD29" s="118">
        <v>5</v>
      </c>
      <c r="AE29" s="118">
        <v>5</v>
      </c>
      <c r="AF29" s="118">
        <v>5</v>
      </c>
      <c r="AG29" s="118">
        <v>5</v>
      </c>
      <c r="AH29" s="118">
        <v>5</v>
      </c>
      <c r="AI29" s="118">
        <v>5</v>
      </c>
      <c r="AJ29" s="118">
        <v>4</v>
      </c>
      <c r="AK29" s="118">
        <v>4</v>
      </c>
      <c r="AL29" s="118">
        <v>4</v>
      </c>
      <c r="AM29" s="118">
        <v>4</v>
      </c>
      <c r="AN29" s="118">
        <v>4</v>
      </c>
      <c r="AO29" s="118">
        <v>4</v>
      </c>
      <c r="AP29" s="118">
        <v>5</v>
      </c>
      <c r="AQ29" s="118">
        <v>5</v>
      </c>
      <c r="AR29" s="118">
        <v>5</v>
      </c>
      <c r="AS29" s="118">
        <v>5</v>
      </c>
      <c r="AT29" s="118">
        <v>5</v>
      </c>
      <c r="AU29" s="118">
        <v>5</v>
      </c>
      <c r="AV29" s="118">
        <v>5</v>
      </c>
      <c r="AW29" s="118">
        <v>5</v>
      </c>
      <c r="AX29" s="118">
        <v>5</v>
      </c>
      <c r="AY29" s="118">
        <v>5</v>
      </c>
      <c r="AZ29" s="118">
        <v>5</v>
      </c>
      <c r="BA29" s="118">
        <v>5</v>
      </c>
      <c r="BB29" s="118">
        <v>5</v>
      </c>
      <c r="BC29" s="118" t="s">
        <v>228</v>
      </c>
      <c r="BD29" s="118" t="s">
        <v>229</v>
      </c>
      <c r="BE29" s="118" t="s">
        <v>230</v>
      </c>
      <c r="BF29" s="118" t="s">
        <v>175</v>
      </c>
      <c r="BG29" s="118">
        <v>5</v>
      </c>
      <c r="BH29" s="119">
        <f t="shared" si="5"/>
        <v>4.7692307692307692</v>
      </c>
    </row>
    <row r="30" spans="1:60" ht="14.4" x14ac:dyDescent="0.3">
      <c r="A30" s="49">
        <v>18</v>
      </c>
      <c r="B30" s="49" t="s">
        <v>231</v>
      </c>
      <c r="C30" s="55">
        <v>28977244</v>
      </c>
      <c r="D30" s="49" t="s">
        <v>115</v>
      </c>
      <c r="E30" s="49" t="s">
        <v>232</v>
      </c>
      <c r="F30" s="49" t="str">
        <f>_xlfn.XLOOKUP(C30,[1]Hoja1!$B:$B,[1]Hoja1!$F:$F)</f>
        <v>GESTOR DE OPERACIONES</v>
      </c>
      <c r="G30" s="51">
        <v>3</v>
      </c>
      <c r="H30" s="51">
        <v>2</v>
      </c>
      <c r="I30" s="51">
        <v>2</v>
      </c>
      <c r="J30" s="51">
        <v>2</v>
      </c>
      <c r="K30" s="51">
        <v>2</v>
      </c>
      <c r="L30" s="51">
        <v>2</v>
      </c>
      <c r="M30" s="51">
        <v>2</v>
      </c>
      <c r="N30" s="51">
        <v>2</v>
      </c>
      <c r="O30" s="51">
        <v>2</v>
      </c>
      <c r="P30" s="51">
        <v>2</v>
      </c>
      <c r="Q30" s="51">
        <v>2</v>
      </c>
      <c r="R30" s="51">
        <v>2</v>
      </c>
      <c r="S30" s="51">
        <v>2</v>
      </c>
      <c r="T30" s="51">
        <v>2</v>
      </c>
      <c r="U30" s="51" t="s">
        <v>120</v>
      </c>
      <c r="V30" s="51">
        <f t="shared" si="1"/>
        <v>29</v>
      </c>
      <c r="W30" s="51">
        <f t="shared" si="2"/>
        <v>15</v>
      </c>
      <c r="X30" s="52">
        <f t="shared" si="3"/>
        <v>0.90625</v>
      </c>
      <c r="Y30" s="49" t="str">
        <f t="shared" si="4"/>
        <v>Certificado</v>
      </c>
      <c r="Z30" s="49">
        <v>4</v>
      </c>
      <c r="AA30" s="49" t="s">
        <v>188</v>
      </c>
      <c r="AB30" s="54">
        <v>4</v>
      </c>
      <c r="AC30" s="49" t="str">
        <f t="shared" si="0"/>
        <v>Aprobado</v>
      </c>
      <c r="AD30" s="118">
        <v>5</v>
      </c>
      <c r="AE30" s="118">
        <v>5</v>
      </c>
      <c r="AF30" s="118">
        <v>5</v>
      </c>
      <c r="AG30" s="118">
        <v>5</v>
      </c>
      <c r="AH30" s="118">
        <v>5</v>
      </c>
      <c r="AI30" s="118">
        <v>5</v>
      </c>
      <c r="AJ30" s="118">
        <v>4</v>
      </c>
      <c r="AK30" s="118">
        <v>4</v>
      </c>
      <c r="AL30" s="118">
        <v>4</v>
      </c>
      <c r="AM30" s="118">
        <v>4</v>
      </c>
      <c r="AN30" s="118">
        <v>4</v>
      </c>
      <c r="AO30" s="118">
        <v>4</v>
      </c>
      <c r="AP30" s="118">
        <v>5</v>
      </c>
      <c r="AQ30" s="118">
        <v>5</v>
      </c>
      <c r="AR30" s="118">
        <v>5</v>
      </c>
      <c r="AS30" s="118">
        <v>5</v>
      </c>
      <c r="AT30" s="118">
        <v>5</v>
      </c>
      <c r="AU30" s="118">
        <v>5</v>
      </c>
      <c r="AV30" s="118">
        <v>5</v>
      </c>
      <c r="AW30" s="118">
        <v>5</v>
      </c>
      <c r="AX30" s="118">
        <v>5</v>
      </c>
      <c r="AY30" s="118">
        <v>5</v>
      </c>
      <c r="AZ30" s="118">
        <v>5</v>
      </c>
      <c r="BA30" s="118">
        <v>5</v>
      </c>
      <c r="BB30" s="118">
        <v>5</v>
      </c>
      <c r="BC30" s="118" t="s">
        <v>233</v>
      </c>
      <c r="BD30" s="118" t="s">
        <v>75</v>
      </c>
      <c r="BE30" s="118" t="s">
        <v>234</v>
      </c>
      <c r="BF30" s="118" t="s">
        <v>175</v>
      </c>
      <c r="BG30" s="118">
        <v>5</v>
      </c>
      <c r="BH30" s="119">
        <f t="shared" si="5"/>
        <v>4.7692307692307692</v>
      </c>
    </row>
    <row r="31" spans="1:60" ht="27.6" x14ac:dyDescent="0.3">
      <c r="A31" s="49">
        <v>19</v>
      </c>
      <c r="B31" s="49" t="s">
        <v>235</v>
      </c>
      <c r="C31" s="55">
        <v>52528416</v>
      </c>
      <c r="D31" s="49" t="s">
        <v>115</v>
      </c>
      <c r="E31" s="49" t="s">
        <v>177</v>
      </c>
      <c r="F31" s="49" t="str">
        <f>_xlfn.XLOOKUP(C31,[1]Hoja1!$B:$B,[1]Hoja1!$F:$F)</f>
        <v>GESTOR DE OPERACIONES</v>
      </c>
      <c r="G31" s="51">
        <v>3</v>
      </c>
      <c r="H31" s="51">
        <v>2</v>
      </c>
      <c r="I31" s="51">
        <v>2</v>
      </c>
      <c r="J31" s="51">
        <v>2</v>
      </c>
      <c r="K31" s="51">
        <v>2</v>
      </c>
      <c r="L31" s="51">
        <v>2</v>
      </c>
      <c r="M31" s="51">
        <v>2</v>
      </c>
      <c r="N31" s="51">
        <v>2</v>
      </c>
      <c r="O31" s="51">
        <v>2</v>
      </c>
      <c r="P31" s="51">
        <v>2</v>
      </c>
      <c r="Q31" s="51">
        <v>2</v>
      </c>
      <c r="R31" s="51">
        <v>2</v>
      </c>
      <c r="S31" s="51" t="s">
        <v>120</v>
      </c>
      <c r="T31" s="51">
        <v>2</v>
      </c>
      <c r="U31" s="51" t="s">
        <v>120</v>
      </c>
      <c r="V31" s="51">
        <f t="shared" si="1"/>
        <v>27</v>
      </c>
      <c r="W31" s="51">
        <f t="shared" si="2"/>
        <v>15</v>
      </c>
      <c r="X31" s="52">
        <f t="shared" si="3"/>
        <v>0.84375</v>
      </c>
      <c r="Y31" s="49" t="str">
        <f t="shared" si="4"/>
        <v>Certificado</v>
      </c>
      <c r="Z31" s="49">
        <v>4</v>
      </c>
      <c r="AA31" s="49" t="s">
        <v>172</v>
      </c>
      <c r="AB31" s="54">
        <v>4</v>
      </c>
      <c r="AC31" s="49" t="str">
        <f t="shared" si="0"/>
        <v>Aprobado</v>
      </c>
      <c r="AD31" s="118">
        <v>5</v>
      </c>
      <c r="AE31" s="118">
        <v>5</v>
      </c>
      <c r="AF31" s="118">
        <v>5</v>
      </c>
      <c r="AG31" s="118">
        <v>5</v>
      </c>
      <c r="AH31" s="118">
        <v>5</v>
      </c>
      <c r="AI31" s="118">
        <v>5</v>
      </c>
      <c r="AJ31" s="118">
        <v>5</v>
      </c>
      <c r="AK31" s="118">
        <v>5</v>
      </c>
      <c r="AL31" s="118">
        <v>5</v>
      </c>
      <c r="AM31" s="118">
        <v>5</v>
      </c>
      <c r="AN31" s="118">
        <v>5</v>
      </c>
      <c r="AO31" s="118">
        <v>5</v>
      </c>
      <c r="AP31" s="118">
        <v>5</v>
      </c>
      <c r="AQ31" s="118">
        <v>5</v>
      </c>
      <c r="AR31" s="118">
        <v>5</v>
      </c>
      <c r="AS31" s="118">
        <v>5</v>
      </c>
      <c r="AT31" s="118">
        <v>5</v>
      </c>
      <c r="AU31" s="118">
        <v>5</v>
      </c>
      <c r="AV31" s="118">
        <v>5</v>
      </c>
      <c r="AW31" s="118">
        <v>5</v>
      </c>
      <c r="AX31" s="118">
        <v>5</v>
      </c>
      <c r="AY31" s="118">
        <v>5</v>
      </c>
      <c r="AZ31" s="118">
        <v>5</v>
      </c>
      <c r="BA31" s="118">
        <v>5</v>
      </c>
      <c r="BB31" s="118">
        <v>5</v>
      </c>
      <c r="BC31" s="118" t="s">
        <v>236</v>
      </c>
      <c r="BD31" s="118" t="s">
        <v>236</v>
      </c>
      <c r="BE31" s="118" t="s">
        <v>237</v>
      </c>
      <c r="BF31" s="118" t="s">
        <v>175</v>
      </c>
      <c r="BG31" s="118">
        <v>5</v>
      </c>
      <c r="BH31" s="119">
        <f t="shared" si="5"/>
        <v>5</v>
      </c>
    </row>
    <row r="32" spans="1:60" ht="48.75" customHeight="1" x14ac:dyDescent="0.3">
      <c r="A32" s="176" t="s">
        <v>127</v>
      </c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68"/>
    </row>
  </sheetData>
  <mergeCells count="32">
    <mergeCell ref="A6:AC6"/>
    <mergeCell ref="A1:F4"/>
    <mergeCell ref="G1:W4"/>
    <mergeCell ref="X1:AC2"/>
    <mergeCell ref="X3:AC4"/>
    <mergeCell ref="A5:AC5"/>
    <mergeCell ref="A7:AC7"/>
    <mergeCell ref="A8:AC8"/>
    <mergeCell ref="A9:D9"/>
    <mergeCell ref="E9:F9"/>
    <mergeCell ref="G9:N9"/>
    <mergeCell ref="O9:U9"/>
    <mergeCell ref="V9:Y9"/>
    <mergeCell ref="Z9:AC9"/>
    <mergeCell ref="A32:AC32"/>
    <mergeCell ref="A10:B10"/>
    <mergeCell ref="G10:N10"/>
    <mergeCell ref="O10:U10"/>
    <mergeCell ref="V10:W10"/>
    <mergeCell ref="X10:Y10"/>
    <mergeCell ref="AA10:AC10"/>
    <mergeCell ref="A11:F11"/>
    <mergeCell ref="G11:U11"/>
    <mergeCell ref="V11:Y11"/>
    <mergeCell ref="Z11:AC11"/>
    <mergeCell ref="D10:E10"/>
    <mergeCell ref="AD10:BH10"/>
    <mergeCell ref="AD11:AI11"/>
    <mergeCell ref="AP11:AR11"/>
    <mergeCell ref="AS11:BB11"/>
    <mergeCell ref="BC11:BG11"/>
    <mergeCell ref="AJ11:AO11"/>
  </mergeCells>
  <dataValidations disablePrompts="1" count="2">
    <dataValidation type="list" allowBlank="1" showErrorMessage="1" sqref="D13:D31" xr:uid="{428F1CC6-0AD0-4DCF-B68E-8D40551492CD}">
      <formula1>"Contratista,Planta"</formula1>
    </dataValidation>
    <dataValidation allowBlank="1" showErrorMessage="1" sqref="C13:C31" xr:uid="{7DE00311-2EC2-437F-BE56-E89A09907571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6974-3DB3-4D2C-BCDA-CDA8A2D9245B}">
  <sheetPr>
    <tabColor rgb="FF00B050"/>
    <outlinePr summaryBelow="0" summaryRight="0"/>
  </sheetPr>
  <dimension ref="A1:BA21"/>
  <sheetViews>
    <sheetView topLeftCell="A10" workbookViewId="0">
      <selection activeCell="C14" sqref="C14"/>
    </sheetView>
  </sheetViews>
  <sheetFormatPr baseColWidth="10" defaultColWidth="12.5546875" defaultRowHeight="15.75" customHeight="1" x14ac:dyDescent="0.3"/>
  <cols>
    <col min="1" max="1" width="12.5546875" style="44"/>
    <col min="2" max="2" width="38.109375" style="44" customWidth="1"/>
    <col min="3" max="3" width="15.88671875" style="44" customWidth="1"/>
    <col min="4" max="4" width="34.33203125" style="44" customWidth="1"/>
    <col min="5" max="6" width="25.5546875" style="44" customWidth="1"/>
    <col min="7" max="20" width="12.5546875" style="44"/>
    <col min="21" max="21" width="20.109375" style="44" customWidth="1"/>
    <col min="22" max="22" width="18.5546875" style="44" customWidth="1"/>
    <col min="23" max="23" width="13.88671875" style="44" customWidth="1"/>
    <col min="24" max="24" width="20.5546875" style="44" customWidth="1"/>
    <col min="25" max="27" width="12.5546875" style="44"/>
    <col min="28" max="28" width="13.6640625" style="44" customWidth="1"/>
    <col min="29" max="29" width="66.33203125" style="44" customWidth="1"/>
    <col min="30" max="30" width="24.109375" style="44" customWidth="1"/>
    <col min="31" max="31" width="30.44140625" style="44" customWidth="1"/>
    <col min="32" max="32" width="37.44140625" style="44" customWidth="1"/>
    <col min="33" max="33" width="62" style="44" customWidth="1"/>
    <col min="34" max="34" width="35.33203125" style="44" customWidth="1"/>
    <col min="35" max="35" width="62.109375" style="44" customWidth="1"/>
    <col min="36" max="36" width="52.6640625" style="44" customWidth="1"/>
    <col min="37" max="37" width="39.33203125" style="44" customWidth="1"/>
    <col min="38" max="38" width="34.5546875" style="44" customWidth="1"/>
    <col min="39" max="39" width="36.5546875" style="44" customWidth="1"/>
    <col min="40" max="40" width="24" style="44" customWidth="1"/>
    <col min="41" max="41" width="21" style="44" customWidth="1"/>
    <col min="42" max="42" width="22.6640625" style="44" customWidth="1"/>
    <col min="43" max="43" width="34.88671875" style="44" customWidth="1"/>
    <col min="44" max="44" width="28.6640625" style="44" customWidth="1"/>
    <col min="45" max="45" width="24.88671875" style="44" customWidth="1"/>
    <col min="46" max="46" width="45.88671875" style="44" customWidth="1"/>
    <col min="47" max="47" width="35.5546875" style="44" customWidth="1"/>
    <col min="48" max="48" width="55.6640625" style="44" customWidth="1"/>
    <col min="49" max="49" width="51.44140625" style="44" customWidth="1"/>
    <col min="50" max="50" width="73.44140625" style="44" customWidth="1"/>
    <col min="51" max="51" width="46.44140625" style="44" customWidth="1"/>
    <col min="52" max="52" width="29.44140625" style="44" customWidth="1"/>
    <col min="53" max="16384" width="12.5546875" style="44"/>
  </cols>
  <sheetData>
    <row r="1" spans="1:53" ht="14.4" x14ac:dyDescent="0.3">
      <c r="A1" s="156" t="s">
        <v>80</v>
      </c>
      <c r="B1" s="157"/>
      <c r="C1" s="157"/>
      <c r="D1" s="157"/>
      <c r="E1" s="157"/>
      <c r="F1" s="157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2"/>
      <c r="W1" s="156" t="s">
        <v>81</v>
      </c>
      <c r="X1" s="157"/>
      <c r="Y1" s="157"/>
      <c r="Z1" s="157"/>
      <c r="AA1" s="157"/>
      <c r="AB1" s="167"/>
    </row>
    <row r="2" spans="1:53" ht="14.4" x14ac:dyDescent="0.3">
      <c r="A2" s="158"/>
      <c r="B2" s="159"/>
      <c r="C2" s="159"/>
      <c r="D2" s="159"/>
      <c r="E2" s="159"/>
      <c r="F2" s="159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4"/>
      <c r="W2" s="160"/>
      <c r="X2" s="148"/>
      <c r="Y2" s="148"/>
      <c r="Z2" s="148"/>
      <c r="AA2" s="148"/>
      <c r="AB2" s="168"/>
    </row>
    <row r="3" spans="1:53" ht="14.4" x14ac:dyDescent="0.3">
      <c r="A3" s="158"/>
      <c r="B3" s="159"/>
      <c r="C3" s="159"/>
      <c r="D3" s="159"/>
      <c r="E3" s="159"/>
      <c r="F3" s="159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4"/>
      <c r="W3" s="156" t="s">
        <v>82</v>
      </c>
      <c r="X3" s="157"/>
      <c r="Y3" s="157"/>
      <c r="Z3" s="157"/>
      <c r="AA3" s="157"/>
      <c r="AB3" s="167"/>
    </row>
    <row r="4" spans="1:53" ht="14.4" x14ac:dyDescent="0.3">
      <c r="A4" s="160"/>
      <c r="B4" s="148"/>
      <c r="C4" s="148"/>
      <c r="D4" s="148"/>
      <c r="E4" s="148"/>
      <c r="F4" s="148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6"/>
      <c r="W4" s="160"/>
      <c r="X4" s="148"/>
      <c r="Y4" s="148"/>
      <c r="Z4" s="148"/>
      <c r="AA4" s="148"/>
      <c r="AB4" s="168"/>
    </row>
    <row r="5" spans="1:53" ht="22.5" customHeight="1" x14ac:dyDescent="0.3">
      <c r="A5" s="155" t="s">
        <v>83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4"/>
    </row>
    <row r="6" spans="1:53" ht="22.5" customHeight="1" x14ac:dyDescent="0.3">
      <c r="A6" s="155" t="s">
        <v>84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4"/>
    </row>
    <row r="7" spans="1:53" ht="14.4" x14ac:dyDescent="0.3">
      <c r="A7" s="145" t="s">
        <v>85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4"/>
    </row>
    <row r="8" spans="1:53" ht="33.75" customHeight="1" x14ac:dyDescent="0.3">
      <c r="A8" s="150" t="s">
        <v>238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57"/>
      <c r="P8" s="157"/>
      <c r="Q8" s="157"/>
      <c r="R8" s="157"/>
      <c r="S8" s="157"/>
      <c r="T8" s="157"/>
      <c r="U8" s="143"/>
      <c r="V8" s="143"/>
      <c r="W8" s="143"/>
      <c r="X8" s="143"/>
      <c r="Y8" s="143"/>
      <c r="Z8" s="143"/>
      <c r="AA8" s="143"/>
      <c r="AB8" s="144"/>
    </row>
    <row r="9" spans="1:53" ht="33.75" customHeight="1" x14ac:dyDescent="0.3">
      <c r="A9" s="145" t="s">
        <v>87</v>
      </c>
      <c r="B9" s="143"/>
      <c r="C9" s="143"/>
      <c r="D9" s="144"/>
      <c r="E9" s="150" t="str">
        <f>'Formato Cronograma'!F8</f>
        <v>Olga Lucía Quintero Sierra</v>
      </c>
      <c r="F9" s="151"/>
      <c r="G9" s="145" t="s">
        <v>88</v>
      </c>
      <c r="H9" s="149"/>
      <c r="I9" s="149"/>
      <c r="J9" s="149"/>
      <c r="K9" s="149"/>
      <c r="L9" s="149"/>
      <c r="M9" s="149"/>
      <c r="N9" s="149"/>
      <c r="O9" s="169" t="s">
        <v>89</v>
      </c>
      <c r="P9" s="169"/>
      <c r="Q9" s="169"/>
      <c r="R9" s="169"/>
      <c r="S9" s="169"/>
      <c r="T9" s="169"/>
      <c r="U9" s="149" t="s">
        <v>90</v>
      </c>
      <c r="V9" s="143"/>
      <c r="W9" s="143"/>
      <c r="X9" s="144"/>
      <c r="Y9" s="152" t="s">
        <v>91</v>
      </c>
      <c r="Z9" s="153"/>
      <c r="AA9" s="153"/>
      <c r="AB9" s="154"/>
    </row>
    <row r="10" spans="1:53" ht="33.75" customHeight="1" x14ac:dyDescent="0.3">
      <c r="A10" s="145" t="s">
        <v>92</v>
      </c>
      <c r="B10" s="144"/>
      <c r="C10" s="46">
        <f>'Formato Cronograma'!K8</f>
        <v>46097</v>
      </c>
      <c r="D10" s="145" t="s">
        <v>93</v>
      </c>
      <c r="E10" s="171"/>
      <c r="F10" s="48">
        <f>'Formato Cronograma'!L8</f>
        <v>46150</v>
      </c>
      <c r="G10" s="147">
        <v>2</v>
      </c>
      <c r="H10" s="146"/>
      <c r="I10" s="146"/>
      <c r="J10" s="146"/>
      <c r="K10" s="146"/>
      <c r="L10" s="146"/>
      <c r="M10" s="146"/>
      <c r="N10" s="146"/>
      <c r="O10" s="170">
        <v>12</v>
      </c>
      <c r="P10" s="170"/>
      <c r="Q10" s="170"/>
      <c r="R10" s="170"/>
      <c r="S10" s="170"/>
      <c r="T10" s="170"/>
      <c r="U10" s="149" t="s">
        <v>129</v>
      </c>
      <c r="V10" s="144"/>
      <c r="W10" s="147">
        <v>32</v>
      </c>
      <c r="X10" s="144"/>
      <c r="Y10" s="45" t="s">
        <v>95</v>
      </c>
      <c r="Z10" s="147"/>
      <c r="AA10" s="143"/>
      <c r="AB10" s="144"/>
      <c r="AC10" s="172" t="s">
        <v>139</v>
      </c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</row>
    <row r="11" spans="1:53" ht="14.4" x14ac:dyDescent="0.3">
      <c r="A11" s="177" t="s">
        <v>96</v>
      </c>
      <c r="B11" s="157"/>
      <c r="C11" s="157"/>
      <c r="D11" s="157"/>
      <c r="E11" s="157"/>
      <c r="F11" s="178"/>
      <c r="G11" s="177" t="s">
        <v>97</v>
      </c>
      <c r="H11" s="157"/>
      <c r="I11" s="157"/>
      <c r="J11" s="157"/>
      <c r="K11" s="157"/>
      <c r="L11" s="157"/>
      <c r="M11" s="157"/>
      <c r="N11" s="157"/>
      <c r="O11" s="178"/>
      <c r="P11" s="178"/>
      <c r="Q11" s="178"/>
      <c r="R11" s="178"/>
      <c r="S11" s="178"/>
      <c r="T11" s="178"/>
      <c r="U11" s="177" t="s">
        <v>98</v>
      </c>
      <c r="V11" s="157"/>
      <c r="W11" s="157"/>
      <c r="X11" s="167"/>
      <c r="Y11" s="177" t="s">
        <v>99</v>
      </c>
      <c r="Z11" s="157"/>
      <c r="AA11" s="157"/>
      <c r="AB11" s="157"/>
      <c r="AC11" s="173" t="s">
        <v>239</v>
      </c>
      <c r="AD11" s="174"/>
      <c r="AE11" s="174"/>
      <c r="AF11" s="174"/>
      <c r="AG11" s="174"/>
      <c r="AH11" s="175"/>
      <c r="AI11" s="173" t="s">
        <v>142</v>
      </c>
      <c r="AJ11" s="174"/>
      <c r="AK11" s="175"/>
      <c r="AL11" s="173" t="s">
        <v>143</v>
      </c>
      <c r="AM11" s="174"/>
      <c r="AN11" s="174"/>
      <c r="AO11" s="174"/>
      <c r="AP11" s="174"/>
      <c r="AQ11" s="174"/>
      <c r="AR11" s="174"/>
      <c r="AS11" s="174"/>
      <c r="AT11" s="174"/>
      <c r="AU11" s="175"/>
      <c r="AV11" s="173" t="s">
        <v>144</v>
      </c>
      <c r="AW11" s="174"/>
      <c r="AX11" s="174"/>
      <c r="AY11" s="174"/>
      <c r="AZ11" s="175"/>
      <c r="BA11" s="98" t="s">
        <v>145</v>
      </c>
    </row>
    <row r="12" spans="1:53" s="68" customFormat="1" ht="27.6" x14ac:dyDescent="0.3">
      <c r="A12" s="76" t="s">
        <v>100</v>
      </c>
      <c r="B12" s="67" t="s">
        <v>101</v>
      </c>
      <c r="C12" s="67" t="s">
        <v>102</v>
      </c>
      <c r="D12" s="67" t="s">
        <v>103</v>
      </c>
      <c r="E12" s="67" t="s">
        <v>104</v>
      </c>
      <c r="F12" s="67" t="s">
        <v>105</v>
      </c>
      <c r="G12" s="67" t="s">
        <v>240</v>
      </c>
      <c r="H12" s="67" t="s">
        <v>241</v>
      </c>
      <c r="I12" s="67" t="s">
        <v>242</v>
      </c>
      <c r="J12" s="67" t="s">
        <v>243</v>
      </c>
      <c r="K12" s="67" t="s">
        <v>244</v>
      </c>
      <c r="L12" s="67" t="s">
        <v>245</v>
      </c>
      <c r="M12" s="67" t="s">
        <v>246</v>
      </c>
      <c r="N12" s="67" t="s">
        <v>247</v>
      </c>
      <c r="O12" s="67" t="s">
        <v>248</v>
      </c>
      <c r="P12" s="67" t="s">
        <v>249</v>
      </c>
      <c r="Q12" s="67" t="s">
        <v>250</v>
      </c>
      <c r="R12" s="67" t="s">
        <v>251</v>
      </c>
      <c r="S12" s="67" t="s">
        <v>252</v>
      </c>
      <c r="T12" s="67" t="s">
        <v>253</v>
      </c>
      <c r="U12" s="67" t="s">
        <v>106</v>
      </c>
      <c r="V12" s="67" t="s">
        <v>107</v>
      </c>
      <c r="W12" s="67" t="s">
        <v>108</v>
      </c>
      <c r="X12" s="67" t="s">
        <v>109</v>
      </c>
      <c r="Y12" s="67" t="s">
        <v>110</v>
      </c>
      <c r="Z12" s="67" t="s">
        <v>111</v>
      </c>
      <c r="AA12" s="67" t="s">
        <v>112</v>
      </c>
      <c r="AB12" s="67" t="s">
        <v>113</v>
      </c>
      <c r="AC12" s="84" t="s">
        <v>146</v>
      </c>
      <c r="AD12" s="84" t="s">
        <v>147</v>
      </c>
      <c r="AE12" s="84" t="s">
        <v>148</v>
      </c>
      <c r="AF12" s="84" t="s">
        <v>149</v>
      </c>
      <c r="AG12" s="84" t="s">
        <v>150</v>
      </c>
      <c r="AH12" s="84" t="s">
        <v>151</v>
      </c>
      <c r="AI12" s="84" t="s">
        <v>152</v>
      </c>
      <c r="AJ12" s="84" t="s">
        <v>153</v>
      </c>
      <c r="AK12" s="84" t="s">
        <v>154</v>
      </c>
      <c r="AL12" s="84" t="s">
        <v>155</v>
      </c>
      <c r="AM12" s="84" t="s">
        <v>156</v>
      </c>
      <c r="AN12" s="84" t="s">
        <v>157</v>
      </c>
      <c r="AO12" s="84" t="s">
        <v>158</v>
      </c>
      <c r="AP12" s="84" t="s">
        <v>159</v>
      </c>
      <c r="AQ12" s="84" t="s">
        <v>160</v>
      </c>
      <c r="AR12" s="84" t="s">
        <v>161</v>
      </c>
      <c r="AS12" s="84" t="s">
        <v>162</v>
      </c>
      <c r="AT12" s="84" t="s">
        <v>163</v>
      </c>
      <c r="AU12" s="84" t="s">
        <v>164</v>
      </c>
      <c r="AV12" s="84" t="s">
        <v>165</v>
      </c>
      <c r="AW12" s="84" t="s">
        <v>166</v>
      </c>
      <c r="AX12" s="84" t="s">
        <v>167</v>
      </c>
      <c r="AY12" s="84" t="s">
        <v>168</v>
      </c>
      <c r="AZ12" s="84" t="s">
        <v>169</v>
      </c>
      <c r="BA12" s="84" t="s">
        <v>170</v>
      </c>
    </row>
    <row r="13" spans="1:53" ht="41.4" x14ac:dyDescent="0.3">
      <c r="A13" s="75">
        <v>1</v>
      </c>
      <c r="B13" s="63" t="s">
        <v>254</v>
      </c>
      <c r="C13" s="69">
        <v>79943655</v>
      </c>
      <c r="D13" s="63" t="s">
        <v>115</v>
      </c>
      <c r="E13" s="63" t="s">
        <v>122</v>
      </c>
      <c r="F13" s="63" t="s">
        <v>117</v>
      </c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70">
        <f t="shared" ref="U13:U20" si="0">IF(B13&lt;&gt;"",SUM(G13:T13),"")</f>
        <v>0</v>
      </c>
      <c r="V13" s="70">
        <f t="shared" ref="V13:V20" si="1">IF(B13&lt;&gt;"",COUNTA(G13:T13),"")</f>
        <v>0</v>
      </c>
      <c r="W13" s="71">
        <f t="shared" ref="W13:W20" si="2">IF(B13&lt;&gt;"",SUM(G13:T13)/32,"")</f>
        <v>0</v>
      </c>
      <c r="X13" s="63" t="str">
        <f>IF(W13="","",IF(W13&gt;=80%,"Certificado","No certificado"))</f>
        <v>No certificado</v>
      </c>
      <c r="Y13" s="72"/>
      <c r="Z13" s="72"/>
      <c r="AA13" s="72"/>
      <c r="AB13" s="63" t="str">
        <f t="shared" ref="AB13:AB20" si="3">IF(B13="","",IF(AND(W13&gt;=0.8,AA13&gt;=3),"Aprobado","No aprobado"))</f>
        <v>No aprobado</v>
      </c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2"/>
      <c r="AW13" s="82"/>
      <c r="AX13" s="82"/>
      <c r="AY13" s="82"/>
      <c r="AZ13" s="83"/>
      <c r="BA13" s="82"/>
    </row>
    <row r="14" spans="1:53" ht="27.6" x14ac:dyDescent="0.3">
      <c r="A14" s="75">
        <v>2</v>
      </c>
      <c r="B14" s="63" t="s">
        <v>255</v>
      </c>
      <c r="C14" s="69">
        <v>79893474</v>
      </c>
      <c r="D14" s="63" t="s">
        <v>115</v>
      </c>
      <c r="E14" s="63" t="s">
        <v>119</v>
      </c>
      <c r="F14" s="63" t="s">
        <v>117</v>
      </c>
      <c r="G14" s="63">
        <v>3</v>
      </c>
      <c r="H14" s="63">
        <v>2</v>
      </c>
      <c r="I14" s="63">
        <v>2</v>
      </c>
      <c r="J14" s="63">
        <v>2</v>
      </c>
      <c r="K14" s="63">
        <v>2</v>
      </c>
      <c r="L14" s="63">
        <v>2</v>
      </c>
      <c r="M14" s="63">
        <v>2</v>
      </c>
      <c r="N14" s="63">
        <v>2</v>
      </c>
      <c r="O14" s="63">
        <v>2</v>
      </c>
      <c r="P14" s="63">
        <v>2</v>
      </c>
      <c r="Q14" s="63">
        <v>2</v>
      </c>
      <c r="R14" s="63">
        <v>2</v>
      </c>
      <c r="S14" s="63">
        <v>2</v>
      </c>
      <c r="T14" s="63">
        <v>5</v>
      </c>
      <c r="U14" s="70">
        <f t="shared" si="0"/>
        <v>32</v>
      </c>
      <c r="V14" s="70">
        <f t="shared" si="1"/>
        <v>14</v>
      </c>
      <c r="W14" s="71">
        <f t="shared" si="2"/>
        <v>1</v>
      </c>
      <c r="X14" s="63" t="str">
        <f t="shared" ref="X14:X20" si="4">IF(W14="","",IF(W14&gt;=80%,"Certificado","No certificado"))</f>
        <v>Certificado</v>
      </c>
      <c r="Y14" s="72">
        <v>5</v>
      </c>
      <c r="Z14" s="72">
        <v>4</v>
      </c>
      <c r="AA14" s="72">
        <v>4.7</v>
      </c>
      <c r="AB14" s="63" t="str">
        <f t="shared" si="3"/>
        <v>Aprobado</v>
      </c>
      <c r="AC14" s="73">
        <v>5</v>
      </c>
      <c r="AD14" s="73">
        <v>5</v>
      </c>
      <c r="AE14" s="73">
        <v>5</v>
      </c>
      <c r="AF14" s="73">
        <v>5</v>
      </c>
      <c r="AG14" s="73">
        <v>5</v>
      </c>
      <c r="AH14" s="73">
        <v>5</v>
      </c>
      <c r="AI14" s="73">
        <v>5</v>
      </c>
      <c r="AJ14" s="73">
        <v>5</v>
      </c>
      <c r="AK14" s="73">
        <v>5</v>
      </c>
      <c r="AL14" s="73">
        <v>5</v>
      </c>
      <c r="AM14" s="73">
        <v>5</v>
      </c>
      <c r="AN14" s="73">
        <v>5</v>
      </c>
      <c r="AO14" s="73">
        <v>5</v>
      </c>
      <c r="AP14" s="73">
        <v>5</v>
      </c>
      <c r="AQ14" s="73">
        <v>5</v>
      </c>
      <c r="AR14" s="73">
        <v>5</v>
      </c>
      <c r="AS14" s="73">
        <v>5</v>
      </c>
      <c r="AT14" s="73">
        <v>5</v>
      </c>
      <c r="AU14" s="73">
        <v>5</v>
      </c>
      <c r="AV14" s="74" t="s">
        <v>256</v>
      </c>
      <c r="AW14" s="74" t="s">
        <v>257</v>
      </c>
      <c r="AX14" s="74" t="s">
        <v>258</v>
      </c>
      <c r="AY14" s="74" t="s">
        <v>175</v>
      </c>
      <c r="AZ14" s="73">
        <v>5</v>
      </c>
      <c r="BA14" s="82">
        <f>AVERAGE(Tabla_AtnDiferencial[[#This Row],[1,1 El cumplimiento de los objetivos y desarrollo del contenido de la actividad fue]:[4,5 ¿La actividad fue satisfactoria?]])</f>
        <v>5</v>
      </c>
    </row>
    <row r="15" spans="1:53" ht="27.6" x14ac:dyDescent="0.3">
      <c r="A15" s="75">
        <v>3</v>
      </c>
      <c r="B15" s="63" t="s">
        <v>259</v>
      </c>
      <c r="C15" s="69">
        <v>53121904</v>
      </c>
      <c r="D15" s="63" t="s">
        <v>115</v>
      </c>
      <c r="E15" s="63" t="s">
        <v>116</v>
      </c>
      <c r="F15" s="63" t="s">
        <v>117</v>
      </c>
      <c r="G15" s="63">
        <v>3</v>
      </c>
      <c r="H15" s="63">
        <v>2</v>
      </c>
      <c r="I15" s="63">
        <v>2</v>
      </c>
      <c r="J15" s="63">
        <v>2</v>
      </c>
      <c r="K15" s="63">
        <v>2</v>
      </c>
      <c r="L15" s="63">
        <v>2</v>
      </c>
      <c r="M15" s="63">
        <v>2</v>
      </c>
      <c r="N15" s="63">
        <v>2</v>
      </c>
      <c r="O15" s="63">
        <v>2</v>
      </c>
      <c r="P15" s="63">
        <v>2</v>
      </c>
      <c r="Q15" s="63">
        <v>2</v>
      </c>
      <c r="R15" s="63">
        <v>2</v>
      </c>
      <c r="S15" s="63">
        <v>2</v>
      </c>
      <c r="T15" s="63">
        <v>5</v>
      </c>
      <c r="U15" s="70">
        <f t="shared" si="0"/>
        <v>32</v>
      </c>
      <c r="V15" s="70">
        <f t="shared" si="1"/>
        <v>14</v>
      </c>
      <c r="W15" s="71">
        <f t="shared" si="2"/>
        <v>1</v>
      </c>
      <c r="X15" s="63" t="str">
        <f t="shared" si="4"/>
        <v>Certificado</v>
      </c>
      <c r="Y15" s="72">
        <v>3</v>
      </c>
      <c r="Z15" s="72">
        <v>5</v>
      </c>
      <c r="AA15" s="72">
        <v>4.7</v>
      </c>
      <c r="AB15" s="63" t="str">
        <f t="shared" si="3"/>
        <v>Aprobado</v>
      </c>
      <c r="AC15" s="73">
        <v>5</v>
      </c>
      <c r="AD15" s="73">
        <v>5</v>
      </c>
      <c r="AE15" s="73">
        <v>5</v>
      </c>
      <c r="AF15" s="73">
        <v>4</v>
      </c>
      <c r="AG15" s="73">
        <v>4</v>
      </c>
      <c r="AH15" s="73">
        <v>5</v>
      </c>
      <c r="AI15" s="73">
        <v>5</v>
      </c>
      <c r="AJ15" s="73">
        <v>5</v>
      </c>
      <c r="AK15" s="73">
        <v>5</v>
      </c>
      <c r="AL15" s="73">
        <v>5</v>
      </c>
      <c r="AM15" s="73">
        <v>5</v>
      </c>
      <c r="AN15" s="73">
        <v>4</v>
      </c>
      <c r="AO15" s="73">
        <v>5</v>
      </c>
      <c r="AP15" s="73">
        <v>4</v>
      </c>
      <c r="AQ15" s="73">
        <v>4</v>
      </c>
      <c r="AR15" s="73">
        <v>5</v>
      </c>
      <c r="AS15" s="73">
        <v>5</v>
      </c>
      <c r="AT15" s="73">
        <v>5</v>
      </c>
      <c r="AU15" s="73">
        <v>5</v>
      </c>
      <c r="AV15" s="74" t="s">
        <v>260</v>
      </c>
      <c r="AW15" s="74" t="s">
        <v>261</v>
      </c>
      <c r="AX15" s="74" t="s">
        <v>262</v>
      </c>
      <c r="AY15" s="74" t="s">
        <v>175</v>
      </c>
      <c r="AZ15" s="73">
        <v>5</v>
      </c>
      <c r="BA15" s="82">
        <f>AVERAGE(Tabla_AtnDiferencial[[#This Row],[1,1 El cumplimiento de los objetivos y desarrollo del contenido de la actividad fue]:[4,5 ¿La actividad fue satisfactoria?]])</f>
        <v>4.75</v>
      </c>
    </row>
    <row r="16" spans="1:53" ht="27.6" x14ac:dyDescent="0.3">
      <c r="A16" s="75">
        <v>4</v>
      </c>
      <c r="B16" s="63" t="s">
        <v>263</v>
      </c>
      <c r="C16" s="69">
        <v>1136882430</v>
      </c>
      <c r="D16" s="63" t="s">
        <v>115</v>
      </c>
      <c r="E16" s="63" t="s">
        <v>264</v>
      </c>
      <c r="F16" s="63" t="s">
        <v>265</v>
      </c>
      <c r="G16" s="63">
        <v>3</v>
      </c>
      <c r="H16" s="63">
        <v>2</v>
      </c>
      <c r="I16" s="63"/>
      <c r="J16" s="63">
        <v>2</v>
      </c>
      <c r="K16" s="63">
        <v>2</v>
      </c>
      <c r="L16" s="63">
        <v>2</v>
      </c>
      <c r="M16" s="63">
        <v>2</v>
      </c>
      <c r="N16" s="63"/>
      <c r="O16" s="63">
        <v>2</v>
      </c>
      <c r="P16" s="63">
        <v>2</v>
      </c>
      <c r="Q16" s="63">
        <v>2</v>
      </c>
      <c r="R16" s="63"/>
      <c r="S16" s="63">
        <v>2</v>
      </c>
      <c r="T16" s="63">
        <v>5</v>
      </c>
      <c r="U16" s="70">
        <f t="shared" si="0"/>
        <v>26</v>
      </c>
      <c r="V16" s="70">
        <f t="shared" si="1"/>
        <v>11</v>
      </c>
      <c r="W16" s="71">
        <f t="shared" si="2"/>
        <v>0.8125</v>
      </c>
      <c r="X16" s="63" t="str">
        <f t="shared" si="4"/>
        <v>Certificado</v>
      </c>
      <c r="Y16" s="72"/>
      <c r="Z16" s="72"/>
      <c r="AA16" s="72">
        <v>4.4000000000000004</v>
      </c>
      <c r="AB16" s="63" t="str">
        <f t="shared" si="3"/>
        <v>Aprobado</v>
      </c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4"/>
      <c r="AW16" s="74"/>
      <c r="AX16" s="74"/>
      <c r="AY16" s="74"/>
      <c r="AZ16" s="73"/>
      <c r="BA16" s="82"/>
    </row>
    <row r="17" spans="1:53" ht="41.4" x14ac:dyDescent="0.3">
      <c r="A17" s="75">
        <v>5</v>
      </c>
      <c r="B17" s="63" t="s">
        <v>266</v>
      </c>
      <c r="C17" s="69">
        <v>79739611</v>
      </c>
      <c r="D17" s="63" t="s">
        <v>115</v>
      </c>
      <c r="E17" s="63" t="s">
        <v>122</v>
      </c>
      <c r="F17" s="63" t="s">
        <v>117</v>
      </c>
      <c r="G17" s="63">
        <v>3</v>
      </c>
      <c r="H17" s="63">
        <v>2</v>
      </c>
      <c r="I17" s="63">
        <v>2</v>
      </c>
      <c r="J17" s="63">
        <v>2</v>
      </c>
      <c r="K17" s="63">
        <v>2</v>
      </c>
      <c r="L17" s="63">
        <v>2</v>
      </c>
      <c r="M17" s="63">
        <v>2</v>
      </c>
      <c r="N17" s="63">
        <v>2</v>
      </c>
      <c r="O17" s="63">
        <v>2</v>
      </c>
      <c r="P17" s="63">
        <v>2</v>
      </c>
      <c r="Q17" s="63">
        <v>2</v>
      </c>
      <c r="R17" s="63">
        <v>2</v>
      </c>
      <c r="S17" s="63"/>
      <c r="T17" s="63">
        <v>5</v>
      </c>
      <c r="U17" s="70">
        <f t="shared" si="0"/>
        <v>30</v>
      </c>
      <c r="V17" s="70">
        <f t="shared" si="1"/>
        <v>13</v>
      </c>
      <c r="W17" s="71">
        <f t="shared" si="2"/>
        <v>0.9375</v>
      </c>
      <c r="X17" s="63" t="str">
        <f t="shared" si="4"/>
        <v>Certificado</v>
      </c>
      <c r="Y17" s="72"/>
      <c r="Z17" s="72">
        <v>5</v>
      </c>
      <c r="AA17" s="72">
        <v>4.7</v>
      </c>
      <c r="AB17" s="63" t="str">
        <f t="shared" si="3"/>
        <v>Aprobado</v>
      </c>
      <c r="AC17" s="73">
        <v>5</v>
      </c>
      <c r="AD17" s="73">
        <v>5</v>
      </c>
      <c r="AE17" s="73">
        <v>5</v>
      </c>
      <c r="AF17" s="73">
        <v>5</v>
      </c>
      <c r="AG17" s="73">
        <v>5</v>
      </c>
      <c r="AH17" s="73">
        <v>5</v>
      </c>
      <c r="AI17" s="73">
        <v>5</v>
      </c>
      <c r="AJ17" s="73">
        <v>5</v>
      </c>
      <c r="AK17" s="73">
        <v>5</v>
      </c>
      <c r="AL17" s="73">
        <v>5</v>
      </c>
      <c r="AM17" s="73">
        <v>5</v>
      </c>
      <c r="AN17" s="73">
        <v>5</v>
      </c>
      <c r="AO17" s="73">
        <v>4</v>
      </c>
      <c r="AP17" s="73">
        <v>4</v>
      </c>
      <c r="AQ17" s="73">
        <v>5</v>
      </c>
      <c r="AR17" s="73">
        <v>5</v>
      </c>
      <c r="AS17" s="73">
        <v>5</v>
      </c>
      <c r="AT17" s="73">
        <v>5</v>
      </c>
      <c r="AU17" s="73">
        <v>4</v>
      </c>
      <c r="AV17" s="74" t="s">
        <v>267</v>
      </c>
      <c r="AW17" s="74" t="s">
        <v>268</v>
      </c>
      <c r="AX17" s="74" t="s">
        <v>269</v>
      </c>
      <c r="AY17" s="74" t="s">
        <v>175</v>
      </c>
      <c r="AZ17" s="73">
        <v>5</v>
      </c>
      <c r="BA17" s="82">
        <f>AVERAGE(Tabla_AtnDiferencial[[#This Row],[1,1 El cumplimiento de los objetivos y desarrollo del contenido de la actividad fue]:[4,5 ¿La actividad fue satisfactoria?]])</f>
        <v>4.8499999999999996</v>
      </c>
    </row>
    <row r="18" spans="1:53" ht="27.6" x14ac:dyDescent="0.3">
      <c r="A18" s="75">
        <v>6</v>
      </c>
      <c r="B18" s="63" t="s">
        <v>270</v>
      </c>
      <c r="C18" s="69">
        <v>52098883</v>
      </c>
      <c r="D18" s="63" t="s">
        <v>115</v>
      </c>
      <c r="E18" s="63" t="s">
        <v>264</v>
      </c>
      <c r="F18" s="63" t="s">
        <v>265</v>
      </c>
      <c r="G18" s="63">
        <v>3</v>
      </c>
      <c r="H18" s="63">
        <v>2</v>
      </c>
      <c r="I18" s="63">
        <v>2</v>
      </c>
      <c r="J18" s="63">
        <v>2</v>
      </c>
      <c r="K18" s="63">
        <v>2</v>
      </c>
      <c r="L18" s="63">
        <v>2</v>
      </c>
      <c r="M18" s="63">
        <v>2</v>
      </c>
      <c r="N18" s="63">
        <v>2</v>
      </c>
      <c r="O18" s="63">
        <v>2</v>
      </c>
      <c r="P18" s="63">
        <v>2</v>
      </c>
      <c r="Q18" s="63">
        <v>2</v>
      </c>
      <c r="R18" s="63">
        <v>2</v>
      </c>
      <c r="S18" s="63">
        <v>2</v>
      </c>
      <c r="T18" s="63">
        <v>5</v>
      </c>
      <c r="U18" s="70">
        <f t="shared" si="0"/>
        <v>32</v>
      </c>
      <c r="V18" s="70">
        <f t="shared" si="1"/>
        <v>14</v>
      </c>
      <c r="W18" s="71">
        <f t="shared" si="2"/>
        <v>1</v>
      </c>
      <c r="X18" s="63" t="str">
        <f t="shared" si="4"/>
        <v>Certificado</v>
      </c>
      <c r="Y18" s="72">
        <v>2</v>
      </c>
      <c r="Z18" s="72"/>
      <c r="AA18" s="72">
        <v>4.7</v>
      </c>
      <c r="AB18" s="63" t="str">
        <f t="shared" si="3"/>
        <v>Aprobado</v>
      </c>
      <c r="AC18" s="73">
        <v>5</v>
      </c>
      <c r="AD18" s="73">
        <v>5</v>
      </c>
      <c r="AE18" s="73">
        <v>5</v>
      </c>
      <c r="AF18" s="73">
        <v>5</v>
      </c>
      <c r="AG18" s="73">
        <v>5</v>
      </c>
      <c r="AH18" s="73">
        <v>5</v>
      </c>
      <c r="AI18" s="73">
        <v>5</v>
      </c>
      <c r="AJ18" s="73">
        <v>5</v>
      </c>
      <c r="AK18" s="73">
        <v>5</v>
      </c>
      <c r="AL18" s="73">
        <v>5</v>
      </c>
      <c r="AM18" s="73">
        <v>5</v>
      </c>
      <c r="AN18" s="73">
        <v>5</v>
      </c>
      <c r="AO18" s="73">
        <v>5</v>
      </c>
      <c r="AP18" s="73">
        <v>5</v>
      </c>
      <c r="AQ18" s="73">
        <v>5</v>
      </c>
      <c r="AR18" s="73">
        <v>5</v>
      </c>
      <c r="AS18" s="73">
        <v>5</v>
      </c>
      <c r="AT18" s="73">
        <v>5</v>
      </c>
      <c r="AU18" s="73">
        <v>5</v>
      </c>
      <c r="AV18" s="74" t="s">
        <v>271</v>
      </c>
      <c r="AW18" s="74" t="s">
        <v>272</v>
      </c>
      <c r="AX18" s="74" t="s">
        <v>273</v>
      </c>
      <c r="AY18" s="74" t="s">
        <v>175</v>
      </c>
      <c r="AZ18" s="73">
        <v>5</v>
      </c>
      <c r="BA18" s="82">
        <f>AVERAGE(Tabla_AtnDiferencial[[#This Row],[1,1 El cumplimiento de los objetivos y desarrollo del contenido de la actividad fue]:[4,5 ¿La actividad fue satisfactoria?]])</f>
        <v>5</v>
      </c>
    </row>
    <row r="19" spans="1:53" ht="27.6" x14ac:dyDescent="0.3">
      <c r="A19" s="75">
        <v>7</v>
      </c>
      <c r="B19" s="63" t="s">
        <v>217</v>
      </c>
      <c r="C19" s="69">
        <v>70663332</v>
      </c>
      <c r="D19" s="63" t="s">
        <v>115</v>
      </c>
      <c r="E19" s="63" t="s">
        <v>125</v>
      </c>
      <c r="F19" s="63" t="s">
        <v>117</v>
      </c>
      <c r="G19" s="63">
        <v>3</v>
      </c>
      <c r="H19" s="63">
        <v>2</v>
      </c>
      <c r="I19" s="63">
        <v>2</v>
      </c>
      <c r="J19" s="63">
        <v>2</v>
      </c>
      <c r="K19" s="63">
        <v>2</v>
      </c>
      <c r="L19" s="63">
        <v>2</v>
      </c>
      <c r="M19" s="63">
        <v>2</v>
      </c>
      <c r="N19" s="63">
        <v>2</v>
      </c>
      <c r="O19" s="63">
        <v>2</v>
      </c>
      <c r="P19" s="63">
        <v>2</v>
      </c>
      <c r="Q19" s="63">
        <v>2</v>
      </c>
      <c r="R19" s="63">
        <v>2</v>
      </c>
      <c r="S19" s="63">
        <v>2</v>
      </c>
      <c r="T19" s="63">
        <v>5</v>
      </c>
      <c r="U19" s="70">
        <f t="shared" si="0"/>
        <v>32</v>
      </c>
      <c r="V19" s="70">
        <f t="shared" si="1"/>
        <v>14</v>
      </c>
      <c r="W19" s="71">
        <f t="shared" si="2"/>
        <v>1</v>
      </c>
      <c r="X19" s="63" t="str">
        <f t="shared" si="4"/>
        <v>Certificado</v>
      </c>
      <c r="Y19" s="72">
        <v>5</v>
      </c>
      <c r="Z19" s="72">
        <v>5</v>
      </c>
      <c r="AA19" s="72">
        <v>4.7</v>
      </c>
      <c r="AB19" s="63" t="str">
        <f t="shared" si="3"/>
        <v>Aprobado</v>
      </c>
      <c r="AC19" s="73">
        <v>5</v>
      </c>
      <c r="AD19" s="73">
        <v>5</v>
      </c>
      <c r="AE19" s="73">
        <v>5</v>
      </c>
      <c r="AF19" s="73">
        <v>5</v>
      </c>
      <c r="AG19" s="73">
        <v>5</v>
      </c>
      <c r="AH19" s="73">
        <v>5</v>
      </c>
      <c r="AI19" s="73">
        <v>5</v>
      </c>
      <c r="AJ19" s="73">
        <v>5</v>
      </c>
      <c r="AK19" s="73">
        <v>5</v>
      </c>
      <c r="AL19" s="73">
        <v>5</v>
      </c>
      <c r="AM19" s="73">
        <v>5</v>
      </c>
      <c r="AN19" s="73">
        <v>5</v>
      </c>
      <c r="AO19" s="73">
        <v>5</v>
      </c>
      <c r="AP19" s="73">
        <v>5</v>
      </c>
      <c r="AQ19" s="73">
        <v>5</v>
      </c>
      <c r="AR19" s="73">
        <v>5</v>
      </c>
      <c r="AS19" s="73">
        <v>5</v>
      </c>
      <c r="AT19" s="73">
        <v>5</v>
      </c>
      <c r="AU19" s="73">
        <v>5</v>
      </c>
      <c r="AV19" s="74" t="s">
        <v>75</v>
      </c>
      <c r="AW19" s="74" t="s">
        <v>75</v>
      </c>
      <c r="AX19" s="74" t="s">
        <v>75</v>
      </c>
      <c r="AY19" s="74" t="s">
        <v>175</v>
      </c>
      <c r="AZ19" s="73">
        <v>5</v>
      </c>
      <c r="BA19" s="82">
        <f>AVERAGE(Tabla_AtnDiferencial[[#This Row],[1,1 El cumplimiento de los objetivos y desarrollo del contenido de la actividad fue]:[4,5 ¿La actividad fue satisfactoria?]])</f>
        <v>5</v>
      </c>
    </row>
    <row r="20" spans="1:53" ht="14.4" x14ac:dyDescent="0.3">
      <c r="A20" s="75">
        <v>8</v>
      </c>
      <c r="B20" s="63" t="s">
        <v>226</v>
      </c>
      <c r="C20" s="69">
        <v>1015415271</v>
      </c>
      <c r="D20" s="63" t="s">
        <v>115</v>
      </c>
      <c r="E20" s="63" t="s">
        <v>227</v>
      </c>
      <c r="F20" s="63" t="s">
        <v>117</v>
      </c>
      <c r="G20" s="63">
        <v>3</v>
      </c>
      <c r="H20" s="63">
        <v>2</v>
      </c>
      <c r="I20" s="63">
        <v>2</v>
      </c>
      <c r="J20" s="63">
        <v>2</v>
      </c>
      <c r="K20" s="63">
        <v>2</v>
      </c>
      <c r="L20" s="63">
        <v>2</v>
      </c>
      <c r="M20" s="63">
        <v>2</v>
      </c>
      <c r="N20" s="63">
        <v>2</v>
      </c>
      <c r="O20" s="63">
        <v>2</v>
      </c>
      <c r="P20" s="63">
        <v>2</v>
      </c>
      <c r="Q20" s="63">
        <v>2</v>
      </c>
      <c r="R20" s="63">
        <v>2</v>
      </c>
      <c r="S20" s="63">
        <v>2</v>
      </c>
      <c r="T20" s="63">
        <v>5</v>
      </c>
      <c r="U20" s="70">
        <f t="shared" si="0"/>
        <v>32</v>
      </c>
      <c r="V20" s="70">
        <f t="shared" si="1"/>
        <v>14</v>
      </c>
      <c r="W20" s="71">
        <f t="shared" si="2"/>
        <v>1</v>
      </c>
      <c r="X20" s="63" t="str">
        <f t="shared" si="4"/>
        <v>Certificado</v>
      </c>
      <c r="Y20" s="72">
        <v>4</v>
      </c>
      <c r="Z20" s="72">
        <v>5</v>
      </c>
      <c r="AA20" s="72">
        <v>4.7</v>
      </c>
      <c r="AB20" s="63" t="str">
        <f t="shared" si="3"/>
        <v>Aprobado</v>
      </c>
      <c r="AC20" s="73">
        <v>5</v>
      </c>
      <c r="AD20" s="73">
        <v>5</v>
      </c>
      <c r="AE20" s="73">
        <v>5</v>
      </c>
      <c r="AF20" s="73">
        <v>5</v>
      </c>
      <c r="AG20" s="73">
        <v>5</v>
      </c>
      <c r="AH20" s="73">
        <v>5</v>
      </c>
      <c r="AI20" s="73">
        <v>5</v>
      </c>
      <c r="AJ20" s="73">
        <v>5</v>
      </c>
      <c r="AK20" s="73">
        <v>5</v>
      </c>
      <c r="AL20" s="73">
        <v>5</v>
      </c>
      <c r="AM20" s="73">
        <v>5</v>
      </c>
      <c r="AN20" s="73">
        <v>5</v>
      </c>
      <c r="AO20" s="73">
        <v>5</v>
      </c>
      <c r="AP20" s="73">
        <v>5</v>
      </c>
      <c r="AQ20" s="73">
        <v>5</v>
      </c>
      <c r="AR20" s="73">
        <v>5</v>
      </c>
      <c r="AS20" s="73">
        <v>5</v>
      </c>
      <c r="AT20" s="73">
        <v>5</v>
      </c>
      <c r="AU20" s="73">
        <v>5</v>
      </c>
      <c r="AV20" s="74" t="s">
        <v>274</v>
      </c>
      <c r="AW20" s="74" t="s">
        <v>275</v>
      </c>
      <c r="AX20" s="74" t="s">
        <v>276</v>
      </c>
      <c r="AY20" s="74" t="s">
        <v>175</v>
      </c>
      <c r="AZ20" s="73">
        <v>5</v>
      </c>
      <c r="BA20" s="82">
        <f>AVERAGE(Tabla_AtnDiferencial[[#This Row],[1,1 El cumplimiento de los objetivos y desarrollo del contenido de la actividad fue]:[4,5 ¿La actividad fue satisfactoria?]])</f>
        <v>5</v>
      </c>
    </row>
    <row r="21" spans="1:53" ht="48.75" customHeight="1" x14ac:dyDescent="0.3">
      <c r="A21" s="142" t="s">
        <v>127</v>
      </c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4"/>
    </row>
  </sheetData>
  <mergeCells count="31">
    <mergeCell ref="AV11:AZ11"/>
    <mergeCell ref="A6:AB6"/>
    <mergeCell ref="A1:F4"/>
    <mergeCell ref="G1:V4"/>
    <mergeCell ref="W1:AB2"/>
    <mergeCell ref="W3:AB4"/>
    <mergeCell ref="A5:AB5"/>
    <mergeCell ref="A7:AB7"/>
    <mergeCell ref="A8:AB8"/>
    <mergeCell ref="A9:D9"/>
    <mergeCell ref="E9:F9"/>
    <mergeCell ref="G9:N9"/>
    <mergeCell ref="O9:T9"/>
    <mergeCell ref="U9:X9"/>
    <mergeCell ref="Y9:AB9"/>
    <mergeCell ref="AC10:BA10"/>
    <mergeCell ref="AL11:AU11"/>
    <mergeCell ref="AC11:AH11"/>
    <mergeCell ref="AI11:AK11"/>
    <mergeCell ref="A21:AB21"/>
    <mergeCell ref="A10:B10"/>
    <mergeCell ref="G10:N10"/>
    <mergeCell ref="O10:T10"/>
    <mergeCell ref="U10:V10"/>
    <mergeCell ref="W10:X10"/>
    <mergeCell ref="Z10:AB10"/>
    <mergeCell ref="A11:F11"/>
    <mergeCell ref="G11:T11"/>
    <mergeCell ref="U11:X11"/>
    <mergeCell ref="Y11:AB11"/>
    <mergeCell ref="D10:E10"/>
  </mergeCells>
  <dataValidations count="2">
    <dataValidation type="list" allowBlank="1" showErrorMessage="1" sqref="D13:D20" xr:uid="{4BD40C92-D8C5-466C-A993-8ED54C40004D}">
      <formula1>"Contratista,Planta"</formula1>
    </dataValidation>
    <dataValidation allowBlank="1" showErrorMessage="1" sqref="C13:C20" xr:uid="{E28C9C9C-9F77-47EB-9489-E249D5D126B0}"/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B7E75-A42A-4BEA-97AD-0B17FC3747FA}">
  <sheetPr>
    <outlinePr summaryBelow="0" summaryRight="0"/>
  </sheetPr>
  <dimension ref="A1:BF19"/>
  <sheetViews>
    <sheetView topLeftCell="A11" workbookViewId="0">
      <selection activeCell="C14" sqref="C14"/>
    </sheetView>
  </sheetViews>
  <sheetFormatPr baseColWidth="10" defaultColWidth="12.5546875" defaultRowHeight="15.75" customHeight="1" x14ac:dyDescent="0.3"/>
  <cols>
    <col min="1" max="1" width="12.5546875" style="44"/>
    <col min="2" max="2" width="38.109375" style="44" customWidth="1"/>
    <col min="3" max="3" width="15.88671875" style="44" customWidth="1"/>
    <col min="4" max="4" width="15.33203125" style="44" customWidth="1"/>
    <col min="5" max="6" width="25.5546875" style="44" customWidth="1"/>
    <col min="7" max="18" width="9.109375" style="44"/>
    <col min="19" max="21" width="12.5546875" style="44"/>
    <col min="22" max="23" width="9.109375" style="44"/>
    <col min="24" max="24" width="12.5546875" style="44"/>
    <col min="25" max="25" width="9.109375" style="44"/>
    <col min="26" max="26" width="15.33203125" style="44" customWidth="1"/>
    <col min="27" max="27" width="11.33203125" style="44" customWidth="1"/>
    <col min="28" max="28" width="13.88671875" style="44" customWidth="1"/>
    <col min="29" max="29" width="14.33203125" style="44" customWidth="1"/>
    <col min="30" max="16384" width="12.5546875" style="44"/>
  </cols>
  <sheetData>
    <row r="1" spans="1:58" ht="14.4" x14ac:dyDescent="0.3">
      <c r="A1" s="156" t="s">
        <v>80</v>
      </c>
      <c r="B1" s="157"/>
      <c r="C1" s="157"/>
      <c r="D1" s="157"/>
      <c r="E1" s="157"/>
      <c r="F1" s="157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2"/>
      <c r="AB1" s="156" t="s">
        <v>81</v>
      </c>
      <c r="AC1" s="157"/>
      <c r="AD1" s="157"/>
      <c r="AE1" s="157"/>
      <c r="AF1" s="157"/>
      <c r="AG1" s="167"/>
      <c r="AH1" s="44" t="s">
        <v>137</v>
      </c>
    </row>
    <row r="2" spans="1:58" ht="14.4" x14ac:dyDescent="0.3">
      <c r="A2" s="158"/>
      <c r="B2" s="159"/>
      <c r="C2" s="159"/>
      <c r="D2" s="159"/>
      <c r="E2" s="159"/>
      <c r="F2" s="159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4"/>
      <c r="AB2" s="160"/>
      <c r="AC2" s="148"/>
      <c r="AD2" s="148"/>
      <c r="AE2" s="148"/>
      <c r="AF2" s="148"/>
      <c r="AG2" s="168"/>
      <c r="AH2" s="44">
        <v>4</v>
      </c>
    </row>
    <row r="3" spans="1:58" ht="14.4" x14ac:dyDescent="0.3">
      <c r="A3" s="158"/>
      <c r="B3" s="159"/>
      <c r="C3" s="159"/>
      <c r="D3" s="159"/>
      <c r="E3" s="159"/>
      <c r="F3" s="159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4"/>
      <c r="AB3" s="156" t="s">
        <v>82</v>
      </c>
      <c r="AC3" s="157"/>
      <c r="AD3" s="157"/>
      <c r="AE3" s="157"/>
      <c r="AF3" s="157"/>
      <c r="AG3" s="167"/>
      <c r="AH3" s="44">
        <v>5</v>
      </c>
    </row>
    <row r="4" spans="1:58" ht="14.4" x14ac:dyDescent="0.3">
      <c r="A4" s="160"/>
      <c r="B4" s="148"/>
      <c r="C4" s="148"/>
      <c r="D4" s="148"/>
      <c r="E4" s="148"/>
      <c r="F4" s="148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6"/>
      <c r="AB4" s="160"/>
      <c r="AC4" s="148"/>
      <c r="AD4" s="148"/>
      <c r="AE4" s="148"/>
      <c r="AF4" s="148"/>
      <c r="AG4" s="168"/>
    </row>
    <row r="5" spans="1:58" ht="22.5" customHeight="1" x14ac:dyDescent="0.3">
      <c r="A5" s="155" t="s">
        <v>83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4"/>
    </row>
    <row r="6" spans="1:58" ht="22.5" customHeight="1" x14ac:dyDescent="0.3">
      <c r="A6" s="155" t="s">
        <v>84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4"/>
    </row>
    <row r="7" spans="1:58" ht="14.4" x14ac:dyDescent="0.3">
      <c r="A7" s="145" t="s">
        <v>85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4"/>
    </row>
    <row r="8" spans="1:58" ht="33.75" customHeight="1" x14ac:dyDescent="0.3">
      <c r="A8" s="150" t="s">
        <v>277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43"/>
      <c r="AA8" s="143"/>
      <c r="AB8" s="143"/>
      <c r="AC8" s="143"/>
      <c r="AD8" s="143"/>
      <c r="AE8" s="143"/>
      <c r="AF8" s="143"/>
      <c r="AG8" s="144"/>
    </row>
    <row r="9" spans="1:58" ht="33.75" customHeight="1" x14ac:dyDescent="0.3">
      <c r="A9" s="145" t="s">
        <v>87</v>
      </c>
      <c r="B9" s="143"/>
      <c r="C9" s="143"/>
      <c r="D9" s="144"/>
      <c r="E9" s="150" t="str">
        <f>'Formato Cronograma'!F9</f>
        <v>Fredy Céspedes Villa</v>
      </c>
      <c r="F9" s="151"/>
      <c r="G9" s="145" t="s">
        <v>88</v>
      </c>
      <c r="H9" s="149"/>
      <c r="I9" s="149"/>
      <c r="J9" s="149"/>
      <c r="K9" s="149"/>
      <c r="L9" s="149"/>
      <c r="M9" s="149"/>
      <c r="N9" s="149"/>
      <c r="O9" s="169" t="s">
        <v>89</v>
      </c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49" t="s">
        <v>90</v>
      </c>
      <c r="AA9" s="143"/>
      <c r="AB9" s="143"/>
      <c r="AC9" s="144"/>
      <c r="AD9" s="152" t="s">
        <v>91</v>
      </c>
      <c r="AE9" s="153"/>
      <c r="AF9" s="153"/>
      <c r="AG9" s="154"/>
    </row>
    <row r="10" spans="1:58" ht="33.75" customHeight="1" x14ac:dyDescent="0.3">
      <c r="A10" s="145" t="s">
        <v>92</v>
      </c>
      <c r="B10" s="144"/>
      <c r="C10" s="46">
        <f>+'Formato Cronograma'!K9</f>
        <v>46230</v>
      </c>
      <c r="D10" s="145" t="s">
        <v>93</v>
      </c>
      <c r="E10" s="171"/>
      <c r="F10" s="48">
        <f>+'Formato Cronograma'!L9</f>
        <v>46279</v>
      </c>
      <c r="G10" s="147">
        <v>3</v>
      </c>
      <c r="H10" s="146"/>
      <c r="I10" s="146"/>
      <c r="J10" s="146"/>
      <c r="K10" s="146"/>
      <c r="L10" s="146"/>
      <c r="M10" s="146"/>
      <c r="N10" s="146"/>
      <c r="O10" s="170">
        <v>16</v>
      </c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49" t="s">
        <v>129</v>
      </c>
      <c r="AA10" s="144"/>
      <c r="AB10" s="147">
        <v>40</v>
      </c>
      <c r="AC10" s="144"/>
      <c r="AD10" s="45" t="s">
        <v>95</v>
      </c>
      <c r="AE10" s="147">
        <v>62740</v>
      </c>
      <c r="AF10" s="143"/>
      <c r="AG10" s="144"/>
      <c r="AH10" s="172" t="s">
        <v>139</v>
      </c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</row>
    <row r="11" spans="1:58" ht="15" customHeight="1" x14ac:dyDescent="0.3">
      <c r="A11" s="145" t="s">
        <v>96</v>
      </c>
      <c r="B11" s="143"/>
      <c r="C11" s="143"/>
      <c r="D11" s="143"/>
      <c r="E11" s="143"/>
      <c r="F11" s="148"/>
      <c r="G11" s="145" t="s">
        <v>97</v>
      </c>
      <c r="H11" s="143"/>
      <c r="I11" s="143"/>
      <c r="J11" s="143"/>
      <c r="K11" s="143"/>
      <c r="L11" s="143"/>
      <c r="M11" s="143"/>
      <c r="N11" s="143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5" t="s">
        <v>98</v>
      </c>
      <c r="AA11" s="143"/>
      <c r="AB11" s="143"/>
      <c r="AC11" s="144"/>
      <c r="AD11" s="145" t="s">
        <v>99</v>
      </c>
      <c r="AE11" s="143"/>
      <c r="AF11" s="143"/>
      <c r="AG11" s="144"/>
      <c r="AH11" s="173" t="s">
        <v>278</v>
      </c>
      <c r="AI11" s="174"/>
      <c r="AJ11" s="174"/>
      <c r="AK11" s="174"/>
      <c r="AL11" s="174"/>
      <c r="AM11" s="175"/>
      <c r="AN11" s="173" t="s">
        <v>142</v>
      </c>
      <c r="AO11" s="174"/>
      <c r="AP11" s="175"/>
      <c r="AQ11" s="173" t="s">
        <v>143</v>
      </c>
      <c r="AR11" s="174"/>
      <c r="AS11" s="174"/>
      <c r="AT11" s="174"/>
      <c r="AU11" s="174"/>
      <c r="AV11" s="174"/>
      <c r="AW11" s="174"/>
      <c r="AX11" s="174"/>
      <c r="AY11" s="174"/>
      <c r="AZ11" s="175"/>
      <c r="BA11" s="173" t="s">
        <v>144</v>
      </c>
      <c r="BB11" s="174"/>
      <c r="BC11" s="174"/>
      <c r="BD11" s="174"/>
      <c r="BE11" s="175"/>
      <c r="BF11" s="98" t="s">
        <v>145</v>
      </c>
    </row>
    <row r="12" spans="1:58" ht="151.80000000000001" x14ac:dyDescent="0.3">
      <c r="A12" s="47" t="s">
        <v>100</v>
      </c>
      <c r="B12" s="47" t="s">
        <v>101</v>
      </c>
      <c r="C12" s="47" t="s">
        <v>102</v>
      </c>
      <c r="D12" s="47" t="s">
        <v>103</v>
      </c>
      <c r="E12" s="47" t="s">
        <v>104</v>
      </c>
      <c r="F12" s="47" t="s">
        <v>105</v>
      </c>
      <c r="G12" s="47">
        <v>1</v>
      </c>
      <c r="H12" s="47">
        <v>2</v>
      </c>
      <c r="I12" s="47">
        <v>3</v>
      </c>
      <c r="J12" s="47">
        <v>4</v>
      </c>
      <c r="K12" s="47">
        <v>5</v>
      </c>
      <c r="L12" s="47">
        <v>6</v>
      </c>
      <c r="M12" s="47">
        <v>7</v>
      </c>
      <c r="N12" s="47">
        <v>8</v>
      </c>
      <c r="O12" s="47">
        <v>9</v>
      </c>
      <c r="P12" s="47">
        <v>10</v>
      </c>
      <c r="Q12" s="47">
        <v>11</v>
      </c>
      <c r="R12" s="47">
        <v>12</v>
      </c>
      <c r="S12" s="47">
        <v>13</v>
      </c>
      <c r="T12" s="47">
        <v>14</v>
      </c>
      <c r="U12" s="47">
        <v>15</v>
      </c>
      <c r="V12" s="47">
        <v>16</v>
      </c>
      <c r="W12" s="47">
        <v>17</v>
      </c>
      <c r="X12" s="47">
        <v>18</v>
      </c>
      <c r="Y12" s="47">
        <v>19</v>
      </c>
      <c r="Z12" s="47" t="s">
        <v>106</v>
      </c>
      <c r="AA12" s="47" t="s">
        <v>107</v>
      </c>
      <c r="AB12" s="47" t="s">
        <v>108</v>
      </c>
      <c r="AC12" s="47" t="s">
        <v>109</v>
      </c>
      <c r="AD12" s="47" t="s">
        <v>110</v>
      </c>
      <c r="AE12" s="47" t="s">
        <v>111</v>
      </c>
      <c r="AF12" s="47" t="s">
        <v>112</v>
      </c>
      <c r="AG12" s="47" t="s">
        <v>113</v>
      </c>
      <c r="AH12" s="84" t="s">
        <v>146</v>
      </c>
      <c r="AI12" s="84" t="s">
        <v>147</v>
      </c>
      <c r="AJ12" s="84" t="s">
        <v>148</v>
      </c>
      <c r="AK12" s="84" t="s">
        <v>149</v>
      </c>
      <c r="AL12" s="84" t="s">
        <v>150</v>
      </c>
      <c r="AM12" s="84" t="s">
        <v>151</v>
      </c>
      <c r="AN12" s="84" t="s">
        <v>152</v>
      </c>
      <c r="AO12" s="84" t="s">
        <v>153</v>
      </c>
      <c r="AP12" s="84" t="s">
        <v>154</v>
      </c>
      <c r="AQ12" s="84" t="s">
        <v>155</v>
      </c>
      <c r="AR12" s="84" t="s">
        <v>156</v>
      </c>
      <c r="AS12" s="84" t="s">
        <v>157</v>
      </c>
      <c r="AT12" s="84" t="s">
        <v>158</v>
      </c>
      <c r="AU12" s="84" t="s">
        <v>159</v>
      </c>
      <c r="AV12" s="84" t="s">
        <v>160</v>
      </c>
      <c r="AW12" s="84" t="s">
        <v>161</v>
      </c>
      <c r="AX12" s="84" t="s">
        <v>162</v>
      </c>
      <c r="AY12" s="84" t="s">
        <v>163</v>
      </c>
      <c r="AZ12" s="84" t="s">
        <v>164</v>
      </c>
      <c r="BA12" s="84" t="s">
        <v>165</v>
      </c>
      <c r="BB12" s="84" t="s">
        <v>166</v>
      </c>
      <c r="BC12" s="84" t="s">
        <v>167</v>
      </c>
      <c r="BD12" s="84" t="s">
        <v>168</v>
      </c>
      <c r="BE12" s="84" t="s">
        <v>169</v>
      </c>
      <c r="BF12" s="84" t="s">
        <v>170</v>
      </c>
    </row>
    <row r="13" spans="1:58" ht="55.2" customHeight="1" x14ac:dyDescent="0.3">
      <c r="A13" s="122">
        <v>1</v>
      </c>
      <c r="B13" s="123" t="s">
        <v>279</v>
      </c>
      <c r="C13" s="129">
        <v>53006387</v>
      </c>
      <c r="D13" s="122" t="s">
        <v>115</v>
      </c>
      <c r="E13" s="49" t="s">
        <v>401</v>
      </c>
      <c r="F13" s="49" t="s">
        <v>117</v>
      </c>
      <c r="G13" s="124">
        <v>3</v>
      </c>
      <c r="H13" s="124"/>
      <c r="I13" s="124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>
        <f>IF(B13&lt;&gt;"",SUM(G13:Y13),"")</f>
        <v>3</v>
      </c>
      <c r="AA13" s="51">
        <f>IF(B13&lt;&gt;"",COUNTA(G13:Y13),"")</f>
        <v>1</v>
      </c>
      <c r="AB13" s="52">
        <f>IF(B13&lt;&gt;"",SUM(G13:Y13)/$AB$10,"")</f>
        <v>7.4999999999999997E-2</v>
      </c>
      <c r="AC13" s="49" t="str">
        <f>IF(AB13="","",IF(AB13&gt;=80%,"Certificado","No certificado"))</f>
        <v>No certificado</v>
      </c>
      <c r="AD13" s="49"/>
      <c r="AE13" s="49"/>
      <c r="AF13" s="54"/>
      <c r="AG13" s="49" t="str">
        <f t="shared" ref="AG13:AG18" si="0">IF(B13="","",IF(AND(AB13&gt;=0.8,AF13&gt;=3),"Aprobado","No aprobado"))</f>
        <v>No aprobado</v>
      </c>
      <c r="BF13" s="117"/>
    </row>
    <row r="14" spans="1:58" ht="14.4" customHeight="1" x14ac:dyDescent="0.3">
      <c r="A14" s="122">
        <v>2</v>
      </c>
      <c r="B14" s="125" t="s">
        <v>280</v>
      </c>
      <c r="C14" s="129">
        <v>11318850</v>
      </c>
      <c r="D14" s="122" t="s">
        <v>115</v>
      </c>
      <c r="E14" s="49" t="s">
        <v>122</v>
      </c>
      <c r="F14" s="49" t="s">
        <v>117</v>
      </c>
      <c r="G14" s="124">
        <v>3</v>
      </c>
      <c r="H14" s="124"/>
      <c r="I14" s="124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>
        <f t="shared" ref="Z14:Z18" si="1">IF(B14&lt;&gt;"",SUM(G14:Y14),"")</f>
        <v>3</v>
      </c>
      <c r="AA14" s="51">
        <f t="shared" ref="AA14:AA18" si="2">IF(B14&lt;&gt;"",COUNTA(G14:Y14),"")</f>
        <v>1</v>
      </c>
      <c r="AB14" s="52">
        <f t="shared" ref="AB14:AB18" si="3">IF(B14&lt;&gt;"",SUM(G14:Y14)/$AB$10,"")</f>
        <v>7.4999999999999997E-2</v>
      </c>
      <c r="AC14" s="49" t="str">
        <f t="shared" ref="AC14:AC18" si="4">IF(AB14="","",IF(AB14&gt;=80%,"Certificado","No certificado"))</f>
        <v>No certificado</v>
      </c>
      <c r="AD14" s="49"/>
      <c r="AE14" s="49"/>
      <c r="AF14" s="54"/>
      <c r="AG14" s="49" t="str">
        <f t="shared" si="0"/>
        <v>No aprobado</v>
      </c>
      <c r="BF14" s="117"/>
    </row>
    <row r="15" spans="1:58" ht="14.4" customHeight="1" x14ac:dyDescent="0.3">
      <c r="A15" s="122">
        <v>3</v>
      </c>
      <c r="B15" s="125" t="s">
        <v>281</v>
      </c>
      <c r="C15" s="129">
        <v>80163431</v>
      </c>
      <c r="D15" s="122" t="s">
        <v>115</v>
      </c>
      <c r="E15" s="49" t="s">
        <v>122</v>
      </c>
      <c r="F15" s="49" t="s">
        <v>117</v>
      </c>
      <c r="G15" s="124">
        <v>3</v>
      </c>
      <c r="H15" s="124"/>
      <c r="I15" s="124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>
        <f t="shared" si="1"/>
        <v>3</v>
      </c>
      <c r="AA15" s="51">
        <f t="shared" si="2"/>
        <v>1</v>
      </c>
      <c r="AB15" s="52">
        <f t="shared" si="3"/>
        <v>7.4999999999999997E-2</v>
      </c>
      <c r="AC15" s="49" t="str">
        <f t="shared" si="4"/>
        <v>No certificado</v>
      </c>
      <c r="AD15" s="49"/>
      <c r="AE15" s="49"/>
      <c r="AF15" s="54"/>
      <c r="AG15" s="49" t="str">
        <f t="shared" si="0"/>
        <v>No aprobado</v>
      </c>
      <c r="BF15" s="117"/>
    </row>
    <row r="16" spans="1:58" ht="14.4" customHeight="1" x14ac:dyDescent="0.3">
      <c r="A16" s="122">
        <v>4</v>
      </c>
      <c r="B16" s="125" t="s">
        <v>282</v>
      </c>
      <c r="C16" s="129">
        <v>52230819</v>
      </c>
      <c r="D16" s="122" t="s">
        <v>115</v>
      </c>
      <c r="E16" s="49" t="s">
        <v>264</v>
      </c>
      <c r="F16" s="49" t="s">
        <v>363</v>
      </c>
      <c r="G16" s="124">
        <v>3</v>
      </c>
      <c r="H16" s="124"/>
      <c r="I16" s="124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>
        <f t="shared" si="1"/>
        <v>3</v>
      </c>
      <c r="AA16" s="51">
        <f t="shared" si="2"/>
        <v>1</v>
      </c>
      <c r="AB16" s="52">
        <f t="shared" si="3"/>
        <v>7.4999999999999997E-2</v>
      </c>
      <c r="AC16" s="49" t="str">
        <f t="shared" si="4"/>
        <v>No certificado</v>
      </c>
      <c r="AD16" s="49"/>
      <c r="AE16" s="49"/>
      <c r="AF16" s="54"/>
      <c r="AG16" s="49" t="str">
        <f t="shared" si="0"/>
        <v>No aprobado</v>
      </c>
      <c r="BF16" s="117"/>
    </row>
    <row r="17" spans="1:58" ht="14.4" x14ac:dyDescent="0.3">
      <c r="A17" s="122">
        <v>5</v>
      </c>
      <c r="B17" s="125" t="s">
        <v>226</v>
      </c>
      <c r="C17" s="129">
        <v>1015415271</v>
      </c>
      <c r="D17" s="122" t="s">
        <v>115</v>
      </c>
      <c r="E17" s="49" t="s">
        <v>227</v>
      </c>
      <c r="F17" s="49" t="s">
        <v>117</v>
      </c>
      <c r="G17" s="124"/>
      <c r="H17" s="124"/>
      <c r="I17" s="124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>
        <f t="shared" si="1"/>
        <v>0</v>
      </c>
      <c r="AA17" s="51">
        <f t="shared" si="2"/>
        <v>0</v>
      </c>
      <c r="AB17" s="52">
        <f t="shared" si="3"/>
        <v>0</v>
      </c>
      <c r="AC17" s="49" t="str">
        <f t="shared" si="4"/>
        <v>No certificado</v>
      </c>
      <c r="AD17" s="49"/>
      <c r="AE17" s="49"/>
      <c r="AF17" s="54"/>
      <c r="AG17" s="49" t="str">
        <f t="shared" si="0"/>
        <v>No aprobado</v>
      </c>
      <c r="BF17" s="117"/>
    </row>
    <row r="18" spans="1:58" ht="14.4" customHeight="1" x14ac:dyDescent="0.3">
      <c r="A18" s="122">
        <v>6</v>
      </c>
      <c r="B18" s="125" t="s">
        <v>235</v>
      </c>
      <c r="C18" s="129">
        <v>52528416</v>
      </c>
      <c r="D18" s="122" t="s">
        <v>115</v>
      </c>
      <c r="E18" s="49" t="s">
        <v>264</v>
      </c>
      <c r="F18" s="49" t="s">
        <v>117</v>
      </c>
      <c r="G18" s="124"/>
      <c r="H18" s="124"/>
      <c r="I18" s="124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>
        <f t="shared" si="1"/>
        <v>0</v>
      </c>
      <c r="AA18" s="51">
        <f t="shared" si="2"/>
        <v>0</v>
      </c>
      <c r="AB18" s="52">
        <f t="shared" si="3"/>
        <v>0</v>
      </c>
      <c r="AC18" s="49" t="str">
        <f t="shared" si="4"/>
        <v>No certificado</v>
      </c>
      <c r="AD18" s="49"/>
      <c r="AE18" s="49"/>
      <c r="AF18" s="54"/>
      <c r="AG18" s="49" t="str">
        <f t="shared" si="0"/>
        <v>No aprobado</v>
      </c>
      <c r="BF18" s="117"/>
    </row>
    <row r="19" spans="1:58" ht="48.75" customHeight="1" x14ac:dyDescent="0.3">
      <c r="A19" s="142" t="s">
        <v>127</v>
      </c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4"/>
    </row>
  </sheetData>
  <mergeCells count="31">
    <mergeCell ref="BA11:BE11"/>
    <mergeCell ref="A19:AG19"/>
    <mergeCell ref="AE10:AG10"/>
    <mergeCell ref="AH10:BF10"/>
    <mergeCell ref="A11:F11"/>
    <mergeCell ref="G11:Y11"/>
    <mergeCell ref="Z11:AC11"/>
    <mergeCell ref="AD11:AG11"/>
    <mergeCell ref="AH11:AM11"/>
    <mergeCell ref="AN11:AP11"/>
    <mergeCell ref="AQ11:AZ11"/>
    <mergeCell ref="A10:B10"/>
    <mergeCell ref="D10:E10"/>
    <mergeCell ref="G10:N10"/>
    <mergeCell ref="O10:Y10"/>
    <mergeCell ref="Z10:AA10"/>
    <mergeCell ref="AB10:AC10"/>
    <mergeCell ref="A7:AG7"/>
    <mergeCell ref="A8:AG8"/>
    <mergeCell ref="A9:D9"/>
    <mergeCell ref="E9:F9"/>
    <mergeCell ref="G9:N9"/>
    <mergeCell ref="O9:Y9"/>
    <mergeCell ref="Z9:AC9"/>
    <mergeCell ref="AD9:AG9"/>
    <mergeCell ref="A6:AG6"/>
    <mergeCell ref="A1:F4"/>
    <mergeCell ref="G1:AA4"/>
    <mergeCell ref="AB1:AG2"/>
    <mergeCell ref="AB3:AG4"/>
    <mergeCell ref="A5:AG5"/>
  </mergeCells>
  <dataValidations count="1">
    <dataValidation type="list" allowBlank="1" showErrorMessage="1" sqref="D13:D18" xr:uid="{E24B0688-E33B-4956-8EB4-C921A1F99B73}">
      <formula1>"Contratista,Planta"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564E9-684B-4638-B65E-F15E2FD98CCA}">
  <sheetPr>
    <outlinePr summaryBelow="0" summaryRight="0"/>
  </sheetPr>
  <dimension ref="A1:BD28"/>
  <sheetViews>
    <sheetView topLeftCell="A9" workbookViewId="0">
      <selection activeCell="E19" sqref="E19"/>
    </sheetView>
  </sheetViews>
  <sheetFormatPr baseColWidth="10" defaultColWidth="12.5546875" defaultRowHeight="15.75" customHeight="1" x14ac:dyDescent="0.3"/>
  <cols>
    <col min="1" max="1" width="12.5546875" style="44"/>
    <col min="2" max="2" width="38.109375" style="44" customWidth="1"/>
    <col min="3" max="3" width="15.88671875" style="44" customWidth="1"/>
    <col min="4" max="4" width="15.33203125" style="44" customWidth="1"/>
    <col min="5" max="6" width="25.5546875" style="44" customWidth="1"/>
    <col min="7" max="48" width="9.109375" style="44"/>
    <col min="49" max="49" width="15.33203125" style="44" customWidth="1"/>
    <col min="50" max="50" width="11.33203125" style="44" customWidth="1"/>
    <col min="51" max="51" width="13.88671875" style="44" customWidth="1"/>
    <col min="52" max="52" width="14.33203125" style="44" customWidth="1"/>
    <col min="53" max="16384" width="12.5546875" style="44"/>
  </cols>
  <sheetData>
    <row r="1" spans="1:56" ht="14.4" x14ac:dyDescent="0.3">
      <c r="A1" s="156" t="s">
        <v>80</v>
      </c>
      <c r="B1" s="157"/>
      <c r="C1" s="157"/>
      <c r="D1" s="157"/>
      <c r="E1" s="157"/>
      <c r="F1" s="157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1"/>
      <c r="AP1" s="161"/>
      <c r="AQ1" s="161"/>
      <c r="AR1" s="161"/>
      <c r="AS1" s="161"/>
      <c r="AT1" s="161"/>
      <c r="AU1" s="161"/>
      <c r="AV1" s="161"/>
      <c r="AW1" s="161"/>
      <c r="AX1" s="162"/>
      <c r="AY1" s="156" t="s">
        <v>81</v>
      </c>
      <c r="AZ1" s="157"/>
      <c r="BA1" s="157"/>
      <c r="BB1" s="157"/>
      <c r="BC1" s="157"/>
      <c r="BD1" s="167"/>
    </row>
    <row r="2" spans="1:56" ht="14.4" x14ac:dyDescent="0.3">
      <c r="A2" s="158"/>
      <c r="B2" s="159"/>
      <c r="C2" s="159"/>
      <c r="D2" s="159"/>
      <c r="E2" s="159"/>
      <c r="F2" s="159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3"/>
      <c r="AX2" s="164"/>
      <c r="AY2" s="160"/>
      <c r="AZ2" s="148"/>
      <c r="BA2" s="148"/>
      <c r="BB2" s="148"/>
      <c r="BC2" s="148"/>
      <c r="BD2" s="168"/>
    </row>
    <row r="3" spans="1:56" ht="14.4" x14ac:dyDescent="0.3">
      <c r="A3" s="158"/>
      <c r="B3" s="159"/>
      <c r="C3" s="159"/>
      <c r="D3" s="159"/>
      <c r="E3" s="159"/>
      <c r="F3" s="159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3"/>
      <c r="AX3" s="164"/>
      <c r="AY3" s="156" t="s">
        <v>82</v>
      </c>
      <c r="AZ3" s="157"/>
      <c r="BA3" s="157"/>
      <c r="BB3" s="157"/>
      <c r="BC3" s="157"/>
      <c r="BD3" s="167"/>
    </row>
    <row r="4" spans="1:56" ht="14.4" x14ac:dyDescent="0.3">
      <c r="A4" s="160"/>
      <c r="B4" s="148"/>
      <c r="C4" s="148"/>
      <c r="D4" s="148"/>
      <c r="E4" s="148"/>
      <c r="F4" s="148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6"/>
      <c r="AY4" s="160"/>
      <c r="AZ4" s="148"/>
      <c r="BA4" s="148"/>
      <c r="BB4" s="148"/>
      <c r="BC4" s="148"/>
      <c r="BD4" s="168"/>
    </row>
    <row r="5" spans="1:56" ht="22.5" customHeight="1" x14ac:dyDescent="0.3">
      <c r="A5" s="155" t="s">
        <v>83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4"/>
    </row>
    <row r="6" spans="1:56" ht="22.5" customHeight="1" x14ac:dyDescent="0.3">
      <c r="A6" s="155" t="s">
        <v>84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4"/>
    </row>
    <row r="7" spans="1:56" ht="14.4" x14ac:dyDescent="0.3">
      <c r="A7" s="145" t="s">
        <v>85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4"/>
    </row>
    <row r="8" spans="1:56" ht="33.75" customHeight="1" x14ac:dyDescent="0.3">
      <c r="A8" s="150" t="s">
        <v>283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143"/>
      <c r="AY8" s="143"/>
      <c r="AZ8" s="143"/>
      <c r="BA8" s="143"/>
      <c r="BB8" s="143"/>
      <c r="BC8" s="143"/>
      <c r="BD8" s="144"/>
    </row>
    <row r="9" spans="1:56" ht="57.75" customHeight="1" x14ac:dyDescent="0.3">
      <c r="A9" s="145" t="s">
        <v>87</v>
      </c>
      <c r="B9" s="143"/>
      <c r="C9" s="143"/>
      <c r="D9" s="144"/>
      <c r="E9" s="150" t="str">
        <f>'Formato Cronograma'!F10</f>
        <v>Docente principal:
- Robinson Andrés Jaque Pirabán
Conferencistas invitados: 
- Jorge Eliecer Camargo Mendoza</v>
      </c>
      <c r="F9" s="151"/>
      <c r="G9" s="145" t="s">
        <v>88</v>
      </c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4"/>
      <c r="AA9" s="145" t="s">
        <v>89</v>
      </c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4"/>
      <c r="AW9" s="145" t="s">
        <v>90</v>
      </c>
      <c r="AX9" s="143"/>
      <c r="AY9" s="143"/>
      <c r="AZ9" s="144"/>
      <c r="BA9" s="152" t="s">
        <v>91</v>
      </c>
      <c r="BB9" s="153"/>
      <c r="BC9" s="153"/>
      <c r="BD9" s="154"/>
    </row>
    <row r="10" spans="1:56" ht="33.75" customHeight="1" x14ac:dyDescent="0.3">
      <c r="A10" s="145" t="s">
        <v>92</v>
      </c>
      <c r="B10" s="144"/>
      <c r="C10" s="46">
        <f>Tabla_PIC[[#This Row],[Fecha de Inicio]]</f>
        <v>46232</v>
      </c>
      <c r="D10" s="145" t="s">
        <v>93</v>
      </c>
      <c r="E10" s="149"/>
      <c r="F10" s="56">
        <f>Tabla_PIC[[#This Row],[Fecha de Terminación]]</f>
        <v>46353</v>
      </c>
      <c r="G10" s="146">
        <v>17</v>
      </c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4"/>
      <c r="AA10" s="147">
        <f>42-G10</f>
        <v>25</v>
      </c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4"/>
      <c r="AW10" s="145" t="s">
        <v>94</v>
      </c>
      <c r="AX10" s="144"/>
      <c r="AY10" s="147">
        <v>100</v>
      </c>
      <c r="AZ10" s="144"/>
      <c r="BA10" s="45" t="s">
        <v>95</v>
      </c>
      <c r="BB10" s="147"/>
      <c r="BC10" s="143"/>
      <c r="BD10" s="144"/>
    </row>
    <row r="11" spans="1:56" ht="14.4" x14ac:dyDescent="0.3">
      <c r="A11" s="145" t="s">
        <v>96</v>
      </c>
      <c r="B11" s="143"/>
      <c r="C11" s="143"/>
      <c r="D11" s="143"/>
      <c r="E11" s="143"/>
      <c r="F11" s="148"/>
      <c r="G11" s="145" t="s">
        <v>97</v>
      </c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5" t="s">
        <v>98</v>
      </c>
      <c r="AX11" s="143"/>
      <c r="AY11" s="143"/>
      <c r="AZ11" s="144"/>
      <c r="BA11" s="145" t="s">
        <v>99</v>
      </c>
      <c r="BB11" s="143"/>
      <c r="BC11" s="143"/>
      <c r="BD11" s="144"/>
    </row>
    <row r="12" spans="1:56" ht="41.4" x14ac:dyDescent="0.3">
      <c r="A12" s="47" t="s">
        <v>100</v>
      </c>
      <c r="B12" s="47" t="s">
        <v>101</v>
      </c>
      <c r="C12" s="47" t="s">
        <v>102</v>
      </c>
      <c r="D12" s="47" t="s">
        <v>103</v>
      </c>
      <c r="E12" s="47" t="s">
        <v>104</v>
      </c>
      <c r="F12" s="47" t="s">
        <v>105</v>
      </c>
      <c r="G12" s="47">
        <v>1</v>
      </c>
      <c r="H12" s="47">
        <v>2</v>
      </c>
      <c r="I12" s="47">
        <v>3</v>
      </c>
      <c r="J12" s="47">
        <v>4</v>
      </c>
      <c r="K12" s="47">
        <v>5</v>
      </c>
      <c r="L12" s="47">
        <v>6</v>
      </c>
      <c r="M12" s="47">
        <v>7</v>
      </c>
      <c r="N12" s="47">
        <v>8</v>
      </c>
      <c r="O12" s="47">
        <v>9</v>
      </c>
      <c r="P12" s="47">
        <v>10</v>
      </c>
      <c r="Q12" s="47">
        <v>11</v>
      </c>
      <c r="R12" s="47">
        <v>12</v>
      </c>
      <c r="S12" s="47">
        <v>13</v>
      </c>
      <c r="T12" s="47">
        <v>14</v>
      </c>
      <c r="U12" s="47">
        <v>15</v>
      </c>
      <c r="V12" s="47">
        <v>16</v>
      </c>
      <c r="W12" s="47">
        <v>17</v>
      </c>
      <c r="X12" s="47">
        <v>18</v>
      </c>
      <c r="Y12" s="47">
        <v>19</v>
      </c>
      <c r="Z12" s="47">
        <v>20</v>
      </c>
      <c r="AA12" s="47">
        <v>21</v>
      </c>
      <c r="AB12" s="47">
        <v>22</v>
      </c>
      <c r="AC12" s="47">
        <v>23</v>
      </c>
      <c r="AD12" s="47">
        <v>24</v>
      </c>
      <c r="AE12" s="47">
        <v>25</v>
      </c>
      <c r="AF12" s="47">
        <v>26</v>
      </c>
      <c r="AG12" s="47">
        <v>27</v>
      </c>
      <c r="AH12" s="47">
        <v>28</v>
      </c>
      <c r="AI12" s="47">
        <v>29</v>
      </c>
      <c r="AJ12" s="47">
        <v>30</v>
      </c>
      <c r="AK12" s="47">
        <v>31</v>
      </c>
      <c r="AL12" s="47">
        <v>32</v>
      </c>
      <c r="AM12" s="47">
        <v>33</v>
      </c>
      <c r="AN12" s="47">
        <v>34</v>
      </c>
      <c r="AO12" s="47">
        <v>35</v>
      </c>
      <c r="AP12" s="47">
        <v>36</v>
      </c>
      <c r="AQ12" s="47">
        <v>37</v>
      </c>
      <c r="AR12" s="47">
        <v>38</v>
      </c>
      <c r="AS12" s="47">
        <v>39</v>
      </c>
      <c r="AT12" s="47">
        <v>40</v>
      </c>
      <c r="AU12" s="47">
        <v>41</v>
      </c>
      <c r="AV12" s="47">
        <v>42</v>
      </c>
      <c r="AW12" s="47" t="s">
        <v>106</v>
      </c>
      <c r="AX12" s="47" t="s">
        <v>107</v>
      </c>
      <c r="AY12" s="47" t="s">
        <v>108</v>
      </c>
      <c r="AZ12" s="47" t="s">
        <v>109</v>
      </c>
      <c r="BA12" s="47" t="s">
        <v>110</v>
      </c>
      <c r="BB12" s="47" t="s">
        <v>111</v>
      </c>
      <c r="BC12" s="47" t="s">
        <v>112</v>
      </c>
      <c r="BD12" s="47" t="s">
        <v>113</v>
      </c>
    </row>
    <row r="13" spans="1:56" ht="30" customHeight="1" x14ac:dyDescent="0.3">
      <c r="A13" s="49">
        <v>1</v>
      </c>
      <c r="B13" s="49" t="s">
        <v>437</v>
      </c>
      <c r="C13" s="55">
        <v>1014203321</v>
      </c>
      <c r="D13" s="49" t="s">
        <v>115</v>
      </c>
      <c r="E13" s="49" t="s">
        <v>264</v>
      </c>
      <c r="F13" s="49" t="s">
        <v>117</v>
      </c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51">
        <f t="shared" ref="AW13:AW16" si="0">IF(B13&lt;&gt;"",SUM(G13:AV13),"")</f>
        <v>0</v>
      </c>
      <c r="AX13" s="51">
        <f t="shared" ref="AX13:AX16" si="1">IF(B13&lt;&gt;"",COUNTA(G13:AV13),"")</f>
        <v>0</v>
      </c>
      <c r="AY13" s="52">
        <f t="shared" ref="AY13:AY16" si="2">IF(B13&lt;&gt;"",SUM(G13:AV13)/100,"")</f>
        <v>0</v>
      </c>
      <c r="AZ13" s="49" t="str">
        <f>IF(AY13="","",IF(AY13&gt;=80%,"Certificado","No certificado"))</f>
        <v>No certificado</v>
      </c>
      <c r="BA13" s="49"/>
      <c r="BB13" s="49"/>
      <c r="BC13" s="53"/>
      <c r="BD13" s="49" t="str">
        <f t="shared" ref="BD13:BD16" si="3">IF(B13="","",IF(AND(AY13&gt;=0.8,BC13&gt;=3),"Aprobado","No aprobado"))</f>
        <v>No aprobado</v>
      </c>
    </row>
    <row r="14" spans="1:56" ht="30" customHeight="1" x14ac:dyDescent="0.3">
      <c r="A14" s="49">
        <v>2</v>
      </c>
      <c r="B14" s="49" t="s">
        <v>438</v>
      </c>
      <c r="C14" s="55">
        <v>1082915789</v>
      </c>
      <c r="D14" s="49" t="s">
        <v>115</v>
      </c>
      <c r="E14" s="49" t="s">
        <v>227</v>
      </c>
      <c r="F14" s="49" t="s">
        <v>117</v>
      </c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51">
        <f t="shared" si="0"/>
        <v>0</v>
      </c>
      <c r="AX14" s="51">
        <f t="shared" si="1"/>
        <v>0</v>
      </c>
      <c r="AY14" s="52">
        <f t="shared" si="2"/>
        <v>0</v>
      </c>
      <c r="AZ14" s="49" t="str">
        <f t="shared" ref="AZ14:AZ16" si="4">IF(AY14="","",IF(AY14&gt;=80%,"Certificado","No certificado"))</f>
        <v>No certificado</v>
      </c>
      <c r="BA14" s="49"/>
      <c r="BB14" s="49"/>
      <c r="BC14" s="53"/>
      <c r="BD14" s="49" t="str">
        <f t="shared" si="3"/>
        <v>No aprobado</v>
      </c>
    </row>
    <row r="15" spans="1:56" ht="30" customHeight="1" x14ac:dyDescent="0.3">
      <c r="A15" s="49">
        <v>3</v>
      </c>
      <c r="B15" s="49" t="s">
        <v>284</v>
      </c>
      <c r="C15" s="55">
        <v>4151998</v>
      </c>
      <c r="D15" s="49" t="s">
        <v>115</v>
      </c>
      <c r="E15" s="49" t="s">
        <v>125</v>
      </c>
      <c r="F15" s="49" t="s">
        <v>117</v>
      </c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51">
        <f t="shared" si="0"/>
        <v>0</v>
      </c>
      <c r="AX15" s="51">
        <f t="shared" si="1"/>
        <v>0</v>
      </c>
      <c r="AY15" s="52">
        <f t="shared" si="2"/>
        <v>0</v>
      </c>
      <c r="AZ15" s="49" t="str">
        <f t="shared" si="4"/>
        <v>No certificado</v>
      </c>
      <c r="BA15" s="49"/>
      <c r="BB15" s="49"/>
      <c r="BC15" s="53"/>
      <c r="BD15" s="49" t="str">
        <f t="shared" si="3"/>
        <v>No aprobado</v>
      </c>
    </row>
    <row r="16" spans="1:56" ht="30" customHeight="1" x14ac:dyDescent="0.3">
      <c r="A16" s="49">
        <v>4</v>
      </c>
      <c r="B16" s="49" t="s">
        <v>439</v>
      </c>
      <c r="C16" s="55">
        <v>51983216</v>
      </c>
      <c r="D16" s="49" t="s">
        <v>115</v>
      </c>
      <c r="E16" s="49" t="s">
        <v>116</v>
      </c>
      <c r="F16" s="49" t="s">
        <v>117</v>
      </c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51">
        <f t="shared" si="0"/>
        <v>0</v>
      </c>
      <c r="AX16" s="51">
        <f t="shared" si="1"/>
        <v>0</v>
      </c>
      <c r="AY16" s="52">
        <f t="shared" si="2"/>
        <v>0</v>
      </c>
      <c r="AZ16" s="49" t="str">
        <f t="shared" si="4"/>
        <v>No certificado</v>
      </c>
      <c r="BA16" s="49"/>
      <c r="BB16" s="49"/>
      <c r="BC16" s="53"/>
      <c r="BD16" s="49" t="str">
        <f t="shared" si="3"/>
        <v>No aprobado</v>
      </c>
    </row>
    <row r="17" spans="1:56" ht="30" customHeight="1" x14ac:dyDescent="0.3">
      <c r="A17" s="49">
        <v>5</v>
      </c>
      <c r="B17" s="49" t="s">
        <v>440</v>
      </c>
      <c r="C17" s="55">
        <v>1069719379</v>
      </c>
      <c r="D17" s="49" t="s">
        <v>115</v>
      </c>
      <c r="E17" s="49" t="s">
        <v>446</v>
      </c>
      <c r="F17" s="49" t="s">
        <v>309</v>
      </c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51">
        <f t="shared" ref="AW17:AW27" si="5">IF(B17&lt;&gt;"",SUM(G17:AV17),"")</f>
        <v>0</v>
      </c>
      <c r="AX17" s="51">
        <f t="shared" ref="AX17:AX27" si="6">IF(B17&lt;&gt;"",COUNTA(G17:AV17),"")</f>
        <v>0</v>
      </c>
      <c r="AY17" s="52">
        <f t="shared" ref="AY17:AY27" si="7">IF(B17&lt;&gt;"",SUM(G17:AV17)/100,"")</f>
        <v>0</v>
      </c>
      <c r="AZ17" s="49" t="str">
        <f t="shared" ref="AZ17:AZ27" si="8">IF(AY17="","",IF(AY17&gt;=80%,"Certificado","No certificado"))</f>
        <v>No certificado</v>
      </c>
      <c r="BA17" s="49"/>
      <c r="BB17" s="49"/>
      <c r="BC17" s="53"/>
      <c r="BD17" s="49" t="str">
        <f t="shared" ref="BD17:BD27" si="9">IF(B17="","",IF(AND(AY17&gt;=0.8,BC17&gt;=3),"Aprobado","No aprobado"))</f>
        <v>No aprobado</v>
      </c>
    </row>
    <row r="18" spans="1:56" ht="30" customHeight="1" x14ac:dyDescent="0.3">
      <c r="A18" s="49">
        <v>6</v>
      </c>
      <c r="B18" s="49" t="s">
        <v>441</v>
      </c>
      <c r="C18" s="55">
        <v>1032400575</v>
      </c>
      <c r="D18" s="49" t="s">
        <v>115</v>
      </c>
      <c r="E18" s="49" t="s">
        <v>122</v>
      </c>
      <c r="F18" s="49" t="s">
        <v>117</v>
      </c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51">
        <f t="shared" si="5"/>
        <v>0</v>
      </c>
      <c r="AX18" s="51">
        <f t="shared" si="6"/>
        <v>0</v>
      </c>
      <c r="AY18" s="52">
        <f t="shared" si="7"/>
        <v>0</v>
      </c>
      <c r="AZ18" s="49" t="str">
        <f t="shared" si="8"/>
        <v>No certificado</v>
      </c>
      <c r="BA18" s="49"/>
      <c r="BB18" s="49"/>
      <c r="BC18" s="53"/>
      <c r="BD18" s="49" t="str">
        <f t="shared" si="9"/>
        <v>No aprobado</v>
      </c>
    </row>
    <row r="19" spans="1:56" ht="30" customHeight="1" x14ac:dyDescent="0.3">
      <c r="A19" s="49">
        <v>7</v>
      </c>
      <c r="B19" s="49" t="s">
        <v>285</v>
      </c>
      <c r="C19" s="55">
        <v>52777862</v>
      </c>
      <c r="D19" s="49" t="s">
        <v>115</v>
      </c>
      <c r="E19" s="49" t="s">
        <v>447</v>
      </c>
      <c r="F19" s="49" t="s">
        <v>448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51">
        <f t="shared" si="5"/>
        <v>0</v>
      </c>
      <c r="AX19" s="51">
        <f t="shared" si="6"/>
        <v>0</v>
      </c>
      <c r="AY19" s="52">
        <f t="shared" si="7"/>
        <v>0</v>
      </c>
      <c r="AZ19" s="49" t="str">
        <f t="shared" si="8"/>
        <v>No certificado</v>
      </c>
      <c r="BA19" s="49"/>
      <c r="BB19" s="49"/>
      <c r="BC19" s="53"/>
      <c r="BD19" s="49" t="str">
        <f t="shared" si="9"/>
        <v>No aprobado</v>
      </c>
    </row>
    <row r="20" spans="1:56" ht="30" customHeight="1" x14ac:dyDescent="0.3">
      <c r="A20" s="49">
        <v>8</v>
      </c>
      <c r="B20" s="49" t="s">
        <v>442</v>
      </c>
      <c r="C20" s="55">
        <v>80090678</v>
      </c>
      <c r="D20" s="49" t="s">
        <v>115</v>
      </c>
      <c r="E20" s="49" t="s">
        <v>227</v>
      </c>
      <c r="F20" s="49" t="s">
        <v>117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51">
        <f t="shared" si="5"/>
        <v>0</v>
      </c>
      <c r="AX20" s="51">
        <f t="shared" si="6"/>
        <v>0</v>
      </c>
      <c r="AY20" s="52">
        <f t="shared" si="7"/>
        <v>0</v>
      </c>
      <c r="AZ20" s="49" t="str">
        <f t="shared" si="8"/>
        <v>No certificado</v>
      </c>
      <c r="BA20" s="49"/>
      <c r="BB20" s="49"/>
      <c r="BC20" s="53"/>
      <c r="BD20" s="49" t="str">
        <f t="shared" si="9"/>
        <v>No aprobado</v>
      </c>
    </row>
    <row r="21" spans="1:56" ht="30" customHeight="1" x14ac:dyDescent="0.3">
      <c r="A21" s="49">
        <v>9</v>
      </c>
      <c r="B21" s="49" t="s">
        <v>307</v>
      </c>
      <c r="C21" s="55">
        <v>80409100</v>
      </c>
      <c r="D21" s="49" t="s">
        <v>115</v>
      </c>
      <c r="E21" s="49" t="s">
        <v>308</v>
      </c>
      <c r="F21" s="49" t="s">
        <v>449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51">
        <f t="shared" si="5"/>
        <v>0</v>
      </c>
      <c r="AX21" s="51">
        <f t="shared" si="6"/>
        <v>0</v>
      </c>
      <c r="AY21" s="52">
        <f t="shared" si="7"/>
        <v>0</v>
      </c>
      <c r="AZ21" s="49" t="str">
        <f t="shared" si="8"/>
        <v>No certificado</v>
      </c>
      <c r="BA21" s="49"/>
      <c r="BB21" s="49"/>
      <c r="BC21" s="53"/>
      <c r="BD21" s="49" t="str">
        <f t="shared" si="9"/>
        <v>No aprobado</v>
      </c>
    </row>
    <row r="22" spans="1:56" ht="30" customHeight="1" x14ac:dyDescent="0.3">
      <c r="A22" s="49">
        <v>10</v>
      </c>
      <c r="B22" s="49" t="s">
        <v>286</v>
      </c>
      <c r="C22" s="55">
        <v>53062135</v>
      </c>
      <c r="D22" s="49" t="s">
        <v>115</v>
      </c>
      <c r="E22" s="49" t="s">
        <v>125</v>
      </c>
      <c r="F22" s="49" t="s">
        <v>117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51">
        <f t="shared" si="5"/>
        <v>0</v>
      </c>
      <c r="AX22" s="51">
        <f t="shared" si="6"/>
        <v>0</v>
      </c>
      <c r="AY22" s="52">
        <f t="shared" si="7"/>
        <v>0</v>
      </c>
      <c r="AZ22" s="49" t="str">
        <f t="shared" si="8"/>
        <v>No certificado</v>
      </c>
      <c r="BA22" s="49"/>
      <c r="BB22" s="49"/>
      <c r="BC22" s="53"/>
      <c r="BD22" s="49" t="str">
        <f t="shared" si="9"/>
        <v>No aprobado</v>
      </c>
    </row>
    <row r="23" spans="1:56" ht="30" customHeight="1" x14ac:dyDescent="0.3">
      <c r="A23" s="49">
        <v>11</v>
      </c>
      <c r="B23" s="49" t="s">
        <v>443</v>
      </c>
      <c r="C23" s="55">
        <v>36285447</v>
      </c>
      <c r="D23" s="49" t="s">
        <v>115</v>
      </c>
      <c r="E23" s="49" t="s">
        <v>122</v>
      </c>
      <c r="F23" s="49" t="s">
        <v>117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51">
        <f t="shared" si="5"/>
        <v>0</v>
      </c>
      <c r="AX23" s="51">
        <f t="shared" si="6"/>
        <v>0</v>
      </c>
      <c r="AY23" s="52">
        <f t="shared" si="7"/>
        <v>0</v>
      </c>
      <c r="AZ23" s="49" t="str">
        <f t="shared" si="8"/>
        <v>No certificado</v>
      </c>
      <c r="BA23" s="49"/>
      <c r="BB23" s="49"/>
      <c r="BC23" s="53"/>
      <c r="BD23" s="49" t="str">
        <f t="shared" si="9"/>
        <v>No aprobado</v>
      </c>
    </row>
    <row r="24" spans="1:56" ht="30" customHeight="1" x14ac:dyDescent="0.3">
      <c r="A24" s="49">
        <v>12</v>
      </c>
      <c r="B24" s="49" t="s">
        <v>287</v>
      </c>
      <c r="C24" s="55">
        <v>52730780</v>
      </c>
      <c r="D24" s="49" t="s">
        <v>115</v>
      </c>
      <c r="E24" s="49" t="s">
        <v>116</v>
      </c>
      <c r="F24" s="49" t="s">
        <v>117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51">
        <f t="shared" si="5"/>
        <v>0</v>
      </c>
      <c r="AX24" s="51">
        <f t="shared" si="6"/>
        <v>0</v>
      </c>
      <c r="AY24" s="52">
        <f t="shared" si="7"/>
        <v>0</v>
      </c>
      <c r="AZ24" s="49" t="str">
        <f t="shared" si="8"/>
        <v>No certificado</v>
      </c>
      <c r="BA24" s="49"/>
      <c r="BB24" s="49"/>
      <c r="BC24" s="53"/>
      <c r="BD24" s="49" t="str">
        <f t="shared" si="9"/>
        <v>No aprobado</v>
      </c>
    </row>
    <row r="25" spans="1:56" ht="30" customHeight="1" x14ac:dyDescent="0.3">
      <c r="A25" s="49">
        <v>13</v>
      </c>
      <c r="B25" s="49" t="s">
        <v>288</v>
      </c>
      <c r="C25" s="55">
        <v>52454760</v>
      </c>
      <c r="D25" s="49" t="s">
        <v>115</v>
      </c>
      <c r="E25" s="49" t="s">
        <v>394</v>
      </c>
      <c r="F25" s="49" t="s">
        <v>117</v>
      </c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51">
        <f t="shared" si="5"/>
        <v>0</v>
      </c>
      <c r="AX25" s="51">
        <f t="shared" si="6"/>
        <v>0</v>
      </c>
      <c r="AY25" s="52">
        <f t="shared" si="7"/>
        <v>0</v>
      </c>
      <c r="AZ25" s="49" t="str">
        <f t="shared" si="8"/>
        <v>No certificado</v>
      </c>
      <c r="BA25" s="49"/>
      <c r="BB25" s="49"/>
      <c r="BC25" s="53"/>
      <c r="BD25" s="49" t="str">
        <f t="shared" si="9"/>
        <v>No aprobado</v>
      </c>
    </row>
    <row r="26" spans="1:56" ht="30" customHeight="1" x14ac:dyDescent="0.3">
      <c r="A26" s="49">
        <v>14</v>
      </c>
      <c r="B26" s="49" t="s">
        <v>444</v>
      </c>
      <c r="C26" s="55">
        <v>11004448</v>
      </c>
      <c r="D26" s="49" t="s">
        <v>115</v>
      </c>
      <c r="E26" s="49" t="s">
        <v>116</v>
      </c>
      <c r="F26" s="49" t="s">
        <v>117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51">
        <f t="shared" si="5"/>
        <v>0</v>
      </c>
      <c r="AX26" s="51">
        <f t="shared" si="6"/>
        <v>0</v>
      </c>
      <c r="AY26" s="52">
        <f t="shared" si="7"/>
        <v>0</v>
      </c>
      <c r="AZ26" s="49" t="str">
        <f t="shared" si="8"/>
        <v>No certificado</v>
      </c>
      <c r="BA26" s="49"/>
      <c r="BB26" s="49"/>
      <c r="BC26" s="53"/>
      <c r="BD26" s="49" t="str">
        <f t="shared" si="9"/>
        <v>No aprobado</v>
      </c>
    </row>
    <row r="27" spans="1:56" ht="30" customHeight="1" x14ac:dyDescent="0.3">
      <c r="A27" s="49">
        <v>15</v>
      </c>
      <c r="B27" s="49" t="s">
        <v>445</v>
      </c>
      <c r="C27" s="55">
        <v>80000937</v>
      </c>
      <c r="D27" s="49" t="s">
        <v>115</v>
      </c>
      <c r="E27" s="49" t="s">
        <v>116</v>
      </c>
      <c r="F27" s="49" t="s">
        <v>117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51">
        <f t="shared" si="5"/>
        <v>0</v>
      </c>
      <c r="AX27" s="51">
        <f t="shared" si="6"/>
        <v>0</v>
      </c>
      <c r="AY27" s="52">
        <f t="shared" si="7"/>
        <v>0</v>
      </c>
      <c r="AZ27" s="49" t="str">
        <f t="shared" si="8"/>
        <v>No certificado</v>
      </c>
      <c r="BA27" s="49"/>
      <c r="BB27" s="49"/>
      <c r="BC27" s="53"/>
      <c r="BD27" s="49" t="str">
        <f t="shared" si="9"/>
        <v>No aprobado</v>
      </c>
    </row>
    <row r="28" spans="1:56" ht="48.75" customHeight="1" x14ac:dyDescent="0.3">
      <c r="A28" s="142" t="s">
        <v>127</v>
      </c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4"/>
    </row>
  </sheetData>
  <mergeCells count="26">
    <mergeCell ref="A28:BD28"/>
    <mergeCell ref="A10:B10"/>
    <mergeCell ref="D10:E10"/>
    <mergeCell ref="G10:Z10"/>
    <mergeCell ref="AA10:AV10"/>
    <mergeCell ref="AW10:AX10"/>
    <mergeCell ref="AY10:AZ10"/>
    <mergeCell ref="BB10:BD10"/>
    <mergeCell ref="A11:F11"/>
    <mergeCell ref="G11:AV11"/>
    <mergeCell ref="AW11:AZ11"/>
    <mergeCell ref="BA11:BD11"/>
    <mergeCell ref="A7:BD7"/>
    <mergeCell ref="A8:BD8"/>
    <mergeCell ref="A9:D9"/>
    <mergeCell ref="E9:F9"/>
    <mergeCell ref="G9:Z9"/>
    <mergeCell ref="AA9:AV9"/>
    <mergeCell ref="AW9:AZ9"/>
    <mergeCell ref="BA9:BD9"/>
    <mergeCell ref="A6:BD6"/>
    <mergeCell ref="A1:F4"/>
    <mergeCell ref="G1:AX4"/>
    <mergeCell ref="AY1:BD2"/>
    <mergeCell ref="AY3:BD4"/>
    <mergeCell ref="A5:BD5"/>
  </mergeCells>
  <dataValidations count="1">
    <dataValidation type="list" allowBlank="1" showErrorMessage="1" sqref="D13:D27" xr:uid="{B2F64F2F-E812-4DF9-B868-8A13446DFC1F}">
      <formula1>"Contratista,Planta"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3E9C2-5882-43E8-8192-AC81A5645B41}">
  <sheetPr>
    <tabColor rgb="FF00B050"/>
    <outlinePr summaryBelow="0" summaryRight="0"/>
  </sheetPr>
  <dimension ref="A1:DF29"/>
  <sheetViews>
    <sheetView topLeftCell="A9" workbookViewId="0">
      <selection activeCell="F13" sqref="F13"/>
    </sheetView>
  </sheetViews>
  <sheetFormatPr baseColWidth="10" defaultColWidth="12.5546875" defaultRowHeight="15.75" customHeight="1" x14ac:dyDescent="0.3"/>
  <cols>
    <col min="1" max="1" width="12.5546875" style="44"/>
    <col min="2" max="2" width="38.109375" style="44" customWidth="1"/>
    <col min="3" max="3" width="15.88671875" style="44" customWidth="1"/>
    <col min="4" max="4" width="15.33203125" style="44" customWidth="1"/>
    <col min="5" max="6" width="25.5546875" style="44" customWidth="1"/>
    <col min="7" max="47" width="12.5546875" style="44"/>
    <col min="48" max="48" width="15.33203125" style="44" customWidth="1"/>
    <col min="49" max="49" width="11.33203125" style="44" customWidth="1"/>
    <col min="50" max="50" width="13.88671875" style="44" customWidth="1"/>
    <col min="51" max="51" width="14.33203125" style="44" customWidth="1"/>
    <col min="52" max="16384" width="12.5546875" style="44"/>
  </cols>
  <sheetData>
    <row r="1" spans="1:110" ht="14.4" x14ac:dyDescent="0.3">
      <c r="A1" s="156" t="s">
        <v>80</v>
      </c>
      <c r="B1" s="157"/>
      <c r="C1" s="157"/>
      <c r="D1" s="157"/>
      <c r="E1" s="157"/>
      <c r="F1" s="157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1"/>
      <c r="AP1" s="161"/>
      <c r="AQ1" s="161"/>
      <c r="AR1" s="161"/>
      <c r="AS1" s="161"/>
      <c r="AT1" s="161"/>
      <c r="AU1" s="161"/>
      <c r="AV1" s="161"/>
      <c r="AW1" s="162"/>
      <c r="AX1" s="156" t="s">
        <v>81</v>
      </c>
      <c r="AY1" s="157"/>
      <c r="AZ1" s="157"/>
      <c r="BA1" s="157"/>
      <c r="BB1" s="157"/>
      <c r="BC1" s="167"/>
    </row>
    <row r="2" spans="1:110" ht="14.4" x14ac:dyDescent="0.3">
      <c r="A2" s="158"/>
      <c r="B2" s="159"/>
      <c r="C2" s="159"/>
      <c r="D2" s="159"/>
      <c r="E2" s="159"/>
      <c r="F2" s="159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4"/>
      <c r="AX2" s="160"/>
      <c r="AY2" s="148"/>
      <c r="AZ2" s="148"/>
      <c r="BA2" s="148"/>
      <c r="BB2" s="148"/>
      <c r="BC2" s="168"/>
    </row>
    <row r="3" spans="1:110" ht="14.4" x14ac:dyDescent="0.3">
      <c r="A3" s="158"/>
      <c r="B3" s="159"/>
      <c r="C3" s="159"/>
      <c r="D3" s="159"/>
      <c r="E3" s="159"/>
      <c r="F3" s="159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63"/>
      <c r="AV3" s="163"/>
      <c r="AW3" s="164"/>
      <c r="AX3" s="156" t="s">
        <v>82</v>
      </c>
      <c r="AY3" s="157"/>
      <c r="AZ3" s="157"/>
      <c r="BA3" s="157"/>
      <c r="BB3" s="157"/>
      <c r="BC3" s="167"/>
    </row>
    <row r="4" spans="1:110" ht="14.4" x14ac:dyDescent="0.3">
      <c r="A4" s="160"/>
      <c r="B4" s="148"/>
      <c r="C4" s="148"/>
      <c r="D4" s="148"/>
      <c r="E4" s="148"/>
      <c r="F4" s="148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6"/>
      <c r="AX4" s="160"/>
      <c r="AY4" s="148"/>
      <c r="AZ4" s="148"/>
      <c r="BA4" s="148"/>
      <c r="BB4" s="148"/>
      <c r="BC4" s="168"/>
    </row>
    <row r="5" spans="1:110" ht="22.5" customHeight="1" x14ac:dyDescent="0.3">
      <c r="A5" s="155" t="s">
        <v>83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4"/>
    </row>
    <row r="6" spans="1:110" ht="22.5" customHeight="1" x14ac:dyDescent="0.3">
      <c r="A6" s="155" t="s">
        <v>84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4"/>
    </row>
    <row r="7" spans="1:110" ht="14.4" x14ac:dyDescent="0.3">
      <c r="A7" s="145" t="s">
        <v>85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4"/>
    </row>
    <row r="8" spans="1:110" ht="33.75" customHeight="1" x14ac:dyDescent="0.3">
      <c r="A8" s="150" t="s">
        <v>289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143"/>
      <c r="AY8" s="143"/>
      <c r="AZ8" s="143"/>
      <c r="BA8" s="143"/>
      <c r="BB8" s="143"/>
      <c r="BC8" s="144"/>
    </row>
    <row r="9" spans="1:110" ht="138" customHeight="1" x14ac:dyDescent="0.3">
      <c r="A9" s="145" t="s">
        <v>87</v>
      </c>
      <c r="B9" s="143"/>
      <c r="C9" s="143"/>
      <c r="D9" s="167"/>
      <c r="E9" s="156" t="str">
        <f>'Formato Cronograma'!F11</f>
        <v>Docente principal: 
- Oscar Julián Perdomo Charry
Conferencistas invitados:
- Jorge Eliecer Camargo Mendoza
- Felipe Restrepo Calle
- Fabio Augusto González Osorio
- Robinson Andrés Jaque Pirabán
- Cesar Pedraza Bonilla</v>
      </c>
      <c r="F9" s="151"/>
      <c r="G9" s="145" t="s">
        <v>88</v>
      </c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4"/>
      <c r="AA9" s="145" t="s">
        <v>89</v>
      </c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5" t="s">
        <v>90</v>
      </c>
      <c r="AW9" s="143"/>
      <c r="AX9" s="143"/>
      <c r="AY9" s="144"/>
      <c r="AZ9" s="152" t="s">
        <v>91</v>
      </c>
      <c r="BA9" s="153"/>
      <c r="BB9" s="153"/>
      <c r="BC9" s="154"/>
    </row>
    <row r="10" spans="1:110" ht="33.75" customHeight="1" x14ac:dyDescent="0.3">
      <c r="A10" s="145" t="s">
        <v>92</v>
      </c>
      <c r="B10" s="144"/>
      <c r="C10" s="48">
        <f>'Formato Cronograma'!K11</f>
        <v>46092</v>
      </c>
      <c r="D10" s="172" t="s">
        <v>93</v>
      </c>
      <c r="E10" s="172"/>
      <c r="F10" s="56">
        <f>'Formato Cronograma'!L11</f>
        <v>46230</v>
      </c>
      <c r="G10" s="146">
        <v>16</v>
      </c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4"/>
      <c r="AA10" s="147">
        <v>26</v>
      </c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5" t="s">
        <v>94</v>
      </c>
      <c r="AW10" s="144"/>
      <c r="AX10" s="147">
        <v>100</v>
      </c>
      <c r="AY10" s="144"/>
      <c r="AZ10" s="45" t="s">
        <v>95</v>
      </c>
      <c r="BA10" s="147">
        <v>62736</v>
      </c>
      <c r="BB10" s="143"/>
      <c r="BC10" s="144"/>
      <c r="BD10" s="172" t="s">
        <v>139</v>
      </c>
      <c r="BE10" s="172"/>
      <c r="BF10" s="172"/>
      <c r="BG10" s="172"/>
      <c r="BH10" s="172"/>
      <c r="BI10" s="172"/>
      <c r="BJ10" s="172"/>
      <c r="BK10" s="172"/>
      <c r="BL10" s="172"/>
      <c r="BM10" s="172"/>
      <c r="BN10" s="172"/>
      <c r="BO10" s="172"/>
      <c r="BP10" s="172"/>
      <c r="BQ10" s="172"/>
      <c r="BR10" s="172"/>
      <c r="BS10" s="172"/>
      <c r="BT10" s="172"/>
      <c r="BU10" s="172"/>
      <c r="BV10" s="172"/>
      <c r="BW10" s="172"/>
      <c r="BX10" s="172"/>
      <c r="BY10" s="172"/>
      <c r="BZ10" s="172"/>
      <c r="CA10" s="172"/>
      <c r="CB10" s="172"/>
      <c r="CC10" s="172"/>
      <c r="CD10" s="172"/>
      <c r="CE10" s="172"/>
      <c r="CF10" s="172"/>
      <c r="CG10" s="172"/>
      <c r="CH10" s="172"/>
      <c r="CI10" s="172"/>
      <c r="CJ10" s="172"/>
      <c r="CK10" s="172"/>
      <c r="CL10" s="172"/>
      <c r="CM10" s="172"/>
      <c r="CN10" s="172"/>
      <c r="CO10" s="172"/>
      <c r="CP10" s="172"/>
      <c r="CQ10" s="172"/>
      <c r="CR10" s="172"/>
      <c r="CS10" s="172"/>
      <c r="CT10" s="172"/>
      <c r="CU10" s="172"/>
      <c r="CV10" s="172"/>
      <c r="CW10" s="172"/>
      <c r="CX10" s="172"/>
      <c r="CY10" s="172"/>
      <c r="CZ10" s="172"/>
      <c r="DA10" s="172"/>
      <c r="DB10" s="172"/>
      <c r="DC10" s="172"/>
      <c r="DD10" s="172"/>
      <c r="DE10" s="172"/>
      <c r="DF10" s="172"/>
    </row>
    <row r="11" spans="1:110" ht="14.4" x14ac:dyDescent="0.3">
      <c r="A11" s="145" t="s">
        <v>96</v>
      </c>
      <c r="B11" s="143"/>
      <c r="C11" s="143"/>
      <c r="D11" s="148"/>
      <c r="E11" s="148"/>
      <c r="F11" s="148"/>
      <c r="G11" s="145" t="s">
        <v>97</v>
      </c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5" t="s">
        <v>98</v>
      </c>
      <c r="AW11" s="143"/>
      <c r="AX11" s="143"/>
      <c r="AY11" s="144"/>
      <c r="AZ11" s="145" t="s">
        <v>99</v>
      </c>
      <c r="BA11" s="143"/>
      <c r="BB11" s="143"/>
      <c r="BC11" s="144"/>
      <c r="BD11" s="173" t="s">
        <v>290</v>
      </c>
      <c r="BE11" s="174"/>
      <c r="BF11" s="174"/>
      <c r="BG11" s="174"/>
      <c r="BH11" s="174"/>
      <c r="BI11" s="175"/>
      <c r="BJ11" s="173" t="s">
        <v>291</v>
      </c>
      <c r="BK11" s="174"/>
      <c r="BL11" s="174"/>
      <c r="BM11" s="174"/>
      <c r="BN11" s="174"/>
      <c r="BO11" s="175"/>
      <c r="BP11" s="173" t="s">
        <v>292</v>
      </c>
      <c r="BQ11" s="174"/>
      <c r="BR11" s="174"/>
      <c r="BS11" s="174"/>
      <c r="BT11" s="174"/>
      <c r="BU11" s="175"/>
      <c r="BV11" s="173" t="s">
        <v>293</v>
      </c>
      <c r="BW11" s="174"/>
      <c r="BX11" s="174"/>
      <c r="BY11" s="174"/>
      <c r="BZ11" s="174"/>
      <c r="CA11" s="175"/>
      <c r="CB11" s="173" t="s">
        <v>294</v>
      </c>
      <c r="CC11" s="174"/>
      <c r="CD11" s="174"/>
      <c r="CE11" s="174"/>
      <c r="CF11" s="174"/>
      <c r="CG11" s="175"/>
      <c r="CH11" s="173" t="s">
        <v>295</v>
      </c>
      <c r="CI11" s="174"/>
      <c r="CJ11" s="174"/>
      <c r="CK11" s="174"/>
      <c r="CL11" s="174"/>
      <c r="CM11" s="175"/>
      <c r="CN11" s="173" t="s">
        <v>142</v>
      </c>
      <c r="CO11" s="174"/>
      <c r="CP11" s="175"/>
      <c r="CQ11" s="173" t="s">
        <v>143</v>
      </c>
      <c r="CR11" s="174"/>
      <c r="CS11" s="174"/>
      <c r="CT11" s="174"/>
      <c r="CU11" s="174"/>
      <c r="CV11" s="174"/>
      <c r="CW11" s="174"/>
      <c r="CX11" s="174"/>
      <c r="CY11" s="174"/>
      <c r="CZ11" s="175"/>
      <c r="DA11" s="173" t="s">
        <v>144</v>
      </c>
      <c r="DB11" s="174"/>
      <c r="DC11" s="174"/>
      <c r="DD11" s="174"/>
      <c r="DE11" s="175"/>
      <c r="DF11" s="98" t="s">
        <v>145</v>
      </c>
    </row>
    <row r="12" spans="1:110" ht="151.80000000000001" x14ac:dyDescent="0.3">
      <c r="A12" s="120" t="s">
        <v>100</v>
      </c>
      <c r="B12" s="120" t="s">
        <v>101</v>
      </c>
      <c r="C12" s="120" t="s">
        <v>102</v>
      </c>
      <c r="D12" s="120" t="s">
        <v>103</v>
      </c>
      <c r="E12" s="120" t="s">
        <v>104</v>
      </c>
      <c r="F12" s="120" t="s">
        <v>105</v>
      </c>
      <c r="G12" s="120">
        <v>1</v>
      </c>
      <c r="H12" s="120">
        <v>2</v>
      </c>
      <c r="I12" s="120">
        <v>3</v>
      </c>
      <c r="J12" s="120">
        <v>4</v>
      </c>
      <c r="K12" s="120">
        <v>5</v>
      </c>
      <c r="L12" s="120">
        <v>6</v>
      </c>
      <c r="M12" s="120">
        <v>7</v>
      </c>
      <c r="N12" s="120">
        <v>8</v>
      </c>
      <c r="O12" s="120">
        <v>9</v>
      </c>
      <c r="P12" s="120">
        <v>10</v>
      </c>
      <c r="Q12" s="120">
        <v>11</v>
      </c>
      <c r="R12" s="120">
        <v>12</v>
      </c>
      <c r="S12" s="120">
        <v>13</v>
      </c>
      <c r="T12" s="120">
        <v>14</v>
      </c>
      <c r="U12" s="120">
        <v>15</v>
      </c>
      <c r="V12" s="120">
        <v>16</v>
      </c>
      <c r="W12" s="120">
        <v>17</v>
      </c>
      <c r="X12" s="120">
        <v>18</v>
      </c>
      <c r="Y12" s="120">
        <v>19</v>
      </c>
      <c r="Z12" s="120">
        <v>20</v>
      </c>
      <c r="AA12" s="120">
        <v>21</v>
      </c>
      <c r="AB12" s="120">
        <v>22</v>
      </c>
      <c r="AC12" s="120">
        <v>23</v>
      </c>
      <c r="AD12" s="120">
        <v>24</v>
      </c>
      <c r="AE12" s="120">
        <v>25</v>
      </c>
      <c r="AF12" s="120">
        <v>26</v>
      </c>
      <c r="AG12" s="120">
        <v>27</v>
      </c>
      <c r="AH12" s="120">
        <v>28</v>
      </c>
      <c r="AI12" s="120">
        <v>29</v>
      </c>
      <c r="AJ12" s="120">
        <v>30</v>
      </c>
      <c r="AK12" s="120">
        <v>31</v>
      </c>
      <c r="AL12" s="120">
        <v>32</v>
      </c>
      <c r="AM12" s="120">
        <v>33</v>
      </c>
      <c r="AN12" s="120">
        <v>34</v>
      </c>
      <c r="AO12" s="120">
        <v>35</v>
      </c>
      <c r="AP12" s="120">
        <v>36</v>
      </c>
      <c r="AQ12" s="120">
        <v>37</v>
      </c>
      <c r="AR12" s="120">
        <v>38</v>
      </c>
      <c r="AS12" s="120">
        <v>39</v>
      </c>
      <c r="AT12" s="120">
        <v>40</v>
      </c>
      <c r="AU12" s="120">
        <v>41</v>
      </c>
      <c r="AV12" s="120" t="s">
        <v>106</v>
      </c>
      <c r="AW12" s="120" t="s">
        <v>107</v>
      </c>
      <c r="AX12" s="120" t="s">
        <v>108</v>
      </c>
      <c r="AY12" s="120" t="s">
        <v>109</v>
      </c>
      <c r="AZ12" s="120" t="s">
        <v>110</v>
      </c>
      <c r="BA12" s="120" t="s">
        <v>111</v>
      </c>
      <c r="BB12" s="120" t="s">
        <v>112</v>
      </c>
      <c r="BC12" s="120" t="s">
        <v>113</v>
      </c>
      <c r="BD12" s="121" t="s">
        <v>146</v>
      </c>
      <c r="BE12" s="121" t="s">
        <v>147</v>
      </c>
      <c r="BF12" s="121" t="s">
        <v>148</v>
      </c>
      <c r="BG12" s="121" t="s">
        <v>149</v>
      </c>
      <c r="BH12" s="121" t="s">
        <v>150</v>
      </c>
      <c r="BI12" s="121" t="s">
        <v>151</v>
      </c>
      <c r="BJ12" s="121" t="s">
        <v>146</v>
      </c>
      <c r="BK12" s="121" t="s">
        <v>147</v>
      </c>
      <c r="BL12" s="121" t="s">
        <v>148</v>
      </c>
      <c r="BM12" s="121" t="s">
        <v>149</v>
      </c>
      <c r="BN12" s="121" t="s">
        <v>150</v>
      </c>
      <c r="BO12" s="121" t="s">
        <v>151</v>
      </c>
      <c r="BP12" s="121" t="s">
        <v>146</v>
      </c>
      <c r="BQ12" s="121" t="s">
        <v>147</v>
      </c>
      <c r="BR12" s="121" t="s">
        <v>148</v>
      </c>
      <c r="BS12" s="121" t="s">
        <v>149</v>
      </c>
      <c r="BT12" s="121" t="s">
        <v>150</v>
      </c>
      <c r="BU12" s="121" t="s">
        <v>151</v>
      </c>
      <c r="BV12" s="121" t="s">
        <v>146</v>
      </c>
      <c r="BW12" s="121" t="s">
        <v>147</v>
      </c>
      <c r="BX12" s="121" t="s">
        <v>148</v>
      </c>
      <c r="BY12" s="121" t="s">
        <v>149</v>
      </c>
      <c r="BZ12" s="121" t="s">
        <v>150</v>
      </c>
      <c r="CA12" s="121" t="s">
        <v>151</v>
      </c>
      <c r="CB12" s="121" t="s">
        <v>146</v>
      </c>
      <c r="CC12" s="121" t="s">
        <v>147</v>
      </c>
      <c r="CD12" s="121" t="s">
        <v>148</v>
      </c>
      <c r="CE12" s="121" t="s">
        <v>149</v>
      </c>
      <c r="CF12" s="121" t="s">
        <v>150</v>
      </c>
      <c r="CG12" s="121" t="s">
        <v>151</v>
      </c>
      <c r="CH12" s="121" t="s">
        <v>146</v>
      </c>
      <c r="CI12" s="121" t="s">
        <v>147</v>
      </c>
      <c r="CJ12" s="121" t="s">
        <v>148</v>
      </c>
      <c r="CK12" s="121" t="s">
        <v>149</v>
      </c>
      <c r="CL12" s="121" t="s">
        <v>150</v>
      </c>
      <c r="CM12" s="121" t="s">
        <v>151</v>
      </c>
      <c r="CN12" s="121" t="s">
        <v>152</v>
      </c>
      <c r="CO12" s="121" t="s">
        <v>153</v>
      </c>
      <c r="CP12" s="121" t="s">
        <v>154</v>
      </c>
      <c r="CQ12" s="121" t="s">
        <v>155</v>
      </c>
      <c r="CR12" s="121" t="s">
        <v>156</v>
      </c>
      <c r="CS12" s="121" t="s">
        <v>157</v>
      </c>
      <c r="CT12" s="121" t="s">
        <v>158</v>
      </c>
      <c r="CU12" s="121" t="s">
        <v>159</v>
      </c>
      <c r="CV12" s="121" t="s">
        <v>160</v>
      </c>
      <c r="CW12" s="121" t="s">
        <v>161</v>
      </c>
      <c r="CX12" s="121" t="s">
        <v>162</v>
      </c>
      <c r="CY12" s="121" t="s">
        <v>163</v>
      </c>
      <c r="CZ12" s="121" t="s">
        <v>164</v>
      </c>
      <c r="DA12" s="121" t="s">
        <v>165</v>
      </c>
      <c r="DB12" s="121" t="s">
        <v>166</v>
      </c>
      <c r="DC12" s="121" t="s">
        <v>167</v>
      </c>
      <c r="DD12" s="121" t="s">
        <v>168</v>
      </c>
      <c r="DE12" s="121" t="s">
        <v>169</v>
      </c>
      <c r="DF12" s="121" t="s">
        <v>170</v>
      </c>
    </row>
    <row r="13" spans="1:110" ht="27.6" x14ac:dyDescent="0.3">
      <c r="A13" s="49">
        <v>1</v>
      </c>
      <c r="B13" s="49" t="s">
        <v>296</v>
      </c>
      <c r="C13" s="55">
        <v>52356252</v>
      </c>
      <c r="D13" s="49" t="s">
        <v>115</v>
      </c>
      <c r="E13" s="49" t="s">
        <v>116</v>
      </c>
      <c r="F13" s="49" t="s">
        <v>117</v>
      </c>
      <c r="G13" s="51">
        <v>2</v>
      </c>
      <c r="H13" s="51">
        <v>3</v>
      </c>
      <c r="I13" s="51">
        <v>2</v>
      </c>
      <c r="J13" s="51">
        <v>3</v>
      </c>
      <c r="K13" s="51">
        <v>3</v>
      </c>
      <c r="L13" s="51">
        <v>2</v>
      </c>
      <c r="M13" s="51">
        <v>2</v>
      </c>
      <c r="N13" s="51">
        <v>3</v>
      </c>
      <c r="O13" s="51">
        <v>2</v>
      </c>
      <c r="P13" s="51">
        <v>2</v>
      </c>
      <c r="Q13" s="51">
        <v>3.5</v>
      </c>
      <c r="R13" s="51">
        <v>3.5</v>
      </c>
      <c r="S13" s="51">
        <v>3</v>
      </c>
      <c r="T13" s="51">
        <v>2</v>
      </c>
      <c r="U13" s="51">
        <v>2</v>
      </c>
      <c r="V13" s="51">
        <v>2</v>
      </c>
      <c r="W13" s="51">
        <v>2</v>
      </c>
      <c r="X13" s="51">
        <v>3</v>
      </c>
      <c r="Y13" s="51">
        <v>2</v>
      </c>
      <c r="Z13" s="51">
        <v>3</v>
      </c>
      <c r="AA13" s="51">
        <v>2</v>
      </c>
      <c r="AB13" s="51">
        <v>3</v>
      </c>
      <c r="AC13" s="51">
        <v>2</v>
      </c>
      <c r="AD13" s="51">
        <v>3</v>
      </c>
      <c r="AE13" s="51">
        <v>2</v>
      </c>
      <c r="AF13" s="51">
        <v>2</v>
      </c>
      <c r="AG13" s="51">
        <v>3</v>
      </c>
      <c r="AH13" s="51">
        <v>2</v>
      </c>
      <c r="AI13" s="51">
        <v>3</v>
      </c>
      <c r="AJ13" s="51">
        <v>2</v>
      </c>
      <c r="AK13" s="51">
        <v>2</v>
      </c>
      <c r="AL13" s="51">
        <v>2</v>
      </c>
      <c r="AM13" s="51">
        <v>3</v>
      </c>
      <c r="AN13" s="51">
        <v>2</v>
      </c>
      <c r="AO13" s="51">
        <v>3</v>
      </c>
      <c r="AP13" s="51">
        <v>2</v>
      </c>
      <c r="AQ13" s="51">
        <v>2</v>
      </c>
      <c r="AR13" s="51">
        <v>2</v>
      </c>
      <c r="AS13" s="51">
        <v>3</v>
      </c>
      <c r="AT13" s="51">
        <v>2</v>
      </c>
      <c r="AU13" s="51">
        <v>3</v>
      </c>
      <c r="AV13" s="51">
        <f t="shared" ref="AV13:AV28" si="0">IF(B13&lt;&gt;"",SUM(G13:AU13),"")</f>
        <v>100</v>
      </c>
      <c r="AW13" s="51">
        <f t="shared" ref="AW13:AW28" si="1">IF(B13&lt;&gt;"",COUNTA(G13:AU13),"")</f>
        <v>41</v>
      </c>
      <c r="AX13" s="52">
        <f t="shared" ref="AX13:AX28" si="2">IF(B13&lt;&gt;"",SUM(G13:AU13)/100,"")</f>
        <v>1</v>
      </c>
      <c r="AY13" s="49" t="str">
        <f>IF(AX13="","",IF(AX13&gt;=80%,"Certificado","No certificado"))</f>
        <v>Certificado</v>
      </c>
      <c r="AZ13" s="49"/>
      <c r="BA13" s="49"/>
      <c r="BB13" s="53"/>
      <c r="BC13" s="49" t="str">
        <f t="shared" ref="BC13:BC28" si="3">IF(B13="","",IF(AND(AX13&gt;=0.8,BB13&gt;=3),"Aprobado","No aprobado"))</f>
        <v>No aprobado</v>
      </c>
      <c r="BD13" s="77">
        <v>5</v>
      </c>
      <c r="BE13" s="77">
        <v>5</v>
      </c>
      <c r="BF13" s="77">
        <v>5</v>
      </c>
      <c r="BG13" s="77">
        <v>5</v>
      </c>
      <c r="BH13" s="77">
        <v>5</v>
      </c>
      <c r="BI13" s="77">
        <v>5</v>
      </c>
      <c r="BJ13" s="77">
        <v>5</v>
      </c>
      <c r="BK13" s="77">
        <v>5</v>
      </c>
      <c r="BL13" s="77">
        <v>5</v>
      </c>
      <c r="BM13" s="77">
        <v>5</v>
      </c>
      <c r="BN13" s="77">
        <v>5</v>
      </c>
      <c r="BO13" s="77">
        <v>5</v>
      </c>
      <c r="BP13" s="77">
        <v>5</v>
      </c>
      <c r="BQ13" s="77">
        <v>5</v>
      </c>
      <c r="BR13" s="77">
        <v>5</v>
      </c>
      <c r="BS13" s="77">
        <v>5</v>
      </c>
      <c r="BT13" s="77">
        <v>5</v>
      </c>
      <c r="BU13" s="77">
        <v>5</v>
      </c>
      <c r="BV13" s="77">
        <v>5</v>
      </c>
      <c r="BW13" s="77">
        <v>5</v>
      </c>
      <c r="BX13" s="77">
        <v>5</v>
      </c>
      <c r="BY13" s="77">
        <v>5</v>
      </c>
      <c r="BZ13" s="77">
        <v>5</v>
      </c>
      <c r="CA13" s="77">
        <v>5</v>
      </c>
      <c r="CB13" s="77">
        <v>5</v>
      </c>
      <c r="CC13" s="77">
        <v>5</v>
      </c>
      <c r="CD13" s="77">
        <v>5</v>
      </c>
      <c r="CE13" s="77">
        <v>5</v>
      </c>
      <c r="CF13" s="77">
        <v>5</v>
      </c>
      <c r="CG13" s="77">
        <v>5</v>
      </c>
      <c r="CH13" s="77">
        <v>5</v>
      </c>
      <c r="CI13" s="77">
        <v>5</v>
      </c>
      <c r="CJ13" s="77">
        <v>5</v>
      </c>
      <c r="CK13" s="77">
        <v>5</v>
      </c>
      <c r="CL13" s="77">
        <v>5</v>
      </c>
      <c r="CM13" s="77">
        <v>5</v>
      </c>
      <c r="CN13" s="77">
        <v>5</v>
      </c>
      <c r="CO13" s="77">
        <v>5</v>
      </c>
      <c r="CP13" s="77">
        <v>5</v>
      </c>
      <c r="CQ13" s="77">
        <v>5</v>
      </c>
      <c r="CR13" s="77">
        <v>5</v>
      </c>
      <c r="CS13" s="77">
        <v>5</v>
      </c>
      <c r="CT13" s="77">
        <v>5</v>
      </c>
      <c r="CU13" s="77">
        <v>5</v>
      </c>
      <c r="CV13" s="77">
        <v>5</v>
      </c>
      <c r="CW13" s="77"/>
      <c r="CX13" s="77"/>
      <c r="CY13" s="77"/>
      <c r="CZ13" s="77"/>
      <c r="DA13" s="78" t="s">
        <v>297</v>
      </c>
      <c r="DB13" s="78" t="s">
        <v>298</v>
      </c>
      <c r="DC13" s="78" t="s">
        <v>299</v>
      </c>
      <c r="DD13" s="78" t="s">
        <v>175</v>
      </c>
      <c r="DE13" s="77">
        <v>5</v>
      </c>
      <c r="DF13" s="77">
        <f>AVERAGE(BD13:DE13)</f>
        <v>5</v>
      </c>
    </row>
    <row r="14" spans="1:110" ht="14.4" x14ac:dyDescent="0.3">
      <c r="A14" s="49">
        <v>2</v>
      </c>
      <c r="B14" s="49" t="s">
        <v>300</v>
      </c>
      <c r="C14" s="55">
        <v>1082915789</v>
      </c>
      <c r="D14" s="49" t="s">
        <v>115</v>
      </c>
      <c r="E14" s="49" t="s">
        <v>227</v>
      </c>
      <c r="F14" s="49" t="s">
        <v>117</v>
      </c>
      <c r="G14" s="51" t="s">
        <v>120</v>
      </c>
      <c r="H14" s="51" t="s">
        <v>120</v>
      </c>
      <c r="I14" s="51">
        <v>2</v>
      </c>
      <c r="J14" s="51">
        <v>3</v>
      </c>
      <c r="K14" s="51">
        <v>3</v>
      </c>
      <c r="L14" s="51">
        <v>2</v>
      </c>
      <c r="M14" s="51">
        <v>2</v>
      </c>
      <c r="N14" s="51">
        <v>3</v>
      </c>
      <c r="O14" s="51">
        <v>2</v>
      </c>
      <c r="P14" s="51">
        <v>2</v>
      </c>
      <c r="Q14" s="51">
        <v>3.5</v>
      </c>
      <c r="R14" s="51">
        <v>3.5</v>
      </c>
      <c r="S14" s="51">
        <v>3</v>
      </c>
      <c r="T14" s="51">
        <v>2</v>
      </c>
      <c r="U14" s="51">
        <v>2</v>
      </c>
      <c r="V14" s="51" t="s">
        <v>120</v>
      </c>
      <c r="W14" s="51">
        <v>2</v>
      </c>
      <c r="X14" s="51">
        <v>3</v>
      </c>
      <c r="Y14" s="51">
        <v>2</v>
      </c>
      <c r="Z14" s="51">
        <v>3</v>
      </c>
      <c r="AA14" s="51">
        <v>2</v>
      </c>
      <c r="AB14" s="51">
        <v>3</v>
      </c>
      <c r="AC14" s="51">
        <v>2</v>
      </c>
      <c r="AD14" s="51">
        <v>3</v>
      </c>
      <c r="AE14" s="51">
        <v>2</v>
      </c>
      <c r="AF14" s="51">
        <v>2</v>
      </c>
      <c r="AG14" s="51">
        <v>3</v>
      </c>
      <c r="AH14" s="51">
        <v>2</v>
      </c>
      <c r="AI14" s="51">
        <v>3</v>
      </c>
      <c r="AJ14" s="51">
        <v>2</v>
      </c>
      <c r="AK14" s="51">
        <v>2</v>
      </c>
      <c r="AL14" s="51">
        <v>2</v>
      </c>
      <c r="AM14" s="51">
        <v>3</v>
      </c>
      <c r="AN14" s="51">
        <v>2</v>
      </c>
      <c r="AO14" s="51">
        <v>3</v>
      </c>
      <c r="AP14" s="51" t="s">
        <v>120</v>
      </c>
      <c r="AQ14" s="51">
        <v>2</v>
      </c>
      <c r="AR14" s="51">
        <v>2</v>
      </c>
      <c r="AS14" s="51">
        <v>3</v>
      </c>
      <c r="AT14" s="51">
        <v>2</v>
      </c>
      <c r="AU14" s="51">
        <v>3</v>
      </c>
      <c r="AV14" s="51">
        <f t="shared" si="0"/>
        <v>91</v>
      </c>
      <c r="AW14" s="51">
        <f t="shared" si="1"/>
        <v>41</v>
      </c>
      <c r="AX14" s="52">
        <f t="shared" si="2"/>
        <v>0.91</v>
      </c>
      <c r="AY14" s="49" t="str">
        <f t="shared" ref="AY14:AY28" si="4">IF(AX14="","",IF(AX14&gt;=80%,"Certificado","No certificado"))</f>
        <v>Certificado</v>
      </c>
      <c r="AZ14" s="49"/>
      <c r="BA14" s="49"/>
      <c r="BB14" s="53"/>
      <c r="BC14" s="49" t="str">
        <f t="shared" si="3"/>
        <v>No aprobado</v>
      </c>
      <c r="BD14" s="77">
        <v>5</v>
      </c>
      <c r="BE14" s="77">
        <v>5</v>
      </c>
      <c r="BF14" s="77">
        <v>5</v>
      </c>
      <c r="BG14" s="77">
        <v>5</v>
      </c>
      <c r="BH14" s="77">
        <v>5</v>
      </c>
      <c r="BI14" s="77">
        <v>5</v>
      </c>
      <c r="BJ14" s="77">
        <v>5</v>
      </c>
      <c r="BK14" s="77">
        <v>5</v>
      </c>
      <c r="BL14" s="77">
        <v>5</v>
      </c>
      <c r="BM14" s="77">
        <v>5</v>
      </c>
      <c r="BN14" s="77">
        <v>5</v>
      </c>
      <c r="BO14" s="77">
        <v>5</v>
      </c>
      <c r="BP14" s="77">
        <v>5</v>
      </c>
      <c r="BQ14" s="77">
        <v>5</v>
      </c>
      <c r="BR14" s="77">
        <v>5</v>
      </c>
      <c r="BS14" s="77">
        <v>5</v>
      </c>
      <c r="BT14" s="77">
        <v>5</v>
      </c>
      <c r="BU14" s="77">
        <v>5</v>
      </c>
      <c r="BV14" s="77">
        <v>5</v>
      </c>
      <c r="BW14" s="77">
        <v>5</v>
      </c>
      <c r="BX14" s="77">
        <v>5</v>
      </c>
      <c r="BY14" s="77">
        <v>5</v>
      </c>
      <c r="BZ14" s="77">
        <v>5</v>
      </c>
      <c r="CA14" s="77">
        <v>5</v>
      </c>
      <c r="CB14" s="77">
        <v>5</v>
      </c>
      <c r="CC14" s="77">
        <v>5</v>
      </c>
      <c r="CD14" s="77">
        <v>5</v>
      </c>
      <c r="CE14" s="77">
        <v>5</v>
      </c>
      <c r="CF14" s="77">
        <v>5</v>
      </c>
      <c r="CG14" s="77">
        <v>5</v>
      </c>
      <c r="CH14" s="77">
        <v>5</v>
      </c>
      <c r="CI14" s="77">
        <v>5</v>
      </c>
      <c r="CJ14" s="77">
        <v>5</v>
      </c>
      <c r="CK14" s="77">
        <v>5</v>
      </c>
      <c r="CL14" s="77">
        <v>5</v>
      </c>
      <c r="CM14" s="77">
        <v>5</v>
      </c>
      <c r="CN14" s="77">
        <v>5</v>
      </c>
      <c r="CO14" s="77">
        <v>5</v>
      </c>
      <c r="CP14" s="77">
        <v>5</v>
      </c>
      <c r="CQ14" s="77">
        <v>5</v>
      </c>
      <c r="CR14" s="77">
        <v>5</v>
      </c>
      <c r="CS14" s="77">
        <v>5</v>
      </c>
      <c r="CT14" s="77">
        <v>5</v>
      </c>
      <c r="CU14" s="77">
        <v>5</v>
      </c>
      <c r="CV14" s="77">
        <v>5</v>
      </c>
      <c r="CW14" s="77"/>
      <c r="CX14" s="77"/>
      <c r="CY14" s="77"/>
      <c r="CZ14" s="77"/>
      <c r="DA14" s="78" t="s">
        <v>301</v>
      </c>
      <c r="DB14" s="78" t="s">
        <v>302</v>
      </c>
      <c r="DC14" s="78" t="s">
        <v>207</v>
      </c>
      <c r="DD14" s="78" t="s">
        <v>175</v>
      </c>
      <c r="DE14" s="77">
        <v>5</v>
      </c>
      <c r="DF14" s="77">
        <f t="shared" ref="DF14:DF28" si="5">AVERAGE(BD14:DE14)</f>
        <v>5</v>
      </c>
    </row>
    <row r="15" spans="1:110" ht="41.4" x14ac:dyDescent="0.3">
      <c r="A15" s="49">
        <v>3</v>
      </c>
      <c r="B15" s="49" t="s">
        <v>254</v>
      </c>
      <c r="C15" s="55">
        <v>79943655</v>
      </c>
      <c r="D15" s="49" t="s">
        <v>115</v>
      </c>
      <c r="E15" s="49" t="s">
        <v>303</v>
      </c>
      <c r="F15" s="49" t="s">
        <v>117</v>
      </c>
      <c r="G15" s="51">
        <v>2</v>
      </c>
      <c r="H15" s="51">
        <v>3</v>
      </c>
      <c r="I15" s="51">
        <v>2</v>
      </c>
      <c r="J15" s="51" t="s">
        <v>120</v>
      </c>
      <c r="K15" s="51" t="s">
        <v>120</v>
      </c>
      <c r="L15" s="51" t="s">
        <v>120</v>
      </c>
      <c r="M15" s="51" t="s">
        <v>120</v>
      </c>
      <c r="N15" s="51" t="s">
        <v>120</v>
      </c>
      <c r="O15" s="51" t="s">
        <v>120</v>
      </c>
      <c r="P15" s="51" t="s">
        <v>120</v>
      </c>
      <c r="Q15" s="51" t="s">
        <v>120</v>
      </c>
      <c r="R15" s="51" t="s">
        <v>120</v>
      </c>
      <c r="S15" s="51" t="s">
        <v>120</v>
      </c>
      <c r="T15" s="51" t="s">
        <v>120</v>
      </c>
      <c r="U15" s="51" t="s">
        <v>120</v>
      </c>
      <c r="V15" s="51" t="s">
        <v>120</v>
      </c>
      <c r="W15" s="51" t="s">
        <v>120</v>
      </c>
      <c r="X15" s="51" t="s">
        <v>120</v>
      </c>
      <c r="Y15" s="51" t="s">
        <v>120</v>
      </c>
      <c r="Z15" s="51" t="s">
        <v>120</v>
      </c>
      <c r="AA15" s="51" t="s">
        <v>120</v>
      </c>
      <c r="AB15" s="51" t="s">
        <v>120</v>
      </c>
      <c r="AC15" s="51" t="s">
        <v>120</v>
      </c>
      <c r="AD15" s="51" t="s">
        <v>120</v>
      </c>
      <c r="AE15" s="51" t="s">
        <v>120</v>
      </c>
      <c r="AF15" s="51" t="s">
        <v>120</v>
      </c>
      <c r="AG15" s="51" t="s">
        <v>120</v>
      </c>
      <c r="AH15" s="51" t="s">
        <v>120</v>
      </c>
      <c r="AI15" s="51" t="s">
        <v>120</v>
      </c>
      <c r="AJ15" s="51" t="s">
        <v>120</v>
      </c>
      <c r="AK15" s="51" t="s">
        <v>120</v>
      </c>
      <c r="AL15" s="51" t="s">
        <v>120</v>
      </c>
      <c r="AM15" s="51" t="s">
        <v>120</v>
      </c>
      <c r="AN15" s="51" t="s">
        <v>120</v>
      </c>
      <c r="AO15" s="51" t="s">
        <v>120</v>
      </c>
      <c r="AP15" s="51" t="s">
        <v>120</v>
      </c>
      <c r="AQ15" s="51" t="s">
        <v>120</v>
      </c>
      <c r="AR15" s="51" t="s">
        <v>120</v>
      </c>
      <c r="AS15" s="51" t="s">
        <v>120</v>
      </c>
      <c r="AT15" s="51" t="s">
        <v>120</v>
      </c>
      <c r="AU15" s="51" t="s">
        <v>120</v>
      </c>
      <c r="AV15" s="51">
        <f t="shared" si="0"/>
        <v>7</v>
      </c>
      <c r="AW15" s="51">
        <f t="shared" si="1"/>
        <v>41</v>
      </c>
      <c r="AX15" s="52">
        <f t="shared" si="2"/>
        <v>7.0000000000000007E-2</v>
      </c>
      <c r="AY15" s="49" t="str">
        <f t="shared" si="4"/>
        <v>No certificado</v>
      </c>
      <c r="AZ15" s="49"/>
      <c r="BA15" s="49"/>
      <c r="BB15" s="53"/>
      <c r="BC15" s="49" t="str">
        <f t="shared" si="3"/>
        <v>No aprobado</v>
      </c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77"/>
      <c r="CG15" s="77"/>
      <c r="CH15" s="77"/>
      <c r="CI15" s="77"/>
      <c r="CJ15" s="77"/>
      <c r="CK15" s="77"/>
      <c r="CL15" s="77"/>
      <c r="CM15" s="77"/>
      <c r="CN15" s="77"/>
      <c r="CO15" s="77"/>
      <c r="CP15" s="77"/>
      <c r="CQ15" s="77"/>
      <c r="CR15" s="77"/>
      <c r="CS15" s="77"/>
      <c r="CT15" s="77"/>
      <c r="CU15" s="77"/>
      <c r="CV15" s="77"/>
      <c r="CW15" s="77"/>
      <c r="CX15" s="77"/>
      <c r="CY15" s="77"/>
      <c r="CZ15" s="77"/>
      <c r="DA15" s="78"/>
      <c r="DB15" s="78"/>
      <c r="DC15" s="78"/>
      <c r="DD15" s="78"/>
      <c r="DE15" s="77"/>
      <c r="DF15" s="77"/>
    </row>
    <row r="16" spans="1:110" ht="27.6" x14ac:dyDescent="0.3">
      <c r="A16" s="49">
        <v>4</v>
      </c>
      <c r="B16" s="49" t="s">
        <v>304</v>
      </c>
      <c r="C16" s="55">
        <v>1024463763</v>
      </c>
      <c r="D16" s="49" t="s">
        <v>115</v>
      </c>
      <c r="E16" s="49" t="s">
        <v>305</v>
      </c>
      <c r="F16" s="49" t="s">
        <v>117</v>
      </c>
      <c r="G16" s="51">
        <v>2</v>
      </c>
      <c r="H16" s="51">
        <v>3</v>
      </c>
      <c r="I16" s="51">
        <v>2</v>
      </c>
      <c r="J16" s="51">
        <v>3</v>
      </c>
      <c r="K16" s="51">
        <v>3</v>
      </c>
      <c r="L16" s="51">
        <v>2</v>
      </c>
      <c r="M16" s="51" t="s">
        <v>120</v>
      </c>
      <c r="N16" s="51">
        <v>3</v>
      </c>
      <c r="O16" s="51">
        <v>2</v>
      </c>
      <c r="P16" s="51">
        <v>2</v>
      </c>
      <c r="Q16" s="51" t="s">
        <v>120</v>
      </c>
      <c r="R16" s="51" t="s">
        <v>120</v>
      </c>
      <c r="S16" s="51">
        <v>3</v>
      </c>
      <c r="T16" s="51" t="s">
        <v>120</v>
      </c>
      <c r="U16" s="51">
        <v>2</v>
      </c>
      <c r="V16" s="51">
        <v>2</v>
      </c>
      <c r="W16" s="51">
        <v>2</v>
      </c>
      <c r="X16" s="51">
        <v>3</v>
      </c>
      <c r="Y16" s="51">
        <v>2</v>
      </c>
      <c r="Z16" s="51">
        <v>3</v>
      </c>
      <c r="AA16" s="51" t="s">
        <v>120</v>
      </c>
      <c r="AB16" s="51">
        <v>3</v>
      </c>
      <c r="AC16" s="51" t="s">
        <v>120</v>
      </c>
      <c r="AD16" s="51">
        <v>3</v>
      </c>
      <c r="AE16" s="51">
        <v>2</v>
      </c>
      <c r="AF16" s="51">
        <v>2</v>
      </c>
      <c r="AG16" s="51">
        <v>3</v>
      </c>
      <c r="AH16" s="51">
        <v>2</v>
      </c>
      <c r="AI16" s="51">
        <v>3</v>
      </c>
      <c r="AJ16" s="51">
        <v>2</v>
      </c>
      <c r="AK16" s="51">
        <v>2</v>
      </c>
      <c r="AL16" s="51">
        <v>2</v>
      </c>
      <c r="AM16" s="51" t="s">
        <v>120</v>
      </c>
      <c r="AN16" s="51">
        <v>2</v>
      </c>
      <c r="AO16" s="51">
        <v>3</v>
      </c>
      <c r="AP16" s="51">
        <v>2</v>
      </c>
      <c r="AQ16" s="51">
        <v>2</v>
      </c>
      <c r="AR16" s="51">
        <v>2</v>
      </c>
      <c r="AS16" s="51">
        <v>3</v>
      </c>
      <c r="AT16" s="51" t="s">
        <v>120</v>
      </c>
      <c r="AU16" s="51">
        <v>3</v>
      </c>
      <c r="AV16" s="51">
        <f t="shared" si="0"/>
        <v>80</v>
      </c>
      <c r="AW16" s="51">
        <f t="shared" si="1"/>
        <v>41</v>
      </c>
      <c r="AX16" s="52">
        <f t="shared" si="2"/>
        <v>0.8</v>
      </c>
      <c r="AY16" s="49" t="str">
        <f t="shared" si="4"/>
        <v>Certificado</v>
      </c>
      <c r="AZ16" s="49"/>
      <c r="BA16" s="49"/>
      <c r="BB16" s="53"/>
      <c r="BC16" s="49" t="str">
        <f t="shared" si="3"/>
        <v>No aprobado</v>
      </c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7"/>
      <c r="CF16" s="77"/>
      <c r="CG16" s="77"/>
      <c r="CH16" s="77"/>
      <c r="CI16" s="77"/>
      <c r="CJ16" s="77"/>
      <c r="CK16" s="77"/>
      <c r="CL16" s="77"/>
      <c r="CM16" s="77"/>
      <c r="CN16" s="77"/>
      <c r="CO16" s="77"/>
      <c r="CP16" s="77"/>
      <c r="CQ16" s="77"/>
      <c r="CR16" s="77"/>
      <c r="CS16" s="77"/>
      <c r="CT16" s="77"/>
      <c r="CU16" s="77"/>
      <c r="CV16" s="77"/>
      <c r="CW16" s="77"/>
      <c r="CX16" s="77"/>
      <c r="CY16" s="77"/>
      <c r="CZ16" s="77"/>
      <c r="DA16" s="78"/>
      <c r="DB16" s="78"/>
      <c r="DC16" s="78"/>
      <c r="DD16" s="78"/>
      <c r="DE16" s="77"/>
      <c r="DF16" s="77"/>
    </row>
    <row r="17" spans="1:110" ht="27.6" x14ac:dyDescent="0.3">
      <c r="A17" s="49">
        <v>5</v>
      </c>
      <c r="B17" s="49" t="s">
        <v>306</v>
      </c>
      <c r="C17" s="55">
        <v>1014183716</v>
      </c>
      <c r="D17" s="49" t="s">
        <v>115</v>
      </c>
      <c r="E17" s="49" t="s">
        <v>305</v>
      </c>
      <c r="F17" s="49" t="s">
        <v>117</v>
      </c>
      <c r="G17" s="51">
        <v>2</v>
      </c>
      <c r="H17" s="51">
        <v>3</v>
      </c>
      <c r="I17" s="51">
        <v>2</v>
      </c>
      <c r="J17" s="51">
        <v>3</v>
      </c>
      <c r="K17" s="51">
        <v>3</v>
      </c>
      <c r="L17" s="51" t="s">
        <v>120</v>
      </c>
      <c r="M17" s="51" t="s">
        <v>120</v>
      </c>
      <c r="N17" s="51">
        <v>3</v>
      </c>
      <c r="O17" s="51">
        <v>2</v>
      </c>
      <c r="P17" s="51">
        <v>2</v>
      </c>
      <c r="Q17" s="51">
        <v>3.5</v>
      </c>
      <c r="R17" s="51">
        <v>3.5</v>
      </c>
      <c r="S17" s="51" t="s">
        <v>120</v>
      </c>
      <c r="T17" s="51">
        <v>2</v>
      </c>
      <c r="U17" s="51">
        <v>2</v>
      </c>
      <c r="V17" s="51">
        <v>2</v>
      </c>
      <c r="W17" s="51">
        <v>2</v>
      </c>
      <c r="X17" s="51">
        <v>3</v>
      </c>
      <c r="Y17" s="51">
        <v>2</v>
      </c>
      <c r="Z17" s="51">
        <v>3</v>
      </c>
      <c r="AA17" s="51">
        <v>2</v>
      </c>
      <c r="AB17" s="51">
        <v>3</v>
      </c>
      <c r="AC17" s="51">
        <v>2</v>
      </c>
      <c r="AD17" s="51">
        <v>3</v>
      </c>
      <c r="AE17" s="51">
        <v>2</v>
      </c>
      <c r="AF17" s="51">
        <v>2</v>
      </c>
      <c r="AG17" s="51">
        <v>3</v>
      </c>
      <c r="AH17" s="51">
        <v>2</v>
      </c>
      <c r="AI17" s="51">
        <v>3</v>
      </c>
      <c r="AJ17" s="51">
        <v>2</v>
      </c>
      <c r="AK17" s="51" t="s">
        <v>120</v>
      </c>
      <c r="AL17" s="51">
        <v>2</v>
      </c>
      <c r="AM17" s="51">
        <v>3</v>
      </c>
      <c r="AN17" s="51" t="s">
        <v>120</v>
      </c>
      <c r="AO17" s="51" t="s">
        <v>120</v>
      </c>
      <c r="AP17" s="51">
        <v>2</v>
      </c>
      <c r="AQ17" s="51">
        <v>2</v>
      </c>
      <c r="AR17" s="51">
        <v>2</v>
      </c>
      <c r="AS17" s="51">
        <v>3</v>
      </c>
      <c r="AT17" s="51">
        <v>2</v>
      </c>
      <c r="AU17" s="51">
        <v>3</v>
      </c>
      <c r="AV17" s="51">
        <f t="shared" si="0"/>
        <v>86</v>
      </c>
      <c r="AW17" s="51">
        <f t="shared" si="1"/>
        <v>41</v>
      </c>
      <c r="AX17" s="52">
        <f t="shared" si="2"/>
        <v>0.86</v>
      </c>
      <c r="AY17" s="49" t="str">
        <f t="shared" si="4"/>
        <v>Certificado</v>
      </c>
      <c r="AZ17" s="49"/>
      <c r="BA17" s="49"/>
      <c r="BB17" s="53"/>
      <c r="BC17" s="49" t="str">
        <f t="shared" si="3"/>
        <v>No aprobado</v>
      </c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77"/>
      <c r="CF17" s="77"/>
      <c r="CG17" s="77"/>
      <c r="CH17" s="77"/>
      <c r="CI17" s="77"/>
      <c r="CJ17" s="77"/>
      <c r="CK17" s="77"/>
      <c r="CL17" s="77"/>
      <c r="CM17" s="77"/>
      <c r="CN17" s="77"/>
      <c r="CO17" s="77"/>
      <c r="CP17" s="77"/>
      <c r="CQ17" s="77"/>
      <c r="CR17" s="77"/>
      <c r="CS17" s="77"/>
      <c r="CT17" s="77"/>
      <c r="CU17" s="77"/>
      <c r="CV17" s="77"/>
      <c r="CW17" s="77"/>
      <c r="CX17" s="77"/>
      <c r="CY17" s="77"/>
      <c r="CZ17" s="77"/>
      <c r="DA17" s="78"/>
      <c r="DB17" s="78"/>
      <c r="DC17" s="78"/>
      <c r="DD17" s="78"/>
      <c r="DE17" s="77"/>
      <c r="DF17" s="77"/>
    </row>
    <row r="18" spans="1:110" ht="14.4" x14ac:dyDescent="0.3">
      <c r="A18" s="49">
        <v>6</v>
      </c>
      <c r="B18" s="49" t="s">
        <v>307</v>
      </c>
      <c r="C18" s="55">
        <v>80409100</v>
      </c>
      <c r="D18" s="49" t="s">
        <v>115</v>
      </c>
      <c r="E18" s="49" t="s">
        <v>308</v>
      </c>
      <c r="F18" s="49" t="s">
        <v>309</v>
      </c>
      <c r="G18" s="51">
        <v>2</v>
      </c>
      <c r="H18" s="51">
        <v>3</v>
      </c>
      <c r="I18" s="51">
        <v>2</v>
      </c>
      <c r="J18" s="51">
        <v>3</v>
      </c>
      <c r="K18" s="51">
        <v>3</v>
      </c>
      <c r="L18" s="51">
        <v>2</v>
      </c>
      <c r="M18" s="51">
        <v>2</v>
      </c>
      <c r="N18" s="51">
        <v>3</v>
      </c>
      <c r="O18" s="51">
        <v>2</v>
      </c>
      <c r="P18" s="51">
        <v>2</v>
      </c>
      <c r="Q18" s="51">
        <v>3.5</v>
      </c>
      <c r="R18" s="51">
        <v>3.5</v>
      </c>
      <c r="S18" s="51">
        <v>3</v>
      </c>
      <c r="T18" s="51">
        <v>2</v>
      </c>
      <c r="U18" s="51">
        <v>2</v>
      </c>
      <c r="V18" s="51">
        <v>2</v>
      </c>
      <c r="W18" s="51">
        <v>2</v>
      </c>
      <c r="X18" s="51">
        <v>3</v>
      </c>
      <c r="Y18" s="51">
        <v>2</v>
      </c>
      <c r="Z18" s="51">
        <v>3</v>
      </c>
      <c r="AA18" s="51">
        <v>2</v>
      </c>
      <c r="AB18" s="51">
        <v>3</v>
      </c>
      <c r="AC18" s="51">
        <v>2</v>
      </c>
      <c r="AD18" s="51">
        <v>3</v>
      </c>
      <c r="AE18" s="51">
        <v>2</v>
      </c>
      <c r="AF18" s="51">
        <v>2</v>
      </c>
      <c r="AG18" s="51">
        <v>3</v>
      </c>
      <c r="AH18" s="51">
        <v>2</v>
      </c>
      <c r="AI18" s="51">
        <v>3</v>
      </c>
      <c r="AJ18" s="51">
        <v>2</v>
      </c>
      <c r="AK18" s="51">
        <v>2</v>
      </c>
      <c r="AL18" s="51">
        <v>2</v>
      </c>
      <c r="AM18" s="51">
        <v>3</v>
      </c>
      <c r="AN18" s="51">
        <v>2</v>
      </c>
      <c r="AO18" s="51">
        <v>3</v>
      </c>
      <c r="AP18" s="51">
        <v>2</v>
      </c>
      <c r="AQ18" s="51">
        <v>2</v>
      </c>
      <c r="AR18" s="51">
        <v>2</v>
      </c>
      <c r="AS18" s="51">
        <v>3</v>
      </c>
      <c r="AT18" s="51">
        <v>2</v>
      </c>
      <c r="AU18" s="51">
        <v>3</v>
      </c>
      <c r="AV18" s="51">
        <f t="shared" si="0"/>
        <v>100</v>
      </c>
      <c r="AW18" s="51">
        <f t="shared" si="1"/>
        <v>41</v>
      </c>
      <c r="AX18" s="52">
        <f t="shared" si="2"/>
        <v>1</v>
      </c>
      <c r="AY18" s="49" t="str">
        <f t="shared" si="4"/>
        <v>Certificado</v>
      </c>
      <c r="AZ18" s="49"/>
      <c r="BA18" s="49"/>
      <c r="BB18" s="53"/>
      <c r="BC18" s="49" t="str">
        <f t="shared" si="3"/>
        <v>No aprobado</v>
      </c>
      <c r="BD18" s="77">
        <v>5</v>
      </c>
      <c r="BE18" s="77">
        <v>5</v>
      </c>
      <c r="BF18" s="77">
        <v>5</v>
      </c>
      <c r="BG18" s="77">
        <v>5</v>
      </c>
      <c r="BH18" s="77">
        <v>5</v>
      </c>
      <c r="BI18" s="77">
        <v>5</v>
      </c>
      <c r="BJ18" s="77">
        <v>4</v>
      </c>
      <c r="BK18" s="77">
        <v>4</v>
      </c>
      <c r="BL18" s="77">
        <v>4</v>
      </c>
      <c r="BM18" s="77">
        <v>4</v>
      </c>
      <c r="BN18" s="77">
        <v>4</v>
      </c>
      <c r="BO18" s="77">
        <v>4</v>
      </c>
      <c r="BP18" s="77">
        <v>4</v>
      </c>
      <c r="BQ18" s="77">
        <v>4</v>
      </c>
      <c r="BR18" s="77">
        <v>4</v>
      </c>
      <c r="BS18" s="77">
        <v>4</v>
      </c>
      <c r="BT18" s="77">
        <v>4</v>
      </c>
      <c r="BU18" s="77">
        <v>4</v>
      </c>
      <c r="BV18" s="77">
        <v>4</v>
      </c>
      <c r="BW18" s="77">
        <v>4</v>
      </c>
      <c r="BX18" s="77">
        <v>4</v>
      </c>
      <c r="BY18" s="77">
        <v>4</v>
      </c>
      <c r="BZ18" s="77">
        <v>4</v>
      </c>
      <c r="CA18" s="77">
        <v>4</v>
      </c>
      <c r="CB18" s="77">
        <v>4</v>
      </c>
      <c r="CC18" s="77">
        <v>4</v>
      </c>
      <c r="CD18" s="77">
        <v>4</v>
      </c>
      <c r="CE18" s="77">
        <v>4</v>
      </c>
      <c r="CF18" s="77">
        <v>4</v>
      </c>
      <c r="CG18" s="77">
        <v>4</v>
      </c>
      <c r="CH18" s="77">
        <v>4</v>
      </c>
      <c r="CI18" s="77">
        <v>4</v>
      </c>
      <c r="CJ18" s="77">
        <v>4</v>
      </c>
      <c r="CK18" s="77">
        <v>4</v>
      </c>
      <c r="CL18" s="77">
        <v>4</v>
      </c>
      <c r="CM18" s="77">
        <v>4</v>
      </c>
      <c r="CN18" s="77">
        <v>5</v>
      </c>
      <c r="CO18" s="77">
        <v>5</v>
      </c>
      <c r="CP18" s="77">
        <v>5</v>
      </c>
      <c r="CQ18" s="77">
        <v>5</v>
      </c>
      <c r="CR18" s="77">
        <v>5</v>
      </c>
      <c r="CS18" s="77">
        <v>5</v>
      </c>
      <c r="CT18" s="77">
        <v>5</v>
      </c>
      <c r="CU18" s="77">
        <v>5</v>
      </c>
      <c r="CV18" s="77">
        <v>5</v>
      </c>
      <c r="CW18" s="77"/>
      <c r="CX18" s="77"/>
      <c r="CY18" s="77"/>
      <c r="CZ18" s="77"/>
      <c r="DA18" s="78" t="s">
        <v>310</v>
      </c>
      <c r="DB18" s="78" t="s">
        <v>311</v>
      </c>
      <c r="DC18" s="78" t="s">
        <v>312</v>
      </c>
      <c r="DD18" s="78" t="s">
        <v>175</v>
      </c>
      <c r="DE18" s="77">
        <v>5</v>
      </c>
      <c r="DF18" s="77">
        <f t="shared" si="5"/>
        <v>4.3478260869565215</v>
      </c>
    </row>
    <row r="19" spans="1:110" ht="27.6" x14ac:dyDescent="0.3">
      <c r="A19" s="49">
        <v>7</v>
      </c>
      <c r="B19" s="49" t="s">
        <v>313</v>
      </c>
      <c r="C19" s="55">
        <v>53062135</v>
      </c>
      <c r="D19" s="49" t="s">
        <v>115</v>
      </c>
      <c r="E19" s="49" t="s">
        <v>125</v>
      </c>
      <c r="F19" s="49" t="s">
        <v>117</v>
      </c>
      <c r="G19" s="51">
        <v>2</v>
      </c>
      <c r="H19" s="51" t="s">
        <v>120</v>
      </c>
      <c r="I19" s="51">
        <v>2</v>
      </c>
      <c r="J19" s="51">
        <v>3</v>
      </c>
      <c r="K19" s="51" t="s">
        <v>120</v>
      </c>
      <c r="L19" s="51">
        <v>2</v>
      </c>
      <c r="M19" s="51">
        <v>2</v>
      </c>
      <c r="N19" s="51">
        <v>3</v>
      </c>
      <c r="O19" s="51">
        <v>2</v>
      </c>
      <c r="P19" s="51">
        <v>2</v>
      </c>
      <c r="Q19" s="51">
        <v>3.5</v>
      </c>
      <c r="R19" s="51">
        <v>3.5</v>
      </c>
      <c r="S19" s="51">
        <v>3</v>
      </c>
      <c r="T19" s="51">
        <v>2</v>
      </c>
      <c r="U19" s="51">
        <v>2</v>
      </c>
      <c r="V19" s="51">
        <v>2</v>
      </c>
      <c r="W19" s="51">
        <v>2</v>
      </c>
      <c r="X19" s="51" t="s">
        <v>120</v>
      </c>
      <c r="Y19" s="51">
        <v>2</v>
      </c>
      <c r="Z19" s="51">
        <v>3</v>
      </c>
      <c r="AA19" s="51">
        <v>2</v>
      </c>
      <c r="AB19" s="51">
        <v>3</v>
      </c>
      <c r="AC19" s="51">
        <v>2</v>
      </c>
      <c r="AD19" s="51">
        <v>3</v>
      </c>
      <c r="AE19" s="51">
        <v>2</v>
      </c>
      <c r="AF19" s="51">
        <v>2</v>
      </c>
      <c r="AG19" s="51">
        <v>3</v>
      </c>
      <c r="AH19" s="51">
        <v>2</v>
      </c>
      <c r="AI19" s="51">
        <v>3</v>
      </c>
      <c r="AJ19" s="51">
        <v>2</v>
      </c>
      <c r="AK19" s="51">
        <v>2</v>
      </c>
      <c r="AL19" s="51">
        <v>2</v>
      </c>
      <c r="AM19" s="51">
        <v>3</v>
      </c>
      <c r="AN19" s="51">
        <v>2</v>
      </c>
      <c r="AO19" s="51">
        <v>3</v>
      </c>
      <c r="AP19" s="51">
        <v>2</v>
      </c>
      <c r="AQ19" s="51">
        <v>2</v>
      </c>
      <c r="AR19" s="51">
        <v>2</v>
      </c>
      <c r="AS19" s="51">
        <v>3</v>
      </c>
      <c r="AT19" s="51">
        <v>2</v>
      </c>
      <c r="AU19" s="51">
        <v>3</v>
      </c>
      <c r="AV19" s="51">
        <f t="shared" si="0"/>
        <v>91</v>
      </c>
      <c r="AW19" s="51">
        <f t="shared" si="1"/>
        <v>41</v>
      </c>
      <c r="AX19" s="52">
        <f t="shared" si="2"/>
        <v>0.91</v>
      </c>
      <c r="AY19" s="49" t="str">
        <f t="shared" si="4"/>
        <v>Certificado</v>
      </c>
      <c r="AZ19" s="49"/>
      <c r="BA19" s="49"/>
      <c r="BB19" s="53"/>
      <c r="BC19" s="49" t="str">
        <f t="shared" si="3"/>
        <v>No aprobado</v>
      </c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77"/>
      <c r="CF19" s="77"/>
      <c r="CG19" s="77"/>
      <c r="CH19" s="77"/>
      <c r="CI19" s="77"/>
      <c r="CJ19" s="77"/>
      <c r="CK19" s="77"/>
      <c r="CL19" s="77"/>
      <c r="CM19" s="77"/>
      <c r="CN19" s="77"/>
      <c r="CO19" s="77"/>
      <c r="CP19" s="77"/>
      <c r="CQ19" s="77"/>
      <c r="CR19" s="77"/>
      <c r="CS19" s="77"/>
      <c r="CT19" s="77"/>
      <c r="CU19" s="77"/>
      <c r="CV19" s="77"/>
      <c r="CW19" s="77"/>
      <c r="CX19" s="77"/>
      <c r="CY19" s="77"/>
      <c r="CZ19" s="77"/>
      <c r="DA19" s="78"/>
      <c r="DB19" s="78"/>
      <c r="DC19" s="78"/>
      <c r="DD19" s="78"/>
      <c r="DE19" s="77"/>
      <c r="DF19" s="77"/>
    </row>
    <row r="20" spans="1:110" ht="27.6" x14ac:dyDescent="0.3">
      <c r="A20" s="49">
        <v>8</v>
      </c>
      <c r="B20" s="49" t="s">
        <v>205</v>
      </c>
      <c r="C20" s="55">
        <v>46458408</v>
      </c>
      <c r="D20" s="49" t="s">
        <v>115</v>
      </c>
      <c r="E20" s="49" t="s">
        <v>125</v>
      </c>
      <c r="F20" s="49" t="s">
        <v>117</v>
      </c>
      <c r="G20" s="51">
        <v>2</v>
      </c>
      <c r="H20" s="51">
        <v>3</v>
      </c>
      <c r="I20" s="51">
        <v>2</v>
      </c>
      <c r="J20" s="51">
        <v>3</v>
      </c>
      <c r="K20" s="51">
        <v>3</v>
      </c>
      <c r="L20" s="51">
        <v>2</v>
      </c>
      <c r="M20" s="51">
        <v>2</v>
      </c>
      <c r="N20" s="51">
        <v>3</v>
      </c>
      <c r="O20" s="51">
        <v>2</v>
      </c>
      <c r="P20" s="51">
        <v>2</v>
      </c>
      <c r="Q20" s="51">
        <v>3.5</v>
      </c>
      <c r="R20" s="51">
        <v>3.5</v>
      </c>
      <c r="S20" s="51">
        <v>3</v>
      </c>
      <c r="T20" s="51">
        <v>2</v>
      </c>
      <c r="U20" s="51">
        <v>2</v>
      </c>
      <c r="V20" s="51">
        <v>2</v>
      </c>
      <c r="W20" s="51">
        <v>2</v>
      </c>
      <c r="X20" s="51" t="s">
        <v>120</v>
      </c>
      <c r="Y20" s="51">
        <v>2</v>
      </c>
      <c r="Z20" s="51">
        <v>3</v>
      </c>
      <c r="AA20" s="51">
        <v>2</v>
      </c>
      <c r="AB20" s="51">
        <v>3</v>
      </c>
      <c r="AC20" s="51">
        <v>2</v>
      </c>
      <c r="AD20" s="51">
        <v>3</v>
      </c>
      <c r="AE20" s="51">
        <v>2</v>
      </c>
      <c r="AF20" s="51" t="s">
        <v>120</v>
      </c>
      <c r="AG20" s="51">
        <v>3</v>
      </c>
      <c r="AH20" s="51">
        <v>2</v>
      </c>
      <c r="AI20" s="51">
        <v>3</v>
      </c>
      <c r="AJ20" s="51">
        <v>2</v>
      </c>
      <c r="AK20" s="51">
        <v>2</v>
      </c>
      <c r="AL20" s="51">
        <v>2</v>
      </c>
      <c r="AM20" s="51">
        <v>3</v>
      </c>
      <c r="AN20" s="51">
        <v>2</v>
      </c>
      <c r="AO20" s="51">
        <v>3</v>
      </c>
      <c r="AP20" s="51">
        <v>2</v>
      </c>
      <c r="AQ20" s="51">
        <v>2</v>
      </c>
      <c r="AR20" s="51">
        <v>2</v>
      </c>
      <c r="AS20" s="51">
        <v>3</v>
      </c>
      <c r="AT20" s="51">
        <v>2</v>
      </c>
      <c r="AU20" s="51">
        <v>3</v>
      </c>
      <c r="AV20" s="51">
        <f t="shared" si="0"/>
        <v>95</v>
      </c>
      <c r="AW20" s="51">
        <f t="shared" si="1"/>
        <v>41</v>
      </c>
      <c r="AX20" s="52">
        <f t="shared" si="2"/>
        <v>0.95</v>
      </c>
      <c r="AY20" s="49" t="str">
        <f t="shared" si="4"/>
        <v>Certificado</v>
      </c>
      <c r="AZ20" s="49"/>
      <c r="BA20" s="49"/>
      <c r="BB20" s="53"/>
      <c r="BC20" s="49" t="str">
        <f t="shared" si="3"/>
        <v>No aprobado</v>
      </c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7"/>
      <c r="BQ20" s="77"/>
      <c r="BR20" s="77"/>
      <c r="BS20" s="77"/>
      <c r="BT20" s="77"/>
      <c r="BU20" s="77"/>
      <c r="BV20" s="77"/>
      <c r="BW20" s="77"/>
      <c r="BX20" s="77"/>
      <c r="BY20" s="77"/>
      <c r="BZ20" s="77"/>
      <c r="CA20" s="77"/>
      <c r="CB20" s="77"/>
      <c r="CC20" s="77"/>
      <c r="CD20" s="77"/>
      <c r="CE20" s="77"/>
      <c r="CF20" s="77"/>
      <c r="CG20" s="77"/>
      <c r="CH20" s="77"/>
      <c r="CI20" s="77"/>
      <c r="CJ20" s="77"/>
      <c r="CK20" s="77"/>
      <c r="CL20" s="77"/>
      <c r="CM20" s="77"/>
      <c r="CN20" s="77"/>
      <c r="CO20" s="77"/>
      <c r="CP20" s="77"/>
      <c r="CQ20" s="77"/>
      <c r="CR20" s="77"/>
      <c r="CS20" s="77"/>
      <c r="CT20" s="77"/>
      <c r="CU20" s="77"/>
      <c r="CV20" s="77"/>
      <c r="CW20" s="77"/>
      <c r="CX20" s="77"/>
      <c r="CY20" s="77"/>
      <c r="CZ20" s="77"/>
      <c r="DA20" s="78"/>
      <c r="DB20" s="78"/>
      <c r="DC20" s="78"/>
      <c r="DD20" s="78"/>
      <c r="DE20" s="77"/>
      <c r="DF20" s="77"/>
    </row>
    <row r="21" spans="1:110" ht="27.6" x14ac:dyDescent="0.3">
      <c r="A21" s="49">
        <v>9</v>
      </c>
      <c r="B21" s="49" t="s">
        <v>314</v>
      </c>
      <c r="C21" s="55">
        <v>1024463886</v>
      </c>
      <c r="D21" s="49" t="s">
        <v>115</v>
      </c>
      <c r="E21" s="49" t="s">
        <v>119</v>
      </c>
      <c r="F21" s="49" t="s">
        <v>117</v>
      </c>
      <c r="G21" s="51" t="s">
        <v>120</v>
      </c>
      <c r="H21" s="51">
        <v>3</v>
      </c>
      <c r="I21" s="51">
        <v>2</v>
      </c>
      <c r="J21" s="51">
        <v>3</v>
      </c>
      <c r="K21" s="51">
        <v>3</v>
      </c>
      <c r="L21" s="51">
        <v>2</v>
      </c>
      <c r="M21" s="51">
        <v>2</v>
      </c>
      <c r="N21" s="51">
        <v>3</v>
      </c>
      <c r="O21" s="51">
        <v>2</v>
      </c>
      <c r="P21" s="51">
        <v>2</v>
      </c>
      <c r="Q21" s="51">
        <v>3.5</v>
      </c>
      <c r="R21" s="51">
        <v>3.5</v>
      </c>
      <c r="S21" s="51">
        <v>3</v>
      </c>
      <c r="T21" s="51">
        <v>2</v>
      </c>
      <c r="U21" s="51">
        <v>2</v>
      </c>
      <c r="V21" s="51">
        <v>2</v>
      </c>
      <c r="W21" s="51">
        <v>2</v>
      </c>
      <c r="X21" s="51">
        <v>3</v>
      </c>
      <c r="Y21" s="51">
        <v>2</v>
      </c>
      <c r="Z21" s="51" t="s">
        <v>120</v>
      </c>
      <c r="AA21" s="51">
        <v>2</v>
      </c>
      <c r="AB21" s="51">
        <v>3</v>
      </c>
      <c r="AC21" s="51">
        <v>2</v>
      </c>
      <c r="AD21" s="51">
        <v>3</v>
      </c>
      <c r="AE21" s="51">
        <v>2</v>
      </c>
      <c r="AF21" s="51">
        <v>2</v>
      </c>
      <c r="AG21" s="51">
        <v>3</v>
      </c>
      <c r="AH21" s="51">
        <v>2</v>
      </c>
      <c r="AI21" s="51" t="s">
        <v>120</v>
      </c>
      <c r="AJ21" s="51">
        <v>2</v>
      </c>
      <c r="AK21" s="51" t="s">
        <v>120</v>
      </c>
      <c r="AL21" s="51">
        <v>2</v>
      </c>
      <c r="AM21" s="51">
        <v>3</v>
      </c>
      <c r="AN21" s="51">
        <v>2</v>
      </c>
      <c r="AO21" s="51">
        <v>3</v>
      </c>
      <c r="AP21" s="51">
        <v>2</v>
      </c>
      <c r="AQ21" s="51">
        <v>2</v>
      </c>
      <c r="AR21" s="51">
        <v>2</v>
      </c>
      <c r="AS21" s="51">
        <v>3</v>
      </c>
      <c r="AT21" s="51">
        <v>2</v>
      </c>
      <c r="AU21" s="51">
        <v>3</v>
      </c>
      <c r="AV21" s="51">
        <f t="shared" si="0"/>
        <v>90</v>
      </c>
      <c r="AW21" s="51">
        <f t="shared" si="1"/>
        <v>41</v>
      </c>
      <c r="AX21" s="52">
        <f t="shared" si="2"/>
        <v>0.9</v>
      </c>
      <c r="AY21" s="49" t="str">
        <f t="shared" si="4"/>
        <v>Certificado</v>
      </c>
      <c r="AZ21" s="49"/>
      <c r="BA21" s="49"/>
      <c r="BB21" s="53"/>
      <c r="BC21" s="49" t="str">
        <f t="shared" si="3"/>
        <v>No aprobado</v>
      </c>
      <c r="BD21" s="118">
        <v>5</v>
      </c>
      <c r="BE21" s="118">
        <v>5</v>
      </c>
      <c r="BF21" s="118">
        <v>5</v>
      </c>
      <c r="BG21" s="118">
        <v>5</v>
      </c>
      <c r="BH21" s="118">
        <v>5</v>
      </c>
      <c r="BI21" s="118">
        <v>5</v>
      </c>
      <c r="BJ21" s="118">
        <v>5</v>
      </c>
      <c r="BK21" s="118">
        <v>5</v>
      </c>
      <c r="BL21" s="118">
        <v>5</v>
      </c>
      <c r="BM21" s="118">
        <v>5</v>
      </c>
      <c r="BN21" s="118">
        <v>5</v>
      </c>
      <c r="BO21" s="118">
        <v>5</v>
      </c>
      <c r="BP21" s="118">
        <v>5</v>
      </c>
      <c r="BQ21" s="118">
        <v>5</v>
      </c>
      <c r="BR21" s="118">
        <v>5</v>
      </c>
      <c r="BS21" s="118">
        <v>5</v>
      </c>
      <c r="BT21" s="118">
        <v>5</v>
      </c>
      <c r="BU21" s="118">
        <v>5</v>
      </c>
      <c r="BV21" s="118">
        <v>5</v>
      </c>
      <c r="BW21" s="118">
        <v>5</v>
      </c>
      <c r="BX21" s="118">
        <v>5</v>
      </c>
      <c r="BY21" s="118">
        <v>5</v>
      </c>
      <c r="BZ21" s="118">
        <v>5</v>
      </c>
      <c r="CA21" s="118">
        <v>5</v>
      </c>
      <c r="CB21" s="118">
        <v>5</v>
      </c>
      <c r="CC21" s="118">
        <v>5</v>
      </c>
      <c r="CD21" s="118">
        <v>5</v>
      </c>
      <c r="CE21" s="118">
        <v>5</v>
      </c>
      <c r="CF21" s="118">
        <v>5</v>
      </c>
      <c r="CG21" s="118">
        <v>5</v>
      </c>
      <c r="CH21" s="118">
        <v>5</v>
      </c>
      <c r="CI21" s="118">
        <v>5</v>
      </c>
      <c r="CJ21" s="118">
        <v>5</v>
      </c>
      <c r="CK21" s="118">
        <v>5</v>
      </c>
      <c r="CL21" s="118">
        <v>5</v>
      </c>
      <c r="CM21" s="118">
        <v>5</v>
      </c>
      <c r="CN21" s="118">
        <v>5</v>
      </c>
      <c r="CO21" s="118">
        <v>5</v>
      </c>
      <c r="CP21" s="118">
        <v>5</v>
      </c>
      <c r="CQ21" s="118">
        <v>5</v>
      </c>
      <c r="CR21" s="118">
        <v>5</v>
      </c>
      <c r="CS21" s="118">
        <v>5</v>
      </c>
      <c r="CT21" s="118">
        <v>5</v>
      </c>
      <c r="CU21" s="118">
        <v>5</v>
      </c>
      <c r="CV21" s="118">
        <v>5</v>
      </c>
      <c r="CW21" s="118"/>
      <c r="CX21" s="118"/>
      <c r="CY21" s="118"/>
      <c r="CZ21" s="118"/>
      <c r="DA21" s="118" t="s">
        <v>194</v>
      </c>
      <c r="DB21" s="118" t="s">
        <v>315</v>
      </c>
      <c r="DC21" s="118" t="s">
        <v>316</v>
      </c>
      <c r="DD21" s="118" t="s">
        <v>175</v>
      </c>
      <c r="DE21" s="118">
        <v>5</v>
      </c>
      <c r="DF21" s="77">
        <f t="shared" si="5"/>
        <v>5</v>
      </c>
    </row>
    <row r="22" spans="1:110" ht="27.6" x14ac:dyDescent="0.3">
      <c r="A22" s="49">
        <v>10</v>
      </c>
      <c r="B22" s="49" t="s">
        <v>317</v>
      </c>
      <c r="C22" s="55">
        <v>52768770</v>
      </c>
      <c r="D22" s="49" t="s">
        <v>115</v>
      </c>
      <c r="E22" s="49" t="s">
        <v>305</v>
      </c>
      <c r="F22" s="49" t="s">
        <v>117</v>
      </c>
      <c r="G22" s="51">
        <v>2</v>
      </c>
      <c r="H22" s="51">
        <v>3</v>
      </c>
      <c r="I22" s="51">
        <v>2</v>
      </c>
      <c r="J22" s="51">
        <v>3</v>
      </c>
      <c r="K22" s="51">
        <v>3</v>
      </c>
      <c r="L22" s="51">
        <v>2</v>
      </c>
      <c r="M22" s="51">
        <v>2</v>
      </c>
      <c r="N22" s="51">
        <v>3</v>
      </c>
      <c r="O22" s="51">
        <v>2</v>
      </c>
      <c r="P22" s="51">
        <v>2</v>
      </c>
      <c r="Q22" s="51">
        <v>3.5</v>
      </c>
      <c r="R22" s="51">
        <v>3.5</v>
      </c>
      <c r="S22" s="51" t="s">
        <v>120</v>
      </c>
      <c r="T22" s="51">
        <v>2</v>
      </c>
      <c r="U22" s="51">
        <v>2</v>
      </c>
      <c r="V22" s="51">
        <v>2</v>
      </c>
      <c r="W22" s="51">
        <v>2</v>
      </c>
      <c r="X22" s="51">
        <v>3</v>
      </c>
      <c r="Y22" s="51">
        <v>2</v>
      </c>
      <c r="Z22" s="51">
        <v>3</v>
      </c>
      <c r="AA22" s="51">
        <v>2</v>
      </c>
      <c r="AB22" s="51">
        <v>3</v>
      </c>
      <c r="AC22" s="51">
        <v>2</v>
      </c>
      <c r="AD22" s="51">
        <v>3</v>
      </c>
      <c r="AE22" s="51">
        <v>2</v>
      </c>
      <c r="AF22" s="51">
        <v>2</v>
      </c>
      <c r="AG22" s="51">
        <v>3</v>
      </c>
      <c r="AH22" s="51">
        <v>2</v>
      </c>
      <c r="AI22" s="51">
        <v>3</v>
      </c>
      <c r="AJ22" s="51">
        <v>2</v>
      </c>
      <c r="AK22" s="51">
        <v>2</v>
      </c>
      <c r="AL22" s="51">
        <v>2</v>
      </c>
      <c r="AM22" s="51">
        <v>3</v>
      </c>
      <c r="AN22" s="51">
        <v>2</v>
      </c>
      <c r="AO22" s="51">
        <v>3</v>
      </c>
      <c r="AP22" s="51">
        <v>2</v>
      </c>
      <c r="AQ22" s="51">
        <v>2</v>
      </c>
      <c r="AR22" s="51">
        <v>2</v>
      </c>
      <c r="AS22" s="51">
        <v>3</v>
      </c>
      <c r="AT22" s="51">
        <v>2</v>
      </c>
      <c r="AU22" s="51">
        <v>3</v>
      </c>
      <c r="AV22" s="51">
        <f t="shared" si="0"/>
        <v>97</v>
      </c>
      <c r="AW22" s="51">
        <f t="shared" si="1"/>
        <v>41</v>
      </c>
      <c r="AX22" s="52">
        <f t="shared" si="2"/>
        <v>0.97</v>
      </c>
      <c r="AY22" s="49" t="str">
        <f t="shared" si="4"/>
        <v>Certificado</v>
      </c>
      <c r="AZ22" s="49"/>
      <c r="BA22" s="49"/>
      <c r="BB22" s="53"/>
      <c r="BC22" s="49" t="str">
        <f t="shared" si="3"/>
        <v>No aprobado</v>
      </c>
      <c r="BD22" s="118">
        <v>5</v>
      </c>
      <c r="BE22" s="118">
        <v>5</v>
      </c>
      <c r="BF22" s="118">
        <v>5</v>
      </c>
      <c r="BG22" s="118">
        <v>5</v>
      </c>
      <c r="BH22" s="118">
        <v>5</v>
      </c>
      <c r="BI22" s="118">
        <v>5</v>
      </c>
      <c r="BJ22" s="118">
        <v>5</v>
      </c>
      <c r="BK22" s="118">
        <v>5</v>
      </c>
      <c r="BL22" s="118">
        <v>5</v>
      </c>
      <c r="BM22" s="118">
        <v>5</v>
      </c>
      <c r="BN22" s="118">
        <v>5</v>
      </c>
      <c r="BO22" s="118">
        <v>5</v>
      </c>
      <c r="BP22" s="118">
        <v>5</v>
      </c>
      <c r="BQ22" s="118">
        <v>5</v>
      </c>
      <c r="BR22" s="118">
        <v>5</v>
      </c>
      <c r="BS22" s="118">
        <v>5</v>
      </c>
      <c r="BT22" s="118">
        <v>5</v>
      </c>
      <c r="BU22" s="118">
        <v>5</v>
      </c>
      <c r="BV22" s="118">
        <v>5</v>
      </c>
      <c r="BW22" s="118">
        <v>5</v>
      </c>
      <c r="BX22" s="118">
        <v>5</v>
      </c>
      <c r="BY22" s="118">
        <v>5</v>
      </c>
      <c r="BZ22" s="118">
        <v>5</v>
      </c>
      <c r="CA22" s="118">
        <v>5</v>
      </c>
      <c r="CB22" s="118">
        <v>5</v>
      </c>
      <c r="CC22" s="118">
        <v>5</v>
      </c>
      <c r="CD22" s="118">
        <v>5</v>
      </c>
      <c r="CE22" s="118">
        <v>5</v>
      </c>
      <c r="CF22" s="118">
        <v>5</v>
      </c>
      <c r="CG22" s="118">
        <v>5</v>
      </c>
      <c r="CH22" s="118">
        <v>5</v>
      </c>
      <c r="CI22" s="118">
        <v>5</v>
      </c>
      <c r="CJ22" s="118">
        <v>5</v>
      </c>
      <c r="CK22" s="118">
        <v>5</v>
      </c>
      <c r="CL22" s="118">
        <v>5</v>
      </c>
      <c r="CM22" s="118">
        <v>5</v>
      </c>
      <c r="CN22" s="118">
        <v>5</v>
      </c>
      <c r="CO22" s="118">
        <v>5</v>
      </c>
      <c r="CP22" s="118">
        <v>5</v>
      </c>
      <c r="CQ22" s="118">
        <v>5</v>
      </c>
      <c r="CR22" s="118">
        <v>5</v>
      </c>
      <c r="CS22" s="118">
        <v>5</v>
      </c>
      <c r="CT22" s="118">
        <v>5</v>
      </c>
      <c r="CU22" s="118">
        <v>5</v>
      </c>
      <c r="CV22" s="118">
        <v>5</v>
      </c>
      <c r="CW22" s="118"/>
      <c r="CX22" s="118"/>
      <c r="CY22" s="118"/>
      <c r="CZ22" s="118"/>
      <c r="DA22" s="118" t="s">
        <v>318</v>
      </c>
      <c r="DB22" s="118" t="s">
        <v>319</v>
      </c>
      <c r="DC22" s="118" t="s">
        <v>320</v>
      </c>
      <c r="DD22" s="118" t="s">
        <v>175</v>
      </c>
      <c r="DE22" s="118">
        <v>5</v>
      </c>
      <c r="DF22" s="77">
        <f t="shared" si="5"/>
        <v>5</v>
      </c>
    </row>
    <row r="23" spans="1:110" ht="27.6" x14ac:dyDescent="0.3">
      <c r="A23" s="49">
        <v>11</v>
      </c>
      <c r="B23" s="49" t="s">
        <v>321</v>
      </c>
      <c r="C23" s="55">
        <v>80257682</v>
      </c>
      <c r="D23" s="49" t="s">
        <v>115</v>
      </c>
      <c r="E23" s="49" t="s">
        <v>119</v>
      </c>
      <c r="F23" s="49" t="s">
        <v>117</v>
      </c>
      <c r="G23" s="51">
        <v>2</v>
      </c>
      <c r="H23" s="51">
        <v>3</v>
      </c>
      <c r="I23" s="51">
        <v>2</v>
      </c>
      <c r="J23" s="51">
        <v>3</v>
      </c>
      <c r="K23" s="51">
        <v>3</v>
      </c>
      <c r="L23" s="51">
        <v>2</v>
      </c>
      <c r="M23" s="51">
        <v>2</v>
      </c>
      <c r="N23" s="51">
        <v>3</v>
      </c>
      <c r="O23" s="51">
        <v>2</v>
      </c>
      <c r="P23" s="51">
        <v>2</v>
      </c>
      <c r="Q23" s="51">
        <v>3.5</v>
      </c>
      <c r="R23" s="51">
        <v>3.5</v>
      </c>
      <c r="S23" s="51">
        <v>3</v>
      </c>
      <c r="T23" s="51">
        <v>2</v>
      </c>
      <c r="U23" s="51">
        <v>2</v>
      </c>
      <c r="V23" s="51">
        <v>2</v>
      </c>
      <c r="W23" s="51">
        <v>2</v>
      </c>
      <c r="X23" s="51">
        <v>3</v>
      </c>
      <c r="Y23" s="51">
        <v>2</v>
      </c>
      <c r="Z23" s="51">
        <v>3</v>
      </c>
      <c r="AA23" s="51">
        <v>2</v>
      </c>
      <c r="AB23" s="51">
        <v>3</v>
      </c>
      <c r="AC23" s="51">
        <v>2</v>
      </c>
      <c r="AD23" s="51">
        <v>3</v>
      </c>
      <c r="AE23" s="51">
        <v>2</v>
      </c>
      <c r="AF23" s="51">
        <v>2</v>
      </c>
      <c r="AG23" s="51" t="s">
        <v>120</v>
      </c>
      <c r="AH23" s="51">
        <v>2</v>
      </c>
      <c r="AI23" s="51">
        <v>3</v>
      </c>
      <c r="AJ23" s="51">
        <v>2</v>
      </c>
      <c r="AK23" s="51">
        <v>2</v>
      </c>
      <c r="AL23" s="51">
        <v>2</v>
      </c>
      <c r="AM23" s="51">
        <v>3</v>
      </c>
      <c r="AN23" s="51">
        <v>2</v>
      </c>
      <c r="AO23" s="51">
        <v>3</v>
      </c>
      <c r="AP23" s="51">
        <v>2</v>
      </c>
      <c r="AQ23" s="51">
        <v>2</v>
      </c>
      <c r="AR23" s="51">
        <v>2</v>
      </c>
      <c r="AS23" s="51">
        <v>3</v>
      </c>
      <c r="AT23" s="51">
        <v>2</v>
      </c>
      <c r="AU23" s="51" t="s">
        <v>120</v>
      </c>
      <c r="AV23" s="51">
        <f t="shared" si="0"/>
        <v>94</v>
      </c>
      <c r="AW23" s="51">
        <f t="shared" si="1"/>
        <v>41</v>
      </c>
      <c r="AX23" s="52">
        <f t="shared" si="2"/>
        <v>0.94</v>
      </c>
      <c r="AY23" s="49" t="str">
        <f t="shared" si="4"/>
        <v>Certificado</v>
      </c>
      <c r="AZ23" s="49"/>
      <c r="BA23" s="49"/>
      <c r="BB23" s="53"/>
      <c r="BC23" s="49" t="str">
        <f t="shared" si="3"/>
        <v>No aprobado</v>
      </c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/>
      <c r="BY23" s="118"/>
      <c r="BZ23" s="118"/>
      <c r="CA23" s="118"/>
      <c r="CB23" s="118"/>
      <c r="CC23" s="118"/>
      <c r="CD23" s="118"/>
      <c r="CE23" s="118"/>
      <c r="CF23" s="118"/>
      <c r="CG23" s="118"/>
      <c r="CH23" s="118"/>
      <c r="CI23" s="118"/>
      <c r="CJ23" s="118"/>
      <c r="CK23" s="118"/>
      <c r="CL23" s="118"/>
      <c r="CM23" s="118"/>
      <c r="CN23" s="118"/>
      <c r="CO23" s="118"/>
      <c r="CP23" s="118"/>
      <c r="CQ23" s="118"/>
      <c r="CR23" s="118"/>
      <c r="CS23" s="118"/>
      <c r="CT23" s="118"/>
      <c r="CU23" s="118"/>
      <c r="CV23" s="118"/>
      <c r="CW23" s="118"/>
      <c r="CX23" s="118"/>
      <c r="CY23" s="118"/>
      <c r="CZ23" s="118"/>
      <c r="DA23" s="118"/>
      <c r="DB23" s="118"/>
      <c r="DC23" s="118"/>
      <c r="DD23" s="118"/>
      <c r="DE23" s="118"/>
      <c r="DF23" s="77"/>
    </row>
    <row r="24" spans="1:110" ht="27.6" x14ac:dyDescent="0.3">
      <c r="A24" s="49">
        <v>12</v>
      </c>
      <c r="B24" s="49" t="s">
        <v>322</v>
      </c>
      <c r="C24" s="55">
        <v>11413726</v>
      </c>
      <c r="D24" s="49" t="s">
        <v>115</v>
      </c>
      <c r="E24" s="49" t="s">
        <v>119</v>
      </c>
      <c r="F24" s="49" t="s">
        <v>117</v>
      </c>
      <c r="G24" s="51">
        <v>2</v>
      </c>
      <c r="H24" s="51">
        <v>3</v>
      </c>
      <c r="I24" s="51">
        <v>2</v>
      </c>
      <c r="J24" s="51">
        <v>3</v>
      </c>
      <c r="K24" s="51" t="s">
        <v>120</v>
      </c>
      <c r="L24" s="51">
        <v>2</v>
      </c>
      <c r="M24" s="51" t="s">
        <v>120</v>
      </c>
      <c r="N24" s="51">
        <v>3</v>
      </c>
      <c r="O24" s="51">
        <v>2</v>
      </c>
      <c r="P24" s="51">
        <v>2</v>
      </c>
      <c r="Q24" s="51">
        <v>3.5</v>
      </c>
      <c r="R24" s="51">
        <v>3.5</v>
      </c>
      <c r="S24" s="51">
        <v>3</v>
      </c>
      <c r="T24" s="51">
        <v>2</v>
      </c>
      <c r="U24" s="51">
        <v>2</v>
      </c>
      <c r="V24" s="51">
        <v>2</v>
      </c>
      <c r="W24" s="51" t="s">
        <v>120</v>
      </c>
      <c r="X24" s="51">
        <v>3</v>
      </c>
      <c r="Y24" s="51">
        <v>2</v>
      </c>
      <c r="Z24" s="51">
        <v>3</v>
      </c>
      <c r="AA24" s="51">
        <v>2</v>
      </c>
      <c r="AB24" s="51">
        <v>3</v>
      </c>
      <c r="AC24" s="51">
        <v>2</v>
      </c>
      <c r="AD24" s="51">
        <v>3</v>
      </c>
      <c r="AE24" s="51" t="s">
        <v>120</v>
      </c>
      <c r="AF24" s="51">
        <v>2</v>
      </c>
      <c r="AG24" s="51">
        <v>3</v>
      </c>
      <c r="AH24" s="51">
        <v>2</v>
      </c>
      <c r="AI24" s="51" t="s">
        <v>120</v>
      </c>
      <c r="AJ24" s="51">
        <v>2</v>
      </c>
      <c r="AK24" s="51">
        <v>2</v>
      </c>
      <c r="AL24" s="51">
        <v>2</v>
      </c>
      <c r="AM24" s="51">
        <v>3</v>
      </c>
      <c r="AN24" s="51">
        <v>2</v>
      </c>
      <c r="AO24" s="51">
        <v>3</v>
      </c>
      <c r="AP24" s="51" t="s">
        <v>120</v>
      </c>
      <c r="AQ24" s="51" t="s">
        <v>120</v>
      </c>
      <c r="AR24" s="51">
        <v>2</v>
      </c>
      <c r="AS24" s="51" t="s">
        <v>120</v>
      </c>
      <c r="AT24" s="51">
        <v>2</v>
      </c>
      <c r="AU24" s="51">
        <v>3</v>
      </c>
      <c r="AV24" s="51">
        <f t="shared" si="0"/>
        <v>81</v>
      </c>
      <c r="AW24" s="51">
        <f t="shared" si="1"/>
        <v>41</v>
      </c>
      <c r="AX24" s="52">
        <f t="shared" si="2"/>
        <v>0.81</v>
      </c>
      <c r="AY24" s="49" t="str">
        <f t="shared" si="4"/>
        <v>Certificado</v>
      </c>
      <c r="AZ24" s="49"/>
      <c r="BA24" s="49"/>
      <c r="BB24" s="53"/>
      <c r="BC24" s="49" t="str">
        <f t="shared" si="3"/>
        <v>No aprobado</v>
      </c>
      <c r="BD24" s="118">
        <v>5</v>
      </c>
      <c r="BE24" s="118">
        <v>5</v>
      </c>
      <c r="BF24" s="118">
        <v>5</v>
      </c>
      <c r="BG24" s="118">
        <v>5</v>
      </c>
      <c r="BH24" s="118">
        <v>5</v>
      </c>
      <c r="BI24" s="118">
        <v>5</v>
      </c>
      <c r="BJ24" s="118">
        <v>5</v>
      </c>
      <c r="BK24" s="118">
        <v>5</v>
      </c>
      <c r="BL24" s="118">
        <v>5</v>
      </c>
      <c r="BM24" s="118">
        <v>5</v>
      </c>
      <c r="BN24" s="118">
        <v>5</v>
      </c>
      <c r="BO24" s="118">
        <v>5</v>
      </c>
      <c r="BP24" s="118">
        <v>5</v>
      </c>
      <c r="BQ24" s="118">
        <v>5</v>
      </c>
      <c r="BR24" s="118">
        <v>5</v>
      </c>
      <c r="BS24" s="118">
        <v>5</v>
      </c>
      <c r="BT24" s="118">
        <v>5</v>
      </c>
      <c r="BU24" s="118">
        <v>5</v>
      </c>
      <c r="BV24" s="118">
        <v>5</v>
      </c>
      <c r="BW24" s="118">
        <v>5</v>
      </c>
      <c r="BX24" s="118">
        <v>5</v>
      </c>
      <c r="BY24" s="118">
        <v>5</v>
      </c>
      <c r="BZ24" s="118">
        <v>5</v>
      </c>
      <c r="CA24" s="118">
        <v>5</v>
      </c>
      <c r="CB24" s="118">
        <v>5</v>
      </c>
      <c r="CC24" s="118">
        <v>5</v>
      </c>
      <c r="CD24" s="118">
        <v>5</v>
      </c>
      <c r="CE24" s="118">
        <v>5</v>
      </c>
      <c r="CF24" s="118">
        <v>5</v>
      </c>
      <c r="CG24" s="118">
        <v>5</v>
      </c>
      <c r="CH24" s="118">
        <v>5</v>
      </c>
      <c r="CI24" s="118">
        <v>5</v>
      </c>
      <c r="CJ24" s="118">
        <v>5</v>
      </c>
      <c r="CK24" s="118">
        <v>5</v>
      </c>
      <c r="CL24" s="118">
        <v>5</v>
      </c>
      <c r="CM24" s="118">
        <v>5</v>
      </c>
      <c r="CN24" s="118">
        <v>5</v>
      </c>
      <c r="CO24" s="118">
        <v>5</v>
      </c>
      <c r="CP24" s="118">
        <v>5</v>
      </c>
      <c r="CQ24" s="118">
        <v>4</v>
      </c>
      <c r="CR24" s="118">
        <v>4</v>
      </c>
      <c r="CS24" s="118">
        <v>5</v>
      </c>
      <c r="CT24" s="118">
        <v>5</v>
      </c>
      <c r="CU24" s="118">
        <v>5</v>
      </c>
      <c r="CV24" s="118">
        <v>5</v>
      </c>
      <c r="CW24" s="118"/>
      <c r="CX24" s="118"/>
      <c r="CY24" s="118"/>
      <c r="CZ24" s="118"/>
      <c r="DA24" s="118" t="s">
        <v>323</v>
      </c>
      <c r="DB24" s="118" t="s">
        <v>324</v>
      </c>
      <c r="DC24" s="118" t="s">
        <v>325</v>
      </c>
      <c r="DD24" s="118" t="s">
        <v>175</v>
      </c>
      <c r="DE24" s="118">
        <v>5</v>
      </c>
      <c r="DF24" s="77">
        <f t="shared" si="5"/>
        <v>4.9565217391304346</v>
      </c>
    </row>
    <row r="25" spans="1:110" ht="27.6" x14ac:dyDescent="0.3">
      <c r="A25" s="49">
        <v>13</v>
      </c>
      <c r="B25" s="49" t="s">
        <v>326</v>
      </c>
      <c r="C25" s="55">
        <v>80009213</v>
      </c>
      <c r="D25" s="49" t="s">
        <v>115</v>
      </c>
      <c r="E25" s="49" t="s">
        <v>116</v>
      </c>
      <c r="F25" s="49" t="s">
        <v>117</v>
      </c>
      <c r="G25" s="51">
        <v>2</v>
      </c>
      <c r="H25" s="51">
        <v>3</v>
      </c>
      <c r="I25" s="51">
        <v>2</v>
      </c>
      <c r="J25" s="51">
        <v>3</v>
      </c>
      <c r="K25" s="51">
        <v>3</v>
      </c>
      <c r="L25" s="51">
        <v>2</v>
      </c>
      <c r="M25" s="51" t="s">
        <v>120</v>
      </c>
      <c r="N25" s="51">
        <v>3</v>
      </c>
      <c r="O25" s="51">
        <v>2</v>
      </c>
      <c r="P25" s="51">
        <v>2</v>
      </c>
      <c r="Q25" s="51">
        <v>3.5</v>
      </c>
      <c r="R25" s="51">
        <v>3.5</v>
      </c>
      <c r="S25" s="51">
        <v>3</v>
      </c>
      <c r="T25" s="51">
        <v>2</v>
      </c>
      <c r="U25" s="51">
        <v>2</v>
      </c>
      <c r="V25" s="51">
        <v>2</v>
      </c>
      <c r="W25" s="51">
        <v>2</v>
      </c>
      <c r="X25" s="51">
        <v>3</v>
      </c>
      <c r="Y25" s="51">
        <v>2</v>
      </c>
      <c r="Z25" s="51">
        <v>3</v>
      </c>
      <c r="AA25" s="51">
        <v>2</v>
      </c>
      <c r="AB25" s="51">
        <v>3</v>
      </c>
      <c r="AC25" s="51">
        <v>2</v>
      </c>
      <c r="AD25" s="51">
        <v>3</v>
      </c>
      <c r="AE25" s="51">
        <v>2</v>
      </c>
      <c r="AF25" s="51">
        <v>2</v>
      </c>
      <c r="AG25" s="51">
        <v>3</v>
      </c>
      <c r="AH25" s="51">
        <v>2</v>
      </c>
      <c r="AI25" s="51" t="s">
        <v>120</v>
      </c>
      <c r="AJ25" s="51">
        <v>2</v>
      </c>
      <c r="AK25" s="51">
        <v>2</v>
      </c>
      <c r="AL25" s="51">
        <v>2</v>
      </c>
      <c r="AM25" s="51">
        <v>3</v>
      </c>
      <c r="AN25" s="51">
        <v>2</v>
      </c>
      <c r="AO25" s="51">
        <v>3</v>
      </c>
      <c r="AP25" s="51">
        <v>2</v>
      </c>
      <c r="AQ25" s="51">
        <v>2</v>
      </c>
      <c r="AR25" s="51">
        <v>2</v>
      </c>
      <c r="AS25" s="51">
        <v>3</v>
      </c>
      <c r="AT25" s="51">
        <v>2</v>
      </c>
      <c r="AU25" s="51">
        <v>3</v>
      </c>
      <c r="AV25" s="51">
        <f t="shared" si="0"/>
        <v>95</v>
      </c>
      <c r="AW25" s="51">
        <f t="shared" si="1"/>
        <v>41</v>
      </c>
      <c r="AX25" s="52">
        <f t="shared" si="2"/>
        <v>0.95</v>
      </c>
      <c r="AY25" s="49" t="str">
        <f t="shared" ref="AY25" si="6">IF(AX25="","",IF(AX25&gt;=80%,"Certificado","No certificado"))</f>
        <v>Certificado</v>
      </c>
      <c r="AZ25" s="49"/>
      <c r="BA25" s="49"/>
      <c r="BB25" s="53"/>
      <c r="BC25" s="49" t="str">
        <f t="shared" si="3"/>
        <v>No aprobado</v>
      </c>
      <c r="BD25" s="118">
        <v>5</v>
      </c>
      <c r="BE25" s="118">
        <v>5</v>
      </c>
      <c r="BF25" s="118">
        <v>5</v>
      </c>
      <c r="BG25" s="118">
        <v>5</v>
      </c>
      <c r="BH25" s="118">
        <v>5</v>
      </c>
      <c r="BI25" s="118">
        <v>5</v>
      </c>
      <c r="BJ25" s="118">
        <v>4</v>
      </c>
      <c r="BK25" s="118">
        <v>4</v>
      </c>
      <c r="BL25" s="118">
        <v>4</v>
      </c>
      <c r="BM25" s="118">
        <v>4</v>
      </c>
      <c r="BN25" s="118">
        <v>4</v>
      </c>
      <c r="BO25" s="118">
        <v>4</v>
      </c>
      <c r="BP25" s="118">
        <v>4</v>
      </c>
      <c r="BQ25" s="118">
        <v>4</v>
      </c>
      <c r="BR25" s="118">
        <v>4</v>
      </c>
      <c r="BS25" s="118">
        <v>4</v>
      </c>
      <c r="BT25" s="118">
        <v>4</v>
      </c>
      <c r="BU25" s="118">
        <v>4</v>
      </c>
      <c r="BV25" s="118">
        <v>4</v>
      </c>
      <c r="BW25" s="118">
        <v>4</v>
      </c>
      <c r="BX25" s="118">
        <v>4</v>
      </c>
      <c r="BY25" s="118">
        <v>4</v>
      </c>
      <c r="BZ25" s="118">
        <v>4</v>
      </c>
      <c r="CA25" s="118">
        <v>4</v>
      </c>
      <c r="CB25" s="118">
        <v>4</v>
      </c>
      <c r="CC25" s="118">
        <v>4</v>
      </c>
      <c r="CD25" s="118">
        <v>4</v>
      </c>
      <c r="CE25" s="118">
        <v>4</v>
      </c>
      <c r="CF25" s="118">
        <v>4</v>
      </c>
      <c r="CG25" s="118">
        <v>4</v>
      </c>
      <c r="CH25" s="118">
        <v>4</v>
      </c>
      <c r="CI25" s="118">
        <v>4</v>
      </c>
      <c r="CJ25" s="118">
        <v>4</v>
      </c>
      <c r="CK25" s="118">
        <v>4</v>
      </c>
      <c r="CL25" s="118">
        <v>4</v>
      </c>
      <c r="CM25" s="118">
        <v>4</v>
      </c>
      <c r="CN25" s="118">
        <v>5</v>
      </c>
      <c r="CO25" s="118">
        <v>5</v>
      </c>
      <c r="CP25" s="118">
        <v>5</v>
      </c>
      <c r="CQ25" s="118">
        <v>5</v>
      </c>
      <c r="CR25" s="118">
        <v>5</v>
      </c>
      <c r="CS25" s="118">
        <v>5</v>
      </c>
      <c r="CT25" s="118">
        <v>5</v>
      </c>
      <c r="CU25" s="118">
        <v>5</v>
      </c>
      <c r="CV25" s="118">
        <v>5</v>
      </c>
      <c r="CW25" s="118"/>
      <c r="CX25" s="118"/>
      <c r="CY25" s="118"/>
      <c r="CZ25" s="118"/>
      <c r="DA25" s="118" t="s">
        <v>327</v>
      </c>
      <c r="DB25" s="118" t="s">
        <v>328</v>
      </c>
      <c r="DC25" s="118" t="s">
        <v>329</v>
      </c>
      <c r="DD25" s="118" t="s">
        <v>175</v>
      </c>
      <c r="DE25" s="118">
        <v>5</v>
      </c>
      <c r="DF25" s="77">
        <f t="shared" si="5"/>
        <v>4.3478260869565215</v>
      </c>
    </row>
    <row r="26" spans="1:110" ht="27.6" x14ac:dyDescent="0.3">
      <c r="A26" s="49">
        <v>14</v>
      </c>
      <c r="B26" s="49" t="s">
        <v>330</v>
      </c>
      <c r="C26" s="55">
        <v>1068976502</v>
      </c>
      <c r="D26" s="49" t="s">
        <v>115</v>
      </c>
      <c r="E26" s="49" t="s">
        <v>119</v>
      </c>
      <c r="F26" s="49" t="s">
        <v>117</v>
      </c>
      <c r="G26" s="51" t="s">
        <v>120</v>
      </c>
      <c r="H26" s="51">
        <v>3</v>
      </c>
      <c r="I26" s="51">
        <v>2</v>
      </c>
      <c r="J26" s="51">
        <v>3</v>
      </c>
      <c r="K26" s="51" t="s">
        <v>120</v>
      </c>
      <c r="L26" s="51">
        <v>2</v>
      </c>
      <c r="M26" s="51">
        <v>2</v>
      </c>
      <c r="N26" s="51">
        <v>3</v>
      </c>
      <c r="O26" s="51">
        <v>2</v>
      </c>
      <c r="P26" s="51">
        <v>2</v>
      </c>
      <c r="Q26" s="51">
        <v>3.5</v>
      </c>
      <c r="R26" s="51">
        <v>3.5</v>
      </c>
      <c r="S26" s="51">
        <v>3</v>
      </c>
      <c r="T26" s="51">
        <v>2</v>
      </c>
      <c r="U26" s="51">
        <v>2</v>
      </c>
      <c r="V26" s="51">
        <v>2</v>
      </c>
      <c r="W26" s="51">
        <v>2</v>
      </c>
      <c r="X26" s="51">
        <v>3</v>
      </c>
      <c r="Y26" s="51">
        <v>2</v>
      </c>
      <c r="Z26" s="51">
        <v>3</v>
      </c>
      <c r="AA26" s="51">
        <v>2</v>
      </c>
      <c r="AB26" s="51">
        <v>3</v>
      </c>
      <c r="AC26" s="51">
        <v>2</v>
      </c>
      <c r="AD26" s="51">
        <v>3</v>
      </c>
      <c r="AE26" s="51">
        <v>2</v>
      </c>
      <c r="AF26" s="51">
        <v>2</v>
      </c>
      <c r="AG26" s="51">
        <v>3</v>
      </c>
      <c r="AH26" s="51">
        <v>2</v>
      </c>
      <c r="AI26" s="51">
        <v>3</v>
      </c>
      <c r="AJ26" s="51">
        <v>2</v>
      </c>
      <c r="AK26" s="51">
        <v>2</v>
      </c>
      <c r="AL26" s="51">
        <v>2</v>
      </c>
      <c r="AM26" s="51">
        <v>3</v>
      </c>
      <c r="AN26" s="51">
        <v>2</v>
      </c>
      <c r="AO26" s="51">
        <v>3</v>
      </c>
      <c r="AP26" s="51">
        <v>2</v>
      </c>
      <c r="AQ26" s="51">
        <v>2</v>
      </c>
      <c r="AR26" s="51">
        <v>2</v>
      </c>
      <c r="AS26" s="51" t="s">
        <v>120</v>
      </c>
      <c r="AT26" s="51">
        <v>2</v>
      </c>
      <c r="AU26" s="51">
        <v>3</v>
      </c>
      <c r="AV26" s="51">
        <f t="shared" si="0"/>
        <v>92</v>
      </c>
      <c r="AW26" s="51">
        <f t="shared" si="1"/>
        <v>41</v>
      </c>
      <c r="AX26" s="52">
        <f t="shared" si="2"/>
        <v>0.92</v>
      </c>
      <c r="AY26" s="49" t="str">
        <f t="shared" si="4"/>
        <v>Certificado</v>
      </c>
      <c r="AZ26" s="49"/>
      <c r="BA26" s="49"/>
      <c r="BB26" s="53"/>
      <c r="BC26" s="49" t="str">
        <f t="shared" si="3"/>
        <v>No aprobado</v>
      </c>
      <c r="BD26" s="118">
        <v>5</v>
      </c>
      <c r="BE26" s="118">
        <v>5</v>
      </c>
      <c r="BF26" s="118">
        <v>5</v>
      </c>
      <c r="BG26" s="118">
        <v>5</v>
      </c>
      <c r="BH26" s="118">
        <v>5</v>
      </c>
      <c r="BI26" s="118">
        <v>5</v>
      </c>
      <c r="BJ26" s="118">
        <v>5</v>
      </c>
      <c r="BK26" s="118">
        <v>5</v>
      </c>
      <c r="BL26" s="118">
        <v>5</v>
      </c>
      <c r="BM26" s="118">
        <v>5</v>
      </c>
      <c r="BN26" s="118">
        <v>5</v>
      </c>
      <c r="BO26" s="118">
        <v>5</v>
      </c>
      <c r="BP26" s="118">
        <v>5</v>
      </c>
      <c r="BQ26" s="118">
        <v>5</v>
      </c>
      <c r="BR26" s="118">
        <v>5</v>
      </c>
      <c r="BS26" s="118">
        <v>5</v>
      </c>
      <c r="BT26" s="118">
        <v>5</v>
      </c>
      <c r="BU26" s="118">
        <v>5</v>
      </c>
      <c r="BV26" s="118">
        <v>5</v>
      </c>
      <c r="BW26" s="118">
        <v>5</v>
      </c>
      <c r="BX26" s="118">
        <v>5</v>
      </c>
      <c r="BY26" s="118">
        <v>5</v>
      </c>
      <c r="BZ26" s="118">
        <v>5</v>
      </c>
      <c r="CA26" s="118">
        <v>5</v>
      </c>
      <c r="CB26" s="118">
        <v>5</v>
      </c>
      <c r="CC26" s="118">
        <v>5</v>
      </c>
      <c r="CD26" s="118">
        <v>5</v>
      </c>
      <c r="CE26" s="118">
        <v>5</v>
      </c>
      <c r="CF26" s="118">
        <v>5</v>
      </c>
      <c r="CG26" s="118">
        <v>5</v>
      </c>
      <c r="CH26" s="118">
        <v>5</v>
      </c>
      <c r="CI26" s="118">
        <v>5</v>
      </c>
      <c r="CJ26" s="118">
        <v>5</v>
      </c>
      <c r="CK26" s="118">
        <v>5</v>
      </c>
      <c r="CL26" s="118">
        <v>5</v>
      </c>
      <c r="CM26" s="118">
        <v>5</v>
      </c>
      <c r="CN26" s="118">
        <v>5</v>
      </c>
      <c r="CO26" s="118">
        <v>5</v>
      </c>
      <c r="CP26" s="118">
        <v>5</v>
      </c>
      <c r="CQ26" s="118">
        <v>5</v>
      </c>
      <c r="CR26" s="118">
        <v>4</v>
      </c>
      <c r="CS26" s="118">
        <v>5</v>
      </c>
      <c r="CT26" s="118">
        <v>5</v>
      </c>
      <c r="CU26" s="118">
        <v>4</v>
      </c>
      <c r="CV26" s="118">
        <v>5</v>
      </c>
      <c r="CW26" s="118"/>
      <c r="CX26" s="118"/>
      <c r="CY26" s="118"/>
      <c r="CZ26" s="118"/>
      <c r="DA26" s="118" t="s">
        <v>331</v>
      </c>
      <c r="DB26" s="118" t="s">
        <v>332</v>
      </c>
      <c r="DC26" s="118" t="s">
        <v>333</v>
      </c>
      <c r="DD26" s="118" t="s">
        <v>175</v>
      </c>
      <c r="DE26" s="118">
        <v>5</v>
      </c>
      <c r="DF26" s="77">
        <f t="shared" si="5"/>
        <v>4.9565217391304346</v>
      </c>
    </row>
    <row r="27" spans="1:110" ht="41.4" x14ac:dyDescent="0.3">
      <c r="A27" s="49">
        <v>15</v>
      </c>
      <c r="B27" s="49" t="s">
        <v>334</v>
      </c>
      <c r="C27" s="55">
        <v>1026269124</v>
      </c>
      <c r="D27" s="49" t="s">
        <v>115</v>
      </c>
      <c r="E27" s="49" t="s">
        <v>122</v>
      </c>
      <c r="F27" s="49" t="s">
        <v>117</v>
      </c>
      <c r="G27" s="51">
        <v>2</v>
      </c>
      <c r="H27" s="51">
        <v>3</v>
      </c>
      <c r="I27" s="51">
        <v>2</v>
      </c>
      <c r="J27" s="51">
        <v>3</v>
      </c>
      <c r="K27" s="51">
        <v>3</v>
      </c>
      <c r="L27" s="51">
        <v>2</v>
      </c>
      <c r="M27" s="51">
        <v>2</v>
      </c>
      <c r="N27" s="51">
        <v>3</v>
      </c>
      <c r="O27" s="51">
        <v>2</v>
      </c>
      <c r="P27" s="51">
        <v>2</v>
      </c>
      <c r="Q27" s="51" t="s">
        <v>120</v>
      </c>
      <c r="R27" s="51">
        <v>3.5</v>
      </c>
      <c r="S27" s="51">
        <v>3</v>
      </c>
      <c r="T27" s="51">
        <v>2</v>
      </c>
      <c r="U27" s="51" t="s">
        <v>120</v>
      </c>
      <c r="V27" s="51" t="s">
        <v>120</v>
      </c>
      <c r="W27" s="51">
        <v>2</v>
      </c>
      <c r="X27" s="51">
        <v>3</v>
      </c>
      <c r="Y27" s="51">
        <v>2</v>
      </c>
      <c r="Z27" s="51" t="s">
        <v>120</v>
      </c>
      <c r="AA27" s="51">
        <v>2</v>
      </c>
      <c r="AB27" s="51">
        <v>3</v>
      </c>
      <c r="AC27" s="51" t="s">
        <v>120</v>
      </c>
      <c r="AD27" s="51">
        <v>3</v>
      </c>
      <c r="AE27" s="51">
        <v>2</v>
      </c>
      <c r="AF27" s="51">
        <v>2</v>
      </c>
      <c r="AG27" s="51" t="s">
        <v>120</v>
      </c>
      <c r="AH27" s="51">
        <v>2</v>
      </c>
      <c r="AI27" s="51">
        <v>3</v>
      </c>
      <c r="AJ27" s="51">
        <v>2</v>
      </c>
      <c r="AK27" s="51">
        <v>2</v>
      </c>
      <c r="AL27" s="51">
        <v>2</v>
      </c>
      <c r="AM27" s="51">
        <v>3</v>
      </c>
      <c r="AN27" s="51">
        <v>2</v>
      </c>
      <c r="AO27" s="51">
        <v>3</v>
      </c>
      <c r="AP27" s="51">
        <v>2</v>
      </c>
      <c r="AQ27" s="51">
        <v>2</v>
      </c>
      <c r="AR27" s="51">
        <v>2</v>
      </c>
      <c r="AS27" s="51">
        <v>3</v>
      </c>
      <c r="AT27" s="51">
        <v>2</v>
      </c>
      <c r="AU27" s="51">
        <v>3</v>
      </c>
      <c r="AV27" s="51">
        <f t="shared" si="0"/>
        <v>84.5</v>
      </c>
      <c r="AW27" s="51">
        <f t="shared" si="1"/>
        <v>41</v>
      </c>
      <c r="AX27" s="52">
        <f t="shared" si="2"/>
        <v>0.84499999999999997</v>
      </c>
      <c r="AY27" s="49" t="str">
        <f t="shared" si="4"/>
        <v>Certificado</v>
      </c>
      <c r="AZ27" s="49"/>
      <c r="BA27" s="49"/>
      <c r="BB27" s="53"/>
      <c r="BC27" s="49" t="str">
        <f t="shared" si="3"/>
        <v>No aprobado</v>
      </c>
      <c r="BD27" s="118"/>
      <c r="BE27" s="118"/>
      <c r="BF27" s="118"/>
      <c r="BG27" s="118"/>
      <c r="BH27" s="118"/>
      <c r="BI27" s="118"/>
      <c r="BJ27" s="118"/>
      <c r="BK27" s="118"/>
      <c r="BL27" s="118"/>
      <c r="BM27" s="118"/>
      <c r="BN27" s="118"/>
      <c r="BO27" s="118"/>
      <c r="BP27" s="118"/>
      <c r="BQ27" s="118"/>
      <c r="BR27" s="118"/>
      <c r="BS27" s="118"/>
      <c r="BT27" s="118"/>
      <c r="BU27" s="118"/>
      <c r="BV27" s="118"/>
      <c r="BW27" s="118"/>
      <c r="BX27" s="118"/>
      <c r="BY27" s="118"/>
      <c r="BZ27" s="118"/>
      <c r="CA27" s="118"/>
      <c r="CB27" s="118"/>
      <c r="CC27" s="118"/>
      <c r="CD27" s="118"/>
      <c r="CE27" s="118"/>
      <c r="CF27" s="118"/>
      <c r="CG27" s="118"/>
      <c r="CH27" s="118"/>
      <c r="CI27" s="118"/>
      <c r="CJ27" s="118"/>
      <c r="CK27" s="118"/>
      <c r="CL27" s="118"/>
      <c r="CM27" s="118"/>
      <c r="CN27" s="118"/>
      <c r="CO27" s="118"/>
      <c r="CP27" s="118"/>
      <c r="CQ27" s="118"/>
      <c r="CR27" s="118"/>
      <c r="CS27" s="118"/>
      <c r="CT27" s="118"/>
      <c r="CU27" s="118"/>
      <c r="CV27" s="118"/>
      <c r="CW27" s="118"/>
      <c r="CX27" s="118"/>
      <c r="CY27" s="118"/>
      <c r="CZ27" s="118"/>
      <c r="DA27" s="118"/>
      <c r="DB27" s="118"/>
      <c r="DC27" s="118"/>
      <c r="DD27" s="118"/>
      <c r="DE27" s="118"/>
      <c r="DF27" s="77"/>
    </row>
    <row r="28" spans="1:110" ht="27.6" x14ac:dyDescent="0.3">
      <c r="A28" s="49">
        <v>16</v>
      </c>
      <c r="B28" s="49" t="s">
        <v>335</v>
      </c>
      <c r="C28" s="55">
        <v>1013579143</v>
      </c>
      <c r="D28" s="49" t="s">
        <v>115</v>
      </c>
      <c r="E28" s="49" t="s">
        <v>116</v>
      </c>
      <c r="F28" s="49" t="s">
        <v>117</v>
      </c>
      <c r="G28" s="51" t="s">
        <v>120</v>
      </c>
      <c r="H28" s="51" t="s">
        <v>120</v>
      </c>
      <c r="I28" s="51" t="s">
        <v>120</v>
      </c>
      <c r="J28" s="51" t="s">
        <v>120</v>
      </c>
      <c r="K28" s="51" t="s">
        <v>120</v>
      </c>
      <c r="L28" s="51" t="s">
        <v>120</v>
      </c>
      <c r="M28" s="51" t="s">
        <v>120</v>
      </c>
      <c r="N28" s="51" t="s">
        <v>120</v>
      </c>
      <c r="O28" s="51" t="s">
        <v>120</v>
      </c>
      <c r="P28" s="51" t="s">
        <v>120</v>
      </c>
      <c r="Q28" s="51" t="s">
        <v>120</v>
      </c>
      <c r="R28" s="51" t="s">
        <v>120</v>
      </c>
      <c r="S28" s="51" t="s">
        <v>120</v>
      </c>
      <c r="T28" s="51" t="s">
        <v>120</v>
      </c>
      <c r="U28" s="51" t="s">
        <v>120</v>
      </c>
      <c r="V28" s="51" t="s">
        <v>120</v>
      </c>
      <c r="W28" s="51" t="s">
        <v>120</v>
      </c>
      <c r="X28" s="51" t="s">
        <v>120</v>
      </c>
      <c r="Y28" s="51" t="s">
        <v>120</v>
      </c>
      <c r="Z28" s="51" t="s">
        <v>120</v>
      </c>
      <c r="AA28" s="51" t="s">
        <v>120</v>
      </c>
      <c r="AB28" s="51" t="s">
        <v>120</v>
      </c>
      <c r="AC28" s="51" t="s">
        <v>120</v>
      </c>
      <c r="AD28" s="51" t="s">
        <v>120</v>
      </c>
      <c r="AE28" s="51" t="s">
        <v>120</v>
      </c>
      <c r="AF28" s="51" t="s">
        <v>120</v>
      </c>
      <c r="AG28" s="51" t="s">
        <v>120</v>
      </c>
      <c r="AH28" s="51" t="s">
        <v>120</v>
      </c>
      <c r="AI28" s="51" t="s">
        <v>120</v>
      </c>
      <c r="AJ28" s="51" t="s">
        <v>120</v>
      </c>
      <c r="AK28" s="51" t="s">
        <v>120</v>
      </c>
      <c r="AL28" s="51" t="s">
        <v>120</v>
      </c>
      <c r="AM28" s="51" t="s">
        <v>120</v>
      </c>
      <c r="AN28" s="51" t="s">
        <v>120</v>
      </c>
      <c r="AO28" s="51" t="s">
        <v>120</v>
      </c>
      <c r="AP28" s="51" t="s">
        <v>120</v>
      </c>
      <c r="AQ28" s="51" t="s">
        <v>120</v>
      </c>
      <c r="AR28" s="51" t="s">
        <v>120</v>
      </c>
      <c r="AS28" s="51" t="s">
        <v>120</v>
      </c>
      <c r="AT28" s="51" t="s">
        <v>120</v>
      </c>
      <c r="AU28" s="51" t="s">
        <v>120</v>
      </c>
      <c r="AV28" s="51">
        <f t="shared" si="0"/>
        <v>0</v>
      </c>
      <c r="AW28" s="51">
        <f t="shared" si="1"/>
        <v>41</v>
      </c>
      <c r="AX28" s="52">
        <f t="shared" si="2"/>
        <v>0</v>
      </c>
      <c r="AY28" s="49" t="str">
        <f t="shared" si="4"/>
        <v>No certificado</v>
      </c>
      <c r="AZ28" s="49"/>
      <c r="BA28" s="49"/>
      <c r="BB28" s="53"/>
      <c r="BC28" s="49" t="str">
        <f t="shared" si="3"/>
        <v>No aprobado</v>
      </c>
      <c r="BD28" s="118">
        <v>5</v>
      </c>
      <c r="BE28" s="118">
        <v>4</v>
      </c>
      <c r="BF28" s="118">
        <v>5</v>
      </c>
      <c r="BG28" s="118">
        <v>4</v>
      </c>
      <c r="BH28" s="118">
        <v>4</v>
      </c>
      <c r="BI28" s="118">
        <v>4</v>
      </c>
      <c r="BJ28" s="118">
        <v>4</v>
      </c>
      <c r="BK28" s="118">
        <v>5</v>
      </c>
      <c r="BL28" s="118">
        <v>5</v>
      </c>
      <c r="BM28" s="118">
        <v>4</v>
      </c>
      <c r="BN28" s="118">
        <v>5</v>
      </c>
      <c r="BO28" s="118">
        <v>5</v>
      </c>
      <c r="BP28" s="118">
        <v>4</v>
      </c>
      <c r="BQ28" s="118">
        <v>5</v>
      </c>
      <c r="BR28" s="118">
        <v>4</v>
      </c>
      <c r="BS28" s="118">
        <v>5</v>
      </c>
      <c r="BT28" s="118">
        <v>4</v>
      </c>
      <c r="BU28" s="118">
        <v>4</v>
      </c>
      <c r="BV28" s="118">
        <v>4</v>
      </c>
      <c r="BW28" s="118">
        <v>5</v>
      </c>
      <c r="BX28" s="118">
        <v>4</v>
      </c>
      <c r="BY28" s="118">
        <v>5</v>
      </c>
      <c r="BZ28" s="118">
        <v>5</v>
      </c>
      <c r="CA28" s="118">
        <v>4</v>
      </c>
      <c r="CB28" s="118">
        <v>4</v>
      </c>
      <c r="CC28" s="118">
        <v>5</v>
      </c>
      <c r="CD28" s="118">
        <v>4</v>
      </c>
      <c r="CE28" s="118">
        <v>5</v>
      </c>
      <c r="CF28" s="118">
        <v>5</v>
      </c>
      <c r="CG28" s="118">
        <v>4</v>
      </c>
      <c r="CH28" s="118">
        <v>4</v>
      </c>
      <c r="CI28" s="118">
        <v>5</v>
      </c>
      <c r="CJ28" s="118">
        <v>5</v>
      </c>
      <c r="CK28" s="118">
        <v>4</v>
      </c>
      <c r="CL28" s="118">
        <v>4</v>
      </c>
      <c r="CM28" s="118">
        <v>4</v>
      </c>
      <c r="CN28" s="118">
        <v>5</v>
      </c>
      <c r="CO28" s="118">
        <v>5</v>
      </c>
      <c r="CP28" s="118">
        <v>5</v>
      </c>
      <c r="CQ28" s="118">
        <v>5</v>
      </c>
      <c r="CR28" s="118">
        <v>5</v>
      </c>
      <c r="CS28" s="118">
        <v>5</v>
      </c>
      <c r="CT28" s="118">
        <v>5</v>
      </c>
      <c r="CU28" s="118">
        <v>5</v>
      </c>
      <c r="CV28" s="118">
        <v>5</v>
      </c>
      <c r="CW28" s="118"/>
      <c r="CX28" s="118"/>
      <c r="CY28" s="118"/>
      <c r="CZ28" s="118"/>
      <c r="DA28" s="118" t="s">
        <v>336</v>
      </c>
      <c r="DB28" s="118" t="s">
        <v>337</v>
      </c>
      <c r="DC28" s="118" t="s">
        <v>338</v>
      </c>
      <c r="DD28" s="118" t="s">
        <v>175</v>
      </c>
      <c r="DE28" s="118">
        <v>5</v>
      </c>
      <c r="DF28" s="77">
        <f t="shared" si="5"/>
        <v>4.5652173913043477</v>
      </c>
    </row>
    <row r="29" spans="1:110" ht="48.75" customHeight="1" x14ac:dyDescent="0.3">
      <c r="A29" s="176" t="s">
        <v>127</v>
      </c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68"/>
    </row>
  </sheetData>
  <mergeCells count="36">
    <mergeCell ref="A6:BC6"/>
    <mergeCell ref="A1:F4"/>
    <mergeCell ref="G1:AW4"/>
    <mergeCell ref="AX1:BC2"/>
    <mergeCell ref="AX3:BC4"/>
    <mergeCell ref="A5:BC5"/>
    <mergeCell ref="A7:BC7"/>
    <mergeCell ref="A8:BC8"/>
    <mergeCell ref="A9:D9"/>
    <mergeCell ref="E9:F9"/>
    <mergeCell ref="G9:Z9"/>
    <mergeCell ref="AA9:AU9"/>
    <mergeCell ref="AV9:AY9"/>
    <mergeCell ref="AZ9:BC9"/>
    <mergeCell ref="A29:BC29"/>
    <mergeCell ref="A10:B10"/>
    <mergeCell ref="G10:Z10"/>
    <mergeCell ref="AA10:AU10"/>
    <mergeCell ref="AV10:AW10"/>
    <mergeCell ref="AX10:AY10"/>
    <mergeCell ref="BA10:BC10"/>
    <mergeCell ref="A11:F11"/>
    <mergeCell ref="G11:AU11"/>
    <mergeCell ref="AV11:AY11"/>
    <mergeCell ref="AZ11:BC11"/>
    <mergeCell ref="D10:E10"/>
    <mergeCell ref="BD10:DF10"/>
    <mergeCell ref="BD11:BI11"/>
    <mergeCell ref="CN11:CP11"/>
    <mergeCell ref="CQ11:CZ11"/>
    <mergeCell ref="DA11:DE11"/>
    <mergeCell ref="BJ11:BO11"/>
    <mergeCell ref="BP11:BU11"/>
    <mergeCell ref="BV11:CA11"/>
    <mergeCell ref="CB11:CG11"/>
    <mergeCell ref="CH11:CM11"/>
  </mergeCells>
  <dataValidations disablePrompts="1" count="1">
    <dataValidation type="list" allowBlank="1" showErrorMessage="1" sqref="D13:D28" xr:uid="{731B0654-8A0F-4868-9F45-F35431996204}">
      <formula1>"Contratista,Planta"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F0EC-F5C6-4EF1-8B7B-3718CCC27C24}">
  <sheetPr>
    <tabColor rgb="FFFFFF00"/>
    <outlinePr summaryBelow="0" summaryRight="0"/>
  </sheetPr>
  <dimension ref="A1:AF29"/>
  <sheetViews>
    <sheetView topLeftCell="A3" workbookViewId="0">
      <selection activeCell="A12" sqref="A12"/>
    </sheetView>
  </sheetViews>
  <sheetFormatPr baseColWidth="10" defaultColWidth="12.5546875" defaultRowHeight="15.75" customHeight="1" x14ac:dyDescent="0.3"/>
  <cols>
    <col min="1" max="1" width="12.5546875" style="44"/>
    <col min="2" max="2" width="38.109375" style="44" customWidth="1"/>
    <col min="3" max="3" width="15.88671875" style="44" customWidth="1"/>
    <col min="4" max="4" width="15.33203125" style="44" customWidth="1"/>
    <col min="5" max="6" width="25.5546875" style="44" customWidth="1"/>
    <col min="7" max="7" width="12.6640625" style="44" customWidth="1"/>
    <col min="8" max="8" width="15.44140625" style="44" customWidth="1"/>
    <col min="9" max="9" width="15" style="44" customWidth="1"/>
    <col min="10" max="24" width="12.5546875" style="44"/>
    <col min="25" max="25" width="15.33203125" style="44" customWidth="1"/>
    <col min="26" max="26" width="11.33203125" style="44" customWidth="1"/>
    <col min="27" max="27" width="13.88671875" style="44" customWidth="1"/>
    <col min="28" max="28" width="14.33203125" style="44" customWidth="1"/>
    <col min="29" max="16384" width="12.5546875" style="44"/>
  </cols>
  <sheetData>
    <row r="1" spans="1:32" ht="14.4" x14ac:dyDescent="0.3">
      <c r="A1" s="156" t="s">
        <v>80</v>
      </c>
      <c r="B1" s="157"/>
      <c r="C1" s="157"/>
      <c r="D1" s="157"/>
      <c r="E1" s="157"/>
      <c r="F1" s="157"/>
      <c r="G1" s="157"/>
      <c r="H1" s="167"/>
      <c r="I1" s="161" t="s">
        <v>339</v>
      </c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2"/>
      <c r="AA1" s="156" t="s">
        <v>81</v>
      </c>
      <c r="AB1" s="157"/>
      <c r="AC1" s="157"/>
      <c r="AD1" s="157"/>
      <c r="AE1" s="157"/>
      <c r="AF1" s="167"/>
    </row>
    <row r="2" spans="1:32" ht="14.4" x14ac:dyDescent="0.3">
      <c r="A2" s="158"/>
      <c r="B2" s="159"/>
      <c r="C2" s="159"/>
      <c r="D2" s="159"/>
      <c r="E2" s="159"/>
      <c r="F2" s="159"/>
      <c r="G2" s="159"/>
      <c r="H2" s="180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4"/>
      <c r="AA2" s="160"/>
      <c r="AB2" s="148"/>
      <c r="AC2" s="148"/>
      <c r="AD2" s="148"/>
      <c r="AE2" s="148"/>
      <c r="AF2" s="168"/>
    </row>
    <row r="3" spans="1:32" ht="14.4" x14ac:dyDescent="0.3">
      <c r="A3" s="158"/>
      <c r="B3" s="159"/>
      <c r="C3" s="159"/>
      <c r="D3" s="159"/>
      <c r="E3" s="159"/>
      <c r="F3" s="159"/>
      <c r="G3" s="159"/>
      <c r="H3" s="180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4"/>
      <c r="AA3" s="156" t="s">
        <v>82</v>
      </c>
      <c r="AB3" s="157"/>
      <c r="AC3" s="157"/>
      <c r="AD3" s="157"/>
      <c r="AE3" s="157"/>
      <c r="AF3" s="167"/>
    </row>
    <row r="4" spans="1:32" ht="14.4" x14ac:dyDescent="0.3">
      <c r="A4" s="160"/>
      <c r="B4" s="148"/>
      <c r="C4" s="148"/>
      <c r="D4" s="148"/>
      <c r="E4" s="148"/>
      <c r="F4" s="148"/>
      <c r="G4" s="148"/>
      <c r="H4" s="168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6"/>
      <c r="AA4" s="160"/>
      <c r="AB4" s="148"/>
      <c r="AC4" s="148"/>
      <c r="AD4" s="148"/>
      <c r="AE4" s="148"/>
      <c r="AF4" s="168"/>
    </row>
    <row r="5" spans="1:32" ht="22.5" customHeight="1" x14ac:dyDescent="0.3">
      <c r="A5" s="155" t="s">
        <v>83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4"/>
    </row>
    <row r="6" spans="1:32" ht="22.5" customHeight="1" x14ac:dyDescent="0.3">
      <c r="A6" s="155" t="s">
        <v>84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4"/>
    </row>
    <row r="7" spans="1:32" ht="14.4" x14ac:dyDescent="0.3">
      <c r="A7" s="145" t="s">
        <v>85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4"/>
    </row>
    <row r="8" spans="1:32" ht="33.75" customHeight="1" x14ac:dyDescent="0.3">
      <c r="A8" s="150" t="s">
        <v>128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57"/>
      <c r="S8" s="157"/>
      <c r="T8" s="157"/>
      <c r="U8" s="157"/>
      <c r="V8" s="157"/>
      <c r="W8" s="157"/>
      <c r="X8" s="157"/>
      <c r="Y8" s="143"/>
      <c r="Z8" s="143"/>
      <c r="AA8" s="143"/>
      <c r="AB8" s="143"/>
      <c r="AC8" s="143"/>
      <c r="AD8" s="143"/>
      <c r="AE8" s="143"/>
      <c r="AF8" s="144"/>
    </row>
    <row r="9" spans="1:32" ht="33.75" customHeight="1" x14ac:dyDescent="0.3">
      <c r="A9" s="145" t="s">
        <v>87</v>
      </c>
      <c r="B9" s="143"/>
      <c r="C9" s="143"/>
      <c r="D9" s="144"/>
      <c r="E9" s="150" t="str">
        <f>'Formato Cronograma'!F12</f>
        <v>Edwar Leonardo Esteban Perez</v>
      </c>
      <c r="F9" s="151"/>
      <c r="G9" s="157"/>
      <c r="H9" s="157"/>
      <c r="I9" s="167"/>
      <c r="J9" s="145" t="s">
        <v>88</v>
      </c>
      <c r="K9" s="149"/>
      <c r="L9" s="149"/>
      <c r="M9" s="149"/>
      <c r="N9" s="149"/>
      <c r="O9" s="149"/>
      <c r="P9" s="149"/>
      <c r="Q9" s="149"/>
      <c r="R9" s="169" t="s">
        <v>89</v>
      </c>
      <c r="S9" s="169"/>
      <c r="T9" s="169"/>
      <c r="U9" s="169"/>
      <c r="V9" s="169"/>
      <c r="W9" s="169"/>
      <c r="X9" s="169"/>
      <c r="Y9" s="149" t="s">
        <v>90</v>
      </c>
      <c r="Z9" s="143"/>
      <c r="AA9" s="143"/>
      <c r="AB9" s="144"/>
      <c r="AC9" s="152" t="s">
        <v>91</v>
      </c>
      <c r="AD9" s="153"/>
      <c r="AE9" s="153"/>
      <c r="AF9" s="154"/>
    </row>
    <row r="10" spans="1:32" ht="33.75" customHeight="1" x14ac:dyDescent="0.3">
      <c r="A10" s="145" t="s">
        <v>92</v>
      </c>
      <c r="B10" s="144"/>
      <c r="C10" s="46">
        <f>'Formato Cronograma'!K12</f>
        <v>46281</v>
      </c>
      <c r="D10" s="47" t="s">
        <v>93</v>
      </c>
      <c r="E10" s="48">
        <f>'Formato Cronograma'!L12</f>
        <v>46346</v>
      </c>
      <c r="F10" s="47" t="s">
        <v>340</v>
      </c>
      <c r="G10" s="179" t="s">
        <v>341</v>
      </c>
      <c r="H10" s="179"/>
      <c r="I10" s="179"/>
      <c r="J10" s="147">
        <v>2</v>
      </c>
      <c r="K10" s="146"/>
      <c r="L10" s="146"/>
      <c r="M10" s="146"/>
      <c r="N10" s="146"/>
      <c r="O10" s="146"/>
      <c r="P10" s="146"/>
      <c r="Q10" s="146"/>
      <c r="R10" s="170">
        <v>13</v>
      </c>
      <c r="S10" s="170"/>
      <c r="T10" s="170"/>
      <c r="U10" s="170"/>
      <c r="V10" s="170"/>
      <c r="W10" s="170"/>
      <c r="X10" s="170"/>
      <c r="Y10" s="149" t="s">
        <v>129</v>
      </c>
      <c r="Z10" s="144"/>
      <c r="AA10" s="147">
        <v>40</v>
      </c>
      <c r="AB10" s="144"/>
      <c r="AC10" s="45" t="s">
        <v>95</v>
      </c>
      <c r="AD10" s="147"/>
      <c r="AE10" s="143"/>
      <c r="AF10" s="144"/>
    </row>
    <row r="11" spans="1:32" ht="14.4" x14ac:dyDescent="0.3">
      <c r="A11" s="145" t="s">
        <v>96</v>
      </c>
      <c r="B11" s="143"/>
      <c r="C11" s="143"/>
      <c r="D11" s="143"/>
      <c r="E11" s="143"/>
      <c r="F11" s="148"/>
      <c r="G11" s="148"/>
      <c r="H11" s="148"/>
      <c r="I11" s="168"/>
      <c r="J11" s="145" t="s">
        <v>97</v>
      </c>
      <c r="K11" s="143"/>
      <c r="L11" s="143"/>
      <c r="M11" s="143"/>
      <c r="N11" s="143"/>
      <c r="O11" s="143"/>
      <c r="P11" s="143"/>
      <c r="Q11" s="143"/>
      <c r="R11" s="148"/>
      <c r="S11" s="148"/>
      <c r="T11" s="148"/>
      <c r="U11" s="148"/>
      <c r="V11" s="148"/>
      <c r="W11" s="148"/>
      <c r="X11" s="148"/>
      <c r="Y11" s="145" t="s">
        <v>98</v>
      </c>
      <c r="Z11" s="143"/>
      <c r="AA11" s="143"/>
      <c r="AB11" s="144"/>
      <c r="AC11" s="145" t="s">
        <v>99</v>
      </c>
      <c r="AD11" s="143"/>
      <c r="AE11" s="143"/>
      <c r="AF11" s="144"/>
    </row>
    <row r="12" spans="1:32" ht="41.4" x14ac:dyDescent="0.3">
      <c r="A12" s="47" t="s">
        <v>100</v>
      </c>
      <c r="B12" s="47" t="s">
        <v>101</v>
      </c>
      <c r="C12" s="47" t="s">
        <v>102</v>
      </c>
      <c r="D12" s="47" t="s">
        <v>103</v>
      </c>
      <c r="E12" s="47" t="s">
        <v>104</v>
      </c>
      <c r="F12" s="47" t="s">
        <v>105</v>
      </c>
      <c r="G12" s="47" t="s">
        <v>342</v>
      </c>
      <c r="H12" s="47" t="s">
        <v>343</v>
      </c>
      <c r="I12" s="47" t="s">
        <v>344</v>
      </c>
      <c r="J12" s="47">
        <v>1</v>
      </c>
      <c r="K12" s="47">
        <v>2</v>
      </c>
      <c r="L12" s="47">
        <v>3</v>
      </c>
      <c r="M12" s="47">
        <v>4</v>
      </c>
      <c r="N12" s="47">
        <v>5</v>
      </c>
      <c r="O12" s="47">
        <v>6</v>
      </c>
      <c r="P12" s="47">
        <v>7</v>
      </c>
      <c r="Q12" s="47">
        <v>8</v>
      </c>
      <c r="R12" s="47">
        <v>9</v>
      </c>
      <c r="S12" s="47">
        <v>10</v>
      </c>
      <c r="T12" s="47">
        <v>11</v>
      </c>
      <c r="U12" s="47">
        <v>12</v>
      </c>
      <c r="V12" s="47">
        <v>13</v>
      </c>
      <c r="W12" s="47">
        <v>14</v>
      </c>
      <c r="X12" s="47">
        <v>15</v>
      </c>
      <c r="Y12" s="47" t="s">
        <v>106</v>
      </c>
      <c r="Z12" s="47" t="s">
        <v>107</v>
      </c>
      <c r="AA12" s="47" t="s">
        <v>108</v>
      </c>
      <c r="AB12" s="47" t="s">
        <v>109</v>
      </c>
      <c r="AC12" s="47" t="s">
        <v>110</v>
      </c>
      <c r="AD12" s="47" t="s">
        <v>111</v>
      </c>
      <c r="AE12" s="47" t="s">
        <v>112</v>
      </c>
      <c r="AF12" s="47" t="s">
        <v>113</v>
      </c>
    </row>
    <row r="13" spans="1:32" ht="14.4" x14ac:dyDescent="0.3">
      <c r="A13" s="49">
        <v>1</v>
      </c>
      <c r="B13" s="49"/>
      <c r="C13" s="49"/>
      <c r="D13" s="49"/>
      <c r="E13" s="49"/>
      <c r="F13" s="49"/>
      <c r="G13" s="50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51" t="str">
        <f t="shared" ref="Y13:Y28" si="0">IF(B13&lt;&gt;"",SUM(J13:X13),"")</f>
        <v/>
      </c>
      <c r="Z13" s="51" t="str">
        <f t="shared" ref="Z13:Z28" si="1">IF(B13&lt;&gt;"",COUNTA(J13:X13),"")</f>
        <v/>
      </c>
      <c r="AA13" s="52" t="str">
        <f>IF(B13&lt;&gt;"",SUM(J13:X13)/40,"")</f>
        <v/>
      </c>
      <c r="AB13" s="49" t="str">
        <f>IF(AA13="","",IF(AA13&gt;=80%,"Certificado","No certificado"))</f>
        <v/>
      </c>
      <c r="AC13" s="49"/>
      <c r="AD13" s="49"/>
      <c r="AE13" s="54"/>
      <c r="AF13" s="49" t="str">
        <f>IF(B13="","",IF(AND(AA13&gt;=0.8,AE13&gt;=3),"Aprobado","No aprobado"))</f>
        <v/>
      </c>
    </row>
    <row r="14" spans="1:32" ht="14.4" x14ac:dyDescent="0.3">
      <c r="A14" s="49">
        <v>2</v>
      </c>
      <c r="B14" s="49"/>
      <c r="C14" s="49"/>
      <c r="D14" s="49"/>
      <c r="E14" s="49"/>
      <c r="F14" s="49"/>
      <c r="G14" s="50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51" t="str">
        <f t="shared" si="0"/>
        <v/>
      </c>
      <c r="Z14" s="51" t="str">
        <f t="shared" si="1"/>
        <v/>
      </c>
      <c r="AA14" s="52" t="str">
        <f t="shared" ref="AA14:AA28" si="2">IF(B14&lt;&gt;"",SUM(J14:X14)/40,"")</f>
        <v/>
      </c>
      <c r="AB14" s="49" t="str">
        <f t="shared" ref="AB14:AB28" si="3">IF(AA14="","",IF(AA14&gt;=80%,"Certificado","No certificado"))</f>
        <v/>
      </c>
      <c r="AC14" s="49"/>
      <c r="AD14" s="49"/>
      <c r="AE14" s="54"/>
      <c r="AF14" s="49" t="str">
        <f t="shared" ref="AF14:AF28" si="4">IF(B14="","",IF(AND(AA14&gt;=0.8,AE14&gt;=3),"Aprobado","No aprobado"))</f>
        <v/>
      </c>
    </row>
    <row r="15" spans="1:32" ht="14.4" x14ac:dyDescent="0.3">
      <c r="A15" s="49">
        <v>3</v>
      </c>
      <c r="B15" s="49"/>
      <c r="C15" s="49"/>
      <c r="D15" s="49"/>
      <c r="E15" s="49"/>
      <c r="F15" s="49"/>
      <c r="G15" s="50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51" t="str">
        <f t="shared" si="0"/>
        <v/>
      </c>
      <c r="Z15" s="51" t="str">
        <f t="shared" si="1"/>
        <v/>
      </c>
      <c r="AA15" s="52" t="str">
        <f t="shared" si="2"/>
        <v/>
      </c>
      <c r="AB15" s="49" t="str">
        <f t="shared" si="3"/>
        <v/>
      </c>
      <c r="AC15" s="49"/>
      <c r="AD15" s="49"/>
      <c r="AE15" s="54"/>
      <c r="AF15" s="49" t="str">
        <f t="shared" si="4"/>
        <v/>
      </c>
    </row>
    <row r="16" spans="1:32" ht="14.4" x14ac:dyDescent="0.3">
      <c r="A16" s="49">
        <v>4</v>
      </c>
      <c r="B16" s="49"/>
      <c r="C16" s="49"/>
      <c r="D16" s="49"/>
      <c r="E16" s="49"/>
      <c r="F16" s="49"/>
      <c r="G16" s="50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51" t="str">
        <f t="shared" si="0"/>
        <v/>
      </c>
      <c r="Z16" s="51" t="str">
        <f t="shared" si="1"/>
        <v/>
      </c>
      <c r="AA16" s="52" t="str">
        <f t="shared" si="2"/>
        <v/>
      </c>
      <c r="AB16" s="49" t="str">
        <f t="shared" si="3"/>
        <v/>
      </c>
      <c r="AC16" s="49"/>
      <c r="AD16" s="49"/>
      <c r="AE16" s="54"/>
      <c r="AF16" s="49" t="str">
        <f t="shared" si="4"/>
        <v/>
      </c>
    </row>
    <row r="17" spans="1:32" ht="14.4" x14ac:dyDescent="0.3">
      <c r="A17" s="49">
        <v>5</v>
      </c>
      <c r="B17" s="49"/>
      <c r="C17" s="49"/>
      <c r="D17" s="49"/>
      <c r="E17" s="49"/>
      <c r="F17" s="49"/>
      <c r="G17" s="50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51" t="str">
        <f t="shared" si="0"/>
        <v/>
      </c>
      <c r="Z17" s="51" t="str">
        <f t="shared" si="1"/>
        <v/>
      </c>
      <c r="AA17" s="52" t="str">
        <f t="shared" si="2"/>
        <v/>
      </c>
      <c r="AB17" s="49" t="str">
        <f t="shared" si="3"/>
        <v/>
      </c>
      <c r="AC17" s="49"/>
      <c r="AD17" s="49"/>
      <c r="AE17" s="54"/>
      <c r="AF17" s="49" t="str">
        <f t="shared" si="4"/>
        <v/>
      </c>
    </row>
    <row r="18" spans="1:32" ht="14.4" x14ac:dyDescent="0.3">
      <c r="A18" s="49">
        <v>6</v>
      </c>
      <c r="B18" s="49"/>
      <c r="C18" s="49"/>
      <c r="D18" s="49"/>
      <c r="E18" s="49"/>
      <c r="F18" s="49"/>
      <c r="G18" s="50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51" t="str">
        <f t="shared" si="0"/>
        <v/>
      </c>
      <c r="Z18" s="51" t="str">
        <f t="shared" si="1"/>
        <v/>
      </c>
      <c r="AA18" s="52" t="str">
        <f t="shared" si="2"/>
        <v/>
      </c>
      <c r="AB18" s="49" t="str">
        <f t="shared" si="3"/>
        <v/>
      </c>
      <c r="AC18" s="49"/>
      <c r="AD18" s="49"/>
      <c r="AE18" s="54"/>
      <c r="AF18" s="49" t="str">
        <f t="shared" si="4"/>
        <v/>
      </c>
    </row>
    <row r="19" spans="1:32" ht="14.4" x14ac:dyDescent="0.3">
      <c r="A19" s="49">
        <v>7</v>
      </c>
      <c r="B19" s="49"/>
      <c r="C19" s="49"/>
      <c r="D19" s="49"/>
      <c r="E19" s="49"/>
      <c r="F19" s="49"/>
      <c r="G19" s="50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51" t="str">
        <f t="shared" si="0"/>
        <v/>
      </c>
      <c r="Z19" s="51" t="str">
        <f t="shared" si="1"/>
        <v/>
      </c>
      <c r="AA19" s="52" t="str">
        <f t="shared" si="2"/>
        <v/>
      </c>
      <c r="AB19" s="49" t="str">
        <f t="shared" si="3"/>
        <v/>
      </c>
      <c r="AC19" s="49"/>
      <c r="AD19" s="49"/>
      <c r="AE19" s="54"/>
      <c r="AF19" s="49" t="str">
        <f t="shared" si="4"/>
        <v/>
      </c>
    </row>
    <row r="20" spans="1:32" ht="14.4" x14ac:dyDescent="0.3">
      <c r="A20" s="49">
        <v>8</v>
      </c>
      <c r="B20" s="49"/>
      <c r="C20" s="49"/>
      <c r="D20" s="49"/>
      <c r="E20" s="49"/>
      <c r="F20" s="49"/>
      <c r="G20" s="50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51" t="str">
        <f t="shared" si="0"/>
        <v/>
      </c>
      <c r="Z20" s="51" t="str">
        <f t="shared" si="1"/>
        <v/>
      </c>
      <c r="AA20" s="52" t="str">
        <f t="shared" si="2"/>
        <v/>
      </c>
      <c r="AB20" s="49" t="str">
        <f t="shared" si="3"/>
        <v/>
      </c>
      <c r="AC20" s="49"/>
      <c r="AD20" s="49"/>
      <c r="AE20" s="54"/>
      <c r="AF20" s="49" t="str">
        <f t="shared" si="4"/>
        <v/>
      </c>
    </row>
    <row r="21" spans="1:32" ht="14.4" x14ac:dyDescent="0.3">
      <c r="A21" s="49">
        <v>9</v>
      </c>
      <c r="B21" s="49"/>
      <c r="C21" s="49"/>
      <c r="D21" s="49"/>
      <c r="E21" s="49"/>
      <c r="F21" s="49"/>
      <c r="G21" s="50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51" t="str">
        <f t="shared" si="0"/>
        <v/>
      </c>
      <c r="Z21" s="51" t="str">
        <f t="shared" si="1"/>
        <v/>
      </c>
      <c r="AA21" s="52" t="str">
        <f t="shared" si="2"/>
        <v/>
      </c>
      <c r="AB21" s="49" t="str">
        <f t="shared" si="3"/>
        <v/>
      </c>
      <c r="AC21" s="49"/>
      <c r="AD21" s="49"/>
      <c r="AE21" s="54"/>
      <c r="AF21" s="49" t="str">
        <f t="shared" si="4"/>
        <v/>
      </c>
    </row>
    <row r="22" spans="1:32" ht="14.4" x14ac:dyDescent="0.3">
      <c r="A22" s="49">
        <v>10</v>
      </c>
      <c r="B22" s="49"/>
      <c r="C22" s="49"/>
      <c r="D22" s="49"/>
      <c r="E22" s="49"/>
      <c r="F22" s="49"/>
      <c r="G22" s="50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51" t="str">
        <f t="shared" si="0"/>
        <v/>
      </c>
      <c r="Z22" s="51" t="str">
        <f t="shared" si="1"/>
        <v/>
      </c>
      <c r="AA22" s="52" t="str">
        <f t="shared" si="2"/>
        <v/>
      </c>
      <c r="AB22" s="49" t="str">
        <f t="shared" si="3"/>
        <v/>
      </c>
      <c r="AC22" s="49"/>
      <c r="AD22" s="49"/>
      <c r="AE22" s="54"/>
      <c r="AF22" s="49" t="str">
        <f t="shared" si="4"/>
        <v/>
      </c>
    </row>
    <row r="23" spans="1:32" ht="14.4" x14ac:dyDescent="0.3">
      <c r="A23" s="49">
        <v>11</v>
      </c>
      <c r="B23" s="49"/>
      <c r="C23" s="49"/>
      <c r="D23" s="49"/>
      <c r="E23" s="49"/>
      <c r="F23" s="49"/>
      <c r="G23" s="50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51" t="str">
        <f t="shared" si="0"/>
        <v/>
      </c>
      <c r="Z23" s="51" t="str">
        <f t="shared" si="1"/>
        <v/>
      </c>
      <c r="AA23" s="52" t="str">
        <f t="shared" si="2"/>
        <v/>
      </c>
      <c r="AB23" s="49" t="str">
        <f t="shared" si="3"/>
        <v/>
      </c>
      <c r="AC23" s="49"/>
      <c r="AD23" s="49"/>
      <c r="AE23" s="54"/>
      <c r="AF23" s="49" t="str">
        <f t="shared" si="4"/>
        <v/>
      </c>
    </row>
    <row r="24" spans="1:32" ht="14.4" x14ac:dyDescent="0.3">
      <c r="A24" s="49">
        <v>12</v>
      </c>
      <c r="B24" s="49"/>
      <c r="C24" s="49"/>
      <c r="D24" s="49"/>
      <c r="E24" s="49"/>
      <c r="F24" s="49"/>
      <c r="G24" s="50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51" t="str">
        <f t="shared" si="0"/>
        <v/>
      </c>
      <c r="Z24" s="51" t="str">
        <f t="shared" si="1"/>
        <v/>
      </c>
      <c r="AA24" s="52" t="str">
        <f t="shared" si="2"/>
        <v/>
      </c>
      <c r="AB24" s="49" t="str">
        <f t="shared" si="3"/>
        <v/>
      </c>
      <c r="AC24" s="49"/>
      <c r="AD24" s="49"/>
      <c r="AE24" s="54"/>
      <c r="AF24" s="49" t="str">
        <f t="shared" si="4"/>
        <v/>
      </c>
    </row>
    <row r="25" spans="1:32" ht="14.4" x14ac:dyDescent="0.3">
      <c r="A25" s="49">
        <v>13</v>
      </c>
      <c r="B25" s="49"/>
      <c r="C25" s="49"/>
      <c r="D25" s="49"/>
      <c r="E25" s="49"/>
      <c r="F25" s="49"/>
      <c r="G25" s="50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51" t="str">
        <f t="shared" si="0"/>
        <v/>
      </c>
      <c r="Z25" s="51" t="str">
        <f t="shared" si="1"/>
        <v/>
      </c>
      <c r="AA25" s="52" t="str">
        <f t="shared" si="2"/>
        <v/>
      </c>
      <c r="AB25" s="49" t="str">
        <f t="shared" si="3"/>
        <v/>
      </c>
      <c r="AC25" s="49"/>
      <c r="AD25" s="49"/>
      <c r="AE25" s="54"/>
      <c r="AF25" s="49" t="str">
        <f t="shared" si="4"/>
        <v/>
      </c>
    </row>
    <row r="26" spans="1:32" ht="14.4" x14ac:dyDescent="0.3">
      <c r="A26" s="49">
        <v>14</v>
      </c>
      <c r="B26" s="49"/>
      <c r="C26" s="49"/>
      <c r="D26" s="49"/>
      <c r="E26" s="49"/>
      <c r="F26" s="49"/>
      <c r="G26" s="50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51" t="str">
        <f t="shared" si="0"/>
        <v/>
      </c>
      <c r="Z26" s="51" t="str">
        <f t="shared" si="1"/>
        <v/>
      </c>
      <c r="AA26" s="52" t="str">
        <f t="shared" si="2"/>
        <v/>
      </c>
      <c r="AB26" s="49" t="str">
        <f t="shared" si="3"/>
        <v/>
      </c>
      <c r="AC26" s="49"/>
      <c r="AD26" s="49"/>
      <c r="AE26" s="54"/>
      <c r="AF26" s="49" t="str">
        <f t="shared" si="4"/>
        <v/>
      </c>
    </row>
    <row r="27" spans="1:32" ht="14.4" x14ac:dyDescent="0.3">
      <c r="A27" s="49">
        <v>15</v>
      </c>
      <c r="B27" s="49"/>
      <c r="C27" s="49"/>
      <c r="D27" s="49"/>
      <c r="E27" s="49"/>
      <c r="F27" s="49"/>
      <c r="G27" s="50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51" t="str">
        <f t="shared" si="0"/>
        <v/>
      </c>
      <c r="Z27" s="51" t="str">
        <f t="shared" si="1"/>
        <v/>
      </c>
      <c r="AA27" s="52" t="str">
        <f t="shared" si="2"/>
        <v/>
      </c>
      <c r="AB27" s="49" t="str">
        <f t="shared" si="3"/>
        <v/>
      </c>
      <c r="AC27" s="49"/>
      <c r="AD27" s="49"/>
      <c r="AE27" s="54"/>
      <c r="AF27" s="49" t="str">
        <f t="shared" si="4"/>
        <v/>
      </c>
    </row>
    <row r="28" spans="1:32" ht="14.4" x14ac:dyDescent="0.3">
      <c r="A28" s="49">
        <v>16</v>
      </c>
      <c r="B28" s="49"/>
      <c r="C28" s="49"/>
      <c r="D28" s="49"/>
      <c r="E28" s="49"/>
      <c r="F28" s="49"/>
      <c r="G28" s="50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51" t="str">
        <f t="shared" si="0"/>
        <v/>
      </c>
      <c r="Z28" s="51" t="str">
        <f t="shared" si="1"/>
        <v/>
      </c>
      <c r="AA28" s="52" t="str">
        <f t="shared" si="2"/>
        <v/>
      </c>
      <c r="AB28" s="49" t="str">
        <f t="shared" si="3"/>
        <v/>
      </c>
      <c r="AC28" s="49"/>
      <c r="AD28" s="49"/>
      <c r="AE28" s="54"/>
      <c r="AF28" s="49" t="str">
        <f t="shared" si="4"/>
        <v/>
      </c>
    </row>
    <row r="29" spans="1:32" ht="48.75" customHeight="1" x14ac:dyDescent="0.3">
      <c r="A29" s="142" t="s">
        <v>127</v>
      </c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4"/>
    </row>
  </sheetData>
  <mergeCells count="26">
    <mergeCell ref="A6:AF6"/>
    <mergeCell ref="A1:H4"/>
    <mergeCell ref="I1:Z4"/>
    <mergeCell ref="AA1:AF2"/>
    <mergeCell ref="AA3:AF4"/>
    <mergeCell ref="A5:AF5"/>
    <mergeCell ref="A7:AF7"/>
    <mergeCell ref="A8:AF8"/>
    <mergeCell ref="A9:D9"/>
    <mergeCell ref="E9:I9"/>
    <mergeCell ref="J9:Q9"/>
    <mergeCell ref="R9:X9"/>
    <mergeCell ref="Y9:AB9"/>
    <mergeCell ref="AC9:AF9"/>
    <mergeCell ref="A29:AF29"/>
    <mergeCell ref="A10:B10"/>
    <mergeCell ref="G10:I10"/>
    <mergeCell ref="J10:Q10"/>
    <mergeCell ref="R10:X10"/>
    <mergeCell ref="Y10:Z10"/>
    <mergeCell ref="AA10:AB10"/>
    <mergeCell ref="AD10:AF10"/>
    <mergeCell ref="A11:I11"/>
    <mergeCell ref="J11:X11"/>
    <mergeCell ref="Y11:AB11"/>
    <mergeCell ref="AC11:AF11"/>
  </mergeCells>
  <dataValidations count="2">
    <dataValidation type="list" allowBlank="1" showErrorMessage="1" sqref="I13:I28" xr:uid="{C1B34857-034A-4FED-8F01-B633AF77C3C8}">
      <formula1>"M,F"</formula1>
    </dataValidation>
    <dataValidation type="list" allowBlank="1" showErrorMessage="1" sqref="C13:D28" xr:uid="{6936DBBC-DB90-4DA8-BDF3-F17D35DD62C7}">
      <formula1>"Contratista,Planta"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7F768-44DD-48E5-A42A-10AC97DB6B10}">
  <sheetPr>
    <tabColor rgb="FF00B050"/>
    <outlinePr summaryBelow="0" summaryRight="0"/>
  </sheetPr>
  <dimension ref="A1:BB24"/>
  <sheetViews>
    <sheetView topLeftCell="A6" workbookViewId="0">
      <selection activeCell="F16" sqref="F16"/>
    </sheetView>
  </sheetViews>
  <sheetFormatPr baseColWidth="10" defaultColWidth="12.5546875" defaultRowHeight="15.75" customHeight="1" x14ac:dyDescent="0.3"/>
  <cols>
    <col min="1" max="1" width="12.5546875" style="44"/>
    <col min="2" max="2" width="38.109375" style="44" customWidth="1"/>
    <col min="3" max="3" width="15.88671875" style="44" customWidth="1"/>
    <col min="4" max="4" width="34.6640625" style="44" customWidth="1"/>
    <col min="5" max="6" width="25.5546875" style="44" customWidth="1"/>
    <col min="7" max="21" width="12.5546875" style="44"/>
    <col min="22" max="22" width="20.33203125" style="44" customWidth="1"/>
    <col min="23" max="23" width="19" style="44" customWidth="1"/>
    <col min="24" max="24" width="13.88671875" style="44" customWidth="1"/>
    <col min="25" max="25" width="20.77734375" style="44" customWidth="1"/>
    <col min="26" max="28" width="12.5546875" style="44"/>
    <col min="29" max="29" width="13.77734375" style="44" customWidth="1"/>
    <col min="30" max="30" width="57.109375" style="44" customWidth="1"/>
    <col min="31" max="31" width="24.21875" style="44" customWidth="1"/>
    <col min="32" max="32" width="30.6640625" style="44" customWidth="1"/>
    <col min="33" max="33" width="37.44140625" style="44" customWidth="1"/>
    <col min="34" max="34" width="57.109375" style="44" customWidth="1"/>
    <col min="35" max="35" width="35.33203125" style="44" customWidth="1"/>
    <col min="36" max="36" width="57.109375" style="44" customWidth="1"/>
    <col min="37" max="37" width="53.33203125" style="44" customWidth="1"/>
    <col min="38" max="38" width="39.6640625" style="44" customWidth="1"/>
    <col min="39" max="39" width="34.44140625" style="44" customWidth="1"/>
    <col min="40" max="40" width="36.5546875" style="44" customWidth="1"/>
    <col min="41" max="41" width="23.77734375" style="44" customWidth="1"/>
    <col min="42" max="42" width="21.44140625" style="44" customWidth="1"/>
    <col min="43" max="43" width="22.88671875" style="44" customWidth="1"/>
    <col min="44" max="44" width="35" style="44" customWidth="1"/>
    <col min="45" max="45" width="28.88671875" style="44" customWidth="1"/>
    <col min="46" max="46" width="24.77734375" style="44" customWidth="1"/>
    <col min="47" max="47" width="45.88671875" style="44" customWidth="1"/>
    <col min="48" max="48" width="35.77734375" style="44" customWidth="1"/>
    <col min="49" max="49" width="56.21875" style="44" customWidth="1"/>
    <col min="50" max="50" width="51.88671875" style="44" customWidth="1"/>
    <col min="51" max="51" width="57.109375" style="44" customWidth="1"/>
    <col min="52" max="52" width="46.5546875" style="44" customWidth="1"/>
    <col min="53" max="53" width="29.5546875" style="44" customWidth="1"/>
    <col min="54" max="16384" width="12.5546875" style="44"/>
  </cols>
  <sheetData>
    <row r="1" spans="1:54" ht="14.4" x14ac:dyDescent="0.3">
      <c r="A1" s="156" t="s">
        <v>80</v>
      </c>
      <c r="B1" s="157"/>
      <c r="C1" s="157"/>
      <c r="D1" s="157"/>
      <c r="E1" s="157"/>
      <c r="F1" s="157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2"/>
      <c r="X1" s="156" t="s">
        <v>81</v>
      </c>
      <c r="Y1" s="157"/>
      <c r="Z1" s="157"/>
      <c r="AA1" s="157"/>
      <c r="AB1" s="157"/>
      <c r="AC1" s="167"/>
    </row>
    <row r="2" spans="1:54" ht="14.4" x14ac:dyDescent="0.3">
      <c r="A2" s="158"/>
      <c r="B2" s="159"/>
      <c r="C2" s="159"/>
      <c r="D2" s="159"/>
      <c r="E2" s="159"/>
      <c r="F2" s="159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4"/>
      <c r="X2" s="160"/>
      <c r="Y2" s="148"/>
      <c r="Z2" s="148"/>
      <c r="AA2" s="148"/>
      <c r="AB2" s="148"/>
      <c r="AC2" s="168"/>
    </row>
    <row r="3" spans="1:54" ht="14.4" x14ac:dyDescent="0.3">
      <c r="A3" s="158"/>
      <c r="B3" s="159"/>
      <c r="C3" s="159"/>
      <c r="D3" s="159"/>
      <c r="E3" s="159"/>
      <c r="F3" s="159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4"/>
      <c r="X3" s="156" t="s">
        <v>82</v>
      </c>
      <c r="Y3" s="157"/>
      <c r="Z3" s="157"/>
      <c r="AA3" s="157"/>
      <c r="AB3" s="157"/>
      <c r="AC3" s="167"/>
    </row>
    <row r="4" spans="1:54" ht="14.4" x14ac:dyDescent="0.3">
      <c r="A4" s="160"/>
      <c r="B4" s="148"/>
      <c r="C4" s="148"/>
      <c r="D4" s="148"/>
      <c r="E4" s="148"/>
      <c r="F4" s="148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6"/>
      <c r="X4" s="160"/>
      <c r="Y4" s="148"/>
      <c r="Z4" s="148"/>
      <c r="AA4" s="148"/>
      <c r="AB4" s="148"/>
      <c r="AC4" s="168"/>
    </row>
    <row r="5" spans="1:54" ht="22.5" customHeight="1" x14ac:dyDescent="0.3">
      <c r="A5" s="155" t="s">
        <v>83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4"/>
    </row>
    <row r="6" spans="1:54" ht="22.5" customHeight="1" x14ac:dyDescent="0.3">
      <c r="A6" s="155" t="s">
        <v>84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4"/>
    </row>
    <row r="7" spans="1:54" ht="14.4" x14ac:dyDescent="0.3">
      <c r="A7" s="145" t="s">
        <v>85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4"/>
    </row>
    <row r="8" spans="1:54" ht="33.75" customHeight="1" x14ac:dyDescent="0.3">
      <c r="A8" s="150" t="s">
        <v>345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57"/>
      <c r="P8" s="157"/>
      <c r="Q8" s="157"/>
      <c r="R8" s="157"/>
      <c r="S8" s="157"/>
      <c r="T8" s="157"/>
      <c r="U8" s="157"/>
      <c r="V8" s="143"/>
      <c r="W8" s="143"/>
      <c r="X8" s="143"/>
      <c r="Y8" s="143"/>
      <c r="Z8" s="143"/>
      <c r="AA8" s="143"/>
      <c r="AB8" s="143"/>
      <c r="AC8" s="144"/>
    </row>
    <row r="9" spans="1:54" ht="33.75" customHeight="1" x14ac:dyDescent="0.3">
      <c r="A9" s="145" t="s">
        <v>87</v>
      </c>
      <c r="B9" s="143"/>
      <c r="C9" s="143"/>
      <c r="D9" s="144"/>
      <c r="E9" s="150" t="str">
        <f>'Formato Cronograma'!F13</f>
        <v>Olga Lucía Quintero Sierra</v>
      </c>
      <c r="F9" s="151"/>
      <c r="G9" s="145" t="s">
        <v>88</v>
      </c>
      <c r="H9" s="149"/>
      <c r="I9" s="149"/>
      <c r="J9" s="149"/>
      <c r="K9" s="149"/>
      <c r="L9" s="149"/>
      <c r="M9" s="149"/>
      <c r="N9" s="149"/>
      <c r="O9" s="169" t="s">
        <v>89</v>
      </c>
      <c r="P9" s="169"/>
      <c r="Q9" s="169"/>
      <c r="R9" s="169"/>
      <c r="S9" s="169"/>
      <c r="T9" s="169"/>
      <c r="U9" s="169"/>
      <c r="V9" s="149" t="s">
        <v>90</v>
      </c>
      <c r="W9" s="143"/>
      <c r="X9" s="143"/>
      <c r="Y9" s="144"/>
      <c r="Z9" s="152" t="s">
        <v>91</v>
      </c>
      <c r="AA9" s="153"/>
      <c r="AB9" s="153"/>
      <c r="AC9" s="154"/>
    </row>
    <row r="10" spans="1:54" ht="33.75" customHeight="1" x14ac:dyDescent="0.3">
      <c r="A10" s="145" t="s">
        <v>92</v>
      </c>
      <c r="B10" s="144"/>
      <c r="C10" s="46">
        <f>'Formato Cronograma'!K13</f>
        <v>46156</v>
      </c>
      <c r="D10" s="145" t="s">
        <v>93</v>
      </c>
      <c r="E10" s="171"/>
      <c r="F10" s="48">
        <f>'Formato Cronograma'!L13</f>
        <v>46217</v>
      </c>
      <c r="G10" s="147">
        <v>2</v>
      </c>
      <c r="H10" s="146"/>
      <c r="I10" s="146"/>
      <c r="J10" s="146"/>
      <c r="K10" s="146"/>
      <c r="L10" s="146"/>
      <c r="M10" s="146"/>
      <c r="N10" s="146"/>
      <c r="O10" s="170">
        <v>13</v>
      </c>
      <c r="P10" s="170"/>
      <c r="Q10" s="170"/>
      <c r="R10" s="170"/>
      <c r="S10" s="170"/>
      <c r="T10" s="170"/>
      <c r="U10" s="170"/>
      <c r="V10" s="149" t="s">
        <v>129</v>
      </c>
      <c r="W10" s="144"/>
      <c r="X10" s="147">
        <v>32</v>
      </c>
      <c r="Y10" s="144"/>
      <c r="Z10" s="45" t="s">
        <v>95</v>
      </c>
      <c r="AA10" s="147">
        <v>62742</v>
      </c>
      <c r="AB10" s="143"/>
      <c r="AC10" s="144"/>
      <c r="AD10" s="172" t="s">
        <v>139</v>
      </c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</row>
    <row r="11" spans="1:54" ht="14.4" x14ac:dyDescent="0.3">
      <c r="A11" s="145" t="s">
        <v>96</v>
      </c>
      <c r="B11" s="143"/>
      <c r="C11" s="143"/>
      <c r="D11" s="143"/>
      <c r="E11" s="143"/>
      <c r="F11" s="148"/>
      <c r="G11" s="145" t="s">
        <v>97</v>
      </c>
      <c r="H11" s="143"/>
      <c r="I11" s="143"/>
      <c r="J11" s="143"/>
      <c r="K11" s="143"/>
      <c r="L11" s="143"/>
      <c r="M11" s="143"/>
      <c r="N11" s="143"/>
      <c r="O11" s="148"/>
      <c r="P11" s="148"/>
      <c r="Q11" s="148"/>
      <c r="R11" s="148"/>
      <c r="S11" s="148"/>
      <c r="T11" s="148"/>
      <c r="U11" s="148"/>
      <c r="V11" s="145" t="s">
        <v>98</v>
      </c>
      <c r="W11" s="143"/>
      <c r="X11" s="143"/>
      <c r="Y11" s="144"/>
      <c r="Z11" s="145" t="s">
        <v>99</v>
      </c>
      <c r="AA11" s="143"/>
      <c r="AB11" s="143"/>
      <c r="AC11" s="144"/>
      <c r="AD11" s="173" t="s">
        <v>239</v>
      </c>
      <c r="AE11" s="174"/>
      <c r="AF11" s="174"/>
      <c r="AG11" s="174"/>
      <c r="AH11" s="174"/>
      <c r="AI11" s="175"/>
      <c r="AJ11" s="173" t="s">
        <v>142</v>
      </c>
      <c r="AK11" s="174"/>
      <c r="AL11" s="175"/>
      <c r="AM11" s="173" t="s">
        <v>143</v>
      </c>
      <c r="AN11" s="174"/>
      <c r="AO11" s="174"/>
      <c r="AP11" s="174"/>
      <c r="AQ11" s="174"/>
      <c r="AR11" s="174"/>
      <c r="AS11" s="174"/>
      <c r="AT11" s="174"/>
      <c r="AU11" s="174"/>
      <c r="AV11" s="175"/>
      <c r="AW11" s="173" t="s">
        <v>144</v>
      </c>
      <c r="AX11" s="174"/>
      <c r="AY11" s="174"/>
      <c r="AZ11" s="174"/>
      <c r="BA11" s="175"/>
      <c r="BB11" s="98" t="s">
        <v>145</v>
      </c>
    </row>
    <row r="12" spans="1:54" s="68" customFormat="1" ht="27.6" x14ac:dyDescent="0.3">
      <c r="A12" s="65" t="s">
        <v>100</v>
      </c>
      <c r="B12" s="65" t="s">
        <v>101</v>
      </c>
      <c r="C12" s="65" t="s">
        <v>102</v>
      </c>
      <c r="D12" s="65" t="s">
        <v>103</v>
      </c>
      <c r="E12" s="65" t="s">
        <v>104</v>
      </c>
      <c r="F12" s="65" t="s">
        <v>105</v>
      </c>
      <c r="G12" s="65" t="s">
        <v>240</v>
      </c>
      <c r="H12" s="65" t="s">
        <v>241</v>
      </c>
      <c r="I12" s="65" t="s">
        <v>242</v>
      </c>
      <c r="J12" s="65" t="s">
        <v>243</v>
      </c>
      <c r="K12" s="65" t="s">
        <v>244</v>
      </c>
      <c r="L12" s="65" t="s">
        <v>245</v>
      </c>
      <c r="M12" s="65" t="s">
        <v>246</v>
      </c>
      <c r="N12" s="65" t="s">
        <v>247</v>
      </c>
      <c r="O12" s="65" t="s">
        <v>248</v>
      </c>
      <c r="P12" s="65" t="s">
        <v>249</v>
      </c>
      <c r="Q12" s="65" t="s">
        <v>250</v>
      </c>
      <c r="R12" s="65" t="s">
        <v>251</v>
      </c>
      <c r="S12" s="65" t="s">
        <v>252</v>
      </c>
      <c r="T12" s="65" t="s">
        <v>253</v>
      </c>
      <c r="U12" s="65" t="s">
        <v>391</v>
      </c>
      <c r="V12" s="65" t="s">
        <v>106</v>
      </c>
      <c r="W12" s="65" t="s">
        <v>107</v>
      </c>
      <c r="X12" s="65" t="s">
        <v>108</v>
      </c>
      <c r="Y12" s="65" t="s">
        <v>109</v>
      </c>
      <c r="Z12" s="65" t="s">
        <v>110</v>
      </c>
      <c r="AA12" s="65" t="s">
        <v>111</v>
      </c>
      <c r="AB12" s="65" t="s">
        <v>112</v>
      </c>
      <c r="AC12" s="65" t="s">
        <v>113</v>
      </c>
      <c r="AD12" s="84" t="s">
        <v>146</v>
      </c>
      <c r="AE12" s="84" t="s">
        <v>147</v>
      </c>
      <c r="AF12" s="84" t="s">
        <v>148</v>
      </c>
      <c r="AG12" s="84" t="s">
        <v>149</v>
      </c>
      <c r="AH12" s="84" t="s">
        <v>150</v>
      </c>
      <c r="AI12" s="84" t="s">
        <v>151</v>
      </c>
      <c r="AJ12" s="84" t="s">
        <v>152</v>
      </c>
      <c r="AK12" s="84" t="s">
        <v>153</v>
      </c>
      <c r="AL12" s="84" t="s">
        <v>154</v>
      </c>
      <c r="AM12" s="84" t="s">
        <v>155</v>
      </c>
      <c r="AN12" s="84" t="s">
        <v>156</v>
      </c>
      <c r="AO12" s="84" t="s">
        <v>157</v>
      </c>
      <c r="AP12" s="84" t="s">
        <v>158</v>
      </c>
      <c r="AQ12" s="84" t="s">
        <v>159</v>
      </c>
      <c r="AR12" s="84" t="s">
        <v>160</v>
      </c>
      <c r="AS12" s="84" t="s">
        <v>161</v>
      </c>
      <c r="AT12" s="84" t="s">
        <v>162</v>
      </c>
      <c r="AU12" s="84" t="s">
        <v>163</v>
      </c>
      <c r="AV12" s="84" t="s">
        <v>164</v>
      </c>
      <c r="AW12" s="84" t="s">
        <v>165</v>
      </c>
      <c r="AX12" s="84" t="s">
        <v>166</v>
      </c>
      <c r="AY12" s="84" t="s">
        <v>167</v>
      </c>
      <c r="AZ12" s="84" t="s">
        <v>168</v>
      </c>
      <c r="BA12" s="84" t="s">
        <v>169</v>
      </c>
      <c r="BB12" s="84" t="s">
        <v>170</v>
      </c>
    </row>
    <row r="13" spans="1:54" ht="27.6" x14ac:dyDescent="0.3">
      <c r="A13" s="57">
        <v>1</v>
      </c>
      <c r="B13" s="49" t="s">
        <v>346</v>
      </c>
      <c r="C13" s="55">
        <v>79638866</v>
      </c>
      <c r="D13" s="49" t="s">
        <v>115</v>
      </c>
      <c r="E13" s="49" t="s">
        <v>116</v>
      </c>
      <c r="F13" s="49" t="s">
        <v>117</v>
      </c>
      <c r="G13" s="51">
        <v>3</v>
      </c>
      <c r="H13" s="51">
        <v>2</v>
      </c>
      <c r="I13" s="51">
        <v>2</v>
      </c>
      <c r="J13" s="51">
        <v>2</v>
      </c>
      <c r="K13" s="51">
        <v>2</v>
      </c>
      <c r="L13" s="51">
        <v>2</v>
      </c>
      <c r="M13" s="51">
        <v>2</v>
      </c>
      <c r="N13" s="51">
        <v>2</v>
      </c>
      <c r="O13" s="51">
        <v>2</v>
      </c>
      <c r="P13" s="51">
        <v>2</v>
      </c>
      <c r="Q13" s="51">
        <v>2</v>
      </c>
      <c r="R13" s="51">
        <v>2</v>
      </c>
      <c r="S13" s="51">
        <v>2</v>
      </c>
      <c r="T13" s="51">
        <v>2</v>
      </c>
      <c r="U13" s="51">
        <v>3</v>
      </c>
      <c r="V13" s="51">
        <f t="shared" ref="V13:V23" si="0">IF(B13&lt;&gt;"",SUM(G13:U13),"")</f>
        <v>32</v>
      </c>
      <c r="W13" s="51">
        <f t="shared" ref="W13:W23" si="1">IF(B13&lt;&gt;"",COUNTA(G13:U13),"")</f>
        <v>15</v>
      </c>
      <c r="X13" s="52">
        <f t="shared" ref="X13:X23" si="2">IF(B13&lt;&gt;"",SUM(G13:U13)/32,"")</f>
        <v>1</v>
      </c>
      <c r="Y13" s="49" t="str">
        <f>IF(X13="","",IF(X13&gt;=80%,"Certificado","No certificado"))</f>
        <v>Certificado</v>
      </c>
      <c r="Z13" s="49" t="s">
        <v>172</v>
      </c>
      <c r="AA13" s="49">
        <v>5</v>
      </c>
      <c r="AB13" s="54" t="s">
        <v>347</v>
      </c>
      <c r="AC13" s="49" t="str">
        <f t="shared" ref="AC13:AC23" si="3">IF(B13="","",IF(AND(X13&gt;=0.8,AB13&gt;=3),"Aprobado","No aprobado"))</f>
        <v>Aprobado</v>
      </c>
      <c r="AD13" s="44">
        <v>4</v>
      </c>
      <c r="AE13" s="44">
        <v>5</v>
      </c>
      <c r="AF13" s="44">
        <v>4</v>
      </c>
      <c r="AG13" s="44">
        <v>5</v>
      </c>
      <c r="AH13" s="44">
        <v>5</v>
      </c>
      <c r="AI13" s="44">
        <v>4</v>
      </c>
      <c r="AJ13" s="44">
        <v>5</v>
      </c>
      <c r="AK13" s="44">
        <v>5</v>
      </c>
      <c r="AL13" s="44">
        <v>5</v>
      </c>
      <c r="AM13" s="44">
        <v>5</v>
      </c>
      <c r="AN13" s="44">
        <v>5</v>
      </c>
      <c r="AO13" s="44">
        <v>5</v>
      </c>
      <c r="AP13" s="44">
        <v>5</v>
      </c>
      <c r="AQ13" s="44">
        <v>5</v>
      </c>
      <c r="AR13" s="44">
        <v>5</v>
      </c>
      <c r="AS13" s="44">
        <v>5</v>
      </c>
      <c r="AT13" s="44">
        <v>5</v>
      </c>
      <c r="AU13" s="44">
        <v>5</v>
      </c>
      <c r="AV13" s="44">
        <v>5</v>
      </c>
      <c r="AW13" s="44" t="s">
        <v>348</v>
      </c>
      <c r="AX13" s="44" t="s">
        <v>349</v>
      </c>
      <c r="AY13" s="44" t="s">
        <v>350</v>
      </c>
      <c r="AZ13" s="44" t="s">
        <v>175</v>
      </c>
      <c r="BA13" s="44">
        <v>5</v>
      </c>
      <c r="BB13" s="44">
        <f>AVERAGE(AD13:BA13)</f>
        <v>4.8499999999999996</v>
      </c>
    </row>
    <row r="14" spans="1:54" ht="14.4" x14ac:dyDescent="0.3">
      <c r="A14" s="57">
        <v>2</v>
      </c>
      <c r="B14" s="49" t="s">
        <v>351</v>
      </c>
      <c r="C14" s="55">
        <v>52825355</v>
      </c>
      <c r="D14" s="49" t="s">
        <v>115</v>
      </c>
      <c r="E14" s="49" t="s">
        <v>401</v>
      </c>
      <c r="F14" s="49" t="s">
        <v>352</v>
      </c>
      <c r="G14" s="51">
        <v>3</v>
      </c>
      <c r="H14" s="51">
        <v>2</v>
      </c>
      <c r="I14" s="51">
        <v>2</v>
      </c>
      <c r="J14" s="51">
        <v>2</v>
      </c>
      <c r="K14" s="51">
        <v>2</v>
      </c>
      <c r="L14" s="51">
        <v>2</v>
      </c>
      <c r="M14" s="51">
        <v>2</v>
      </c>
      <c r="N14" s="51">
        <v>2</v>
      </c>
      <c r="O14" s="51">
        <v>2</v>
      </c>
      <c r="P14" s="51">
        <v>2</v>
      </c>
      <c r="Q14" s="51" t="s">
        <v>120</v>
      </c>
      <c r="R14" s="51">
        <v>2</v>
      </c>
      <c r="S14" s="51" t="s">
        <v>120</v>
      </c>
      <c r="T14" s="51">
        <v>2</v>
      </c>
      <c r="U14" s="51">
        <v>3</v>
      </c>
      <c r="V14" s="51">
        <f t="shared" si="0"/>
        <v>28</v>
      </c>
      <c r="W14" s="51">
        <f t="shared" si="1"/>
        <v>15</v>
      </c>
      <c r="X14" s="52">
        <f t="shared" si="2"/>
        <v>0.875</v>
      </c>
      <c r="Y14" s="49" t="str">
        <f t="shared" ref="Y14:Y23" si="4">IF(X14="","",IF(X14&gt;=80%,"Certificado","No certificado"))</f>
        <v>Certificado</v>
      </c>
      <c r="Z14" s="49">
        <v>1</v>
      </c>
      <c r="AA14" s="49" t="s">
        <v>172</v>
      </c>
      <c r="AB14" s="54" t="s">
        <v>347</v>
      </c>
      <c r="AC14" s="49" t="str">
        <f t="shared" si="3"/>
        <v>Aprobado</v>
      </c>
      <c r="AD14" s="44">
        <v>4</v>
      </c>
      <c r="AE14" s="44">
        <v>5</v>
      </c>
      <c r="AF14" s="44">
        <v>4</v>
      </c>
      <c r="AG14" s="44">
        <v>5</v>
      </c>
      <c r="AH14" s="44">
        <v>5</v>
      </c>
      <c r="AI14" s="44">
        <v>4</v>
      </c>
      <c r="AJ14" s="44">
        <v>5</v>
      </c>
      <c r="AK14" s="44">
        <v>5</v>
      </c>
      <c r="AL14" s="44">
        <v>5</v>
      </c>
      <c r="AM14" s="44">
        <v>4</v>
      </c>
      <c r="AN14" s="44">
        <v>4</v>
      </c>
      <c r="AO14" s="44">
        <v>5</v>
      </c>
      <c r="AP14" s="44">
        <v>5</v>
      </c>
      <c r="AQ14" s="44">
        <v>4</v>
      </c>
      <c r="AR14" s="44">
        <v>5</v>
      </c>
      <c r="AS14" s="44">
        <v>5</v>
      </c>
      <c r="AT14" s="44">
        <v>4</v>
      </c>
      <c r="AU14" s="44">
        <v>4</v>
      </c>
      <c r="AV14" s="44">
        <v>4</v>
      </c>
      <c r="AW14" s="44" t="s">
        <v>353</v>
      </c>
      <c r="AX14" s="44" t="s">
        <v>354</v>
      </c>
      <c r="AY14" s="44" t="s">
        <v>355</v>
      </c>
      <c r="AZ14" s="44" t="s">
        <v>175</v>
      </c>
      <c r="BA14" s="44">
        <v>5</v>
      </c>
      <c r="BB14" s="44">
        <f t="shared" ref="BB14:BB23" si="5">AVERAGE(AD14:BA14)</f>
        <v>4.55</v>
      </c>
    </row>
    <row r="15" spans="1:54" ht="27.6" x14ac:dyDescent="0.3">
      <c r="A15" s="57">
        <v>3</v>
      </c>
      <c r="B15" s="49" t="s">
        <v>187</v>
      </c>
      <c r="C15" s="55">
        <v>13928254</v>
      </c>
      <c r="D15" s="49" t="s">
        <v>115</v>
      </c>
      <c r="E15" s="49" t="s">
        <v>125</v>
      </c>
      <c r="F15" s="49" t="s">
        <v>363</v>
      </c>
      <c r="G15" s="51">
        <v>3</v>
      </c>
      <c r="H15" s="51">
        <v>2</v>
      </c>
      <c r="I15" s="51">
        <v>2</v>
      </c>
      <c r="J15" s="51">
        <v>2</v>
      </c>
      <c r="K15" s="51">
        <v>2</v>
      </c>
      <c r="L15" s="51">
        <v>2</v>
      </c>
      <c r="M15" s="51">
        <v>2</v>
      </c>
      <c r="N15" s="51">
        <v>2</v>
      </c>
      <c r="O15" s="51" t="s">
        <v>120</v>
      </c>
      <c r="P15" s="51">
        <v>2</v>
      </c>
      <c r="Q15" s="51">
        <v>2</v>
      </c>
      <c r="R15" s="51">
        <v>2</v>
      </c>
      <c r="S15" s="51" t="s">
        <v>120</v>
      </c>
      <c r="T15" s="51">
        <v>2</v>
      </c>
      <c r="U15" s="51">
        <v>3</v>
      </c>
      <c r="V15" s="51">
        <f t="shared" si="0"/>
        <v>28</v>
      </c>
      <c r="W15" s="51">
        <f t="shared" si="1"/>
        <v>15</v>
      </c>
      <c r="X15" s="52">
        <f t="shared" si="2"/>
        <v>0.875</v>
      </c>
      <c r="Y15" s="49" t="str">
        <f t="shared" si="4"/>
        <v>Certificado</v>
      </c>
      <c r="Z15" s="49">
        <v>2</v>
      </c>
      <c r="AA15" s="49">
        <v>4</v>
      </c>
      <c r="AB15" s="54" t="s">
        <v>347</v>
      </c>
      <c r="AC15" s="49" t="str">
        <f t="shared" si="3"/>
        <v>Aprobado</v>
      </c>
      <c r="AD15" s="44">
        <v>5</v>
      </c>
      <c r="AE15" s="44">
        <v>4</v>
      </c>
      <c r="AF15" s="44">
        <v>4</v>
      </c>
      <c r="AG15" s="44">
        <v>4</v>
      </c>
      <c r="AH15" s="44">
        <v>4</v>
      </c>
      <c r="AI15" s="44">
        <v>4</v>
      </c>
      <c r="AJ15" s="44">
        <v>4</v>
      </c>
      <c r="AK15" s="44">
        <v>4</v>
      </c>
      <c r="AL15" s="44">
        <v>4</v>
      </c>
      <c r="AM15" s="44">
        <v>5</v>
      </c>
      <c r="AN15" s="44">
        <v>5</v>
      </c>
      <c r="AO15" s="44">
        <v>5</v>
      </c>
      <c r="AP15" s="44">
        <v>5</v>
      </c>
      <c r="AQ15" s="44">
        <v>5</v>
      </c>
      <c r="AR15" s="44">
        <v>5</v>
      </c>
      <c r="AS15" s="44">
        <v>5</v>
      </c>
      <c r="AT15" s="44">
        <v>5</v>
      </c>
      <c r="AU15" s="44">
        <v>5</v>
      </c>
      <c r="AV15" s="44">
        <v>5</v>
      </c>
      <c r="AW15" s="44" t="s">
        <v>75</v>
      </c>
      <c r="AX15" s="44" t="s">
        <v>298</v>
      </c>
      <c r="AY15" s="44" t="s">
        <v>356</v>
      </c>
      <c r="AZ15" s="44" t="s">
        <v>175</v>
      </c>
      <c r="BA15" s="44">
        <v>5</v>
      </c>
      <c r="BB15" s="44">
        <f t="shared" si="5"/>
        <v>4.5999999999999996</v>
      </c>
    </row>
    <row r="16" spans="1:54" ht="41.4" x14ac:dyDescent="0.3">
      <c r="A16" s="57">
        <v>4</v>
      </c>
      <c r="B16" s="49" t="s">
        <v>357</v>
      </c>
      <c r="C16" s="55">
        <v>77024676</v>
      </c>
      <c r="D16" s="49" t="s">
        <v>115</v>
      </c>
      <c r="E16" s="49" t="s">
        <v>122</v>
      </c>
      <c r="F16" s="49" t="s">
        <v>117</v>
      </c>
      <c r="G16" s="51" t="s">
        <v>120</v>
      </c>
      <c r="H16" s="51" t="s">
        <v>120</v>
      </c>
      <c r="I16" s="51" t="s">
        <v>120</v>
      </c>
      <c r="J16" s="51" t="s">
        <v>120</v>
      </c>
      <c r="K16" s="51" t="s">
        <v>120</v>
      </c>
      <c r="L16" s="51" t="s">
        <v>120</v>
      </c>
      <c r="M16" s="51" t="s">
        <v>120</v>
      </c>
      <c r="N16" s="51" t="s">
        <v>120</v>
      </c>
      <c r="O16" s="51" t="s">
        <v>120</v>
      </c>
      <c r="P16" s="51" t="s">
        <v>120</v>
      </c>
      <c r="Q16" s="51" t="s">
        <v>120</v>
      </c>
      <c r="R16" s="51" t="s">
        <v>120</v>
      </c>
      <c r="S16" s="51" t="s">
        <v>120</v>
      </c>
      <c r="T16" s="51" t="s">
        <v>120</v>
      </c>
      <c r="U16" s="51" t="s">
        <v>120</v>
      </c>
      <c r="V16" s="51">
        <f t="shared" si="0"/>
        <v>0</v>
      </c>
      <c r="W16" s="51">
        <f t="shared" si="1"/>
        <v>15</v>
      </c>
      <c r="X16" s="52">
        <f t="shared" si="2"/>
        <v>0</v>
      </c>
      <c r="Y16" s="49" t="str">
        <f t="shared" si="4"/>
        <v>No certificado</v>
      </c>
      <c r="Z16" s="49" t="s">
        <v>172</v>
      </c>
      <c r="AA16" s="49" t="s">
        <v>172</v>
      </c>
      <c r="AB16" s="54" t="s">
        <v>172</v>
      </c>
      <c r="AC16" s="49" t="str">
        <f t="shared" si="3"/>
        <v>No aprobado</v>
      </c>
    </row>
    <row r="17" spans="1:54" ht="41.4" x14ac:dyDescent="0.3">
      <c r="A17" s="57">
        <v>5</v>
      </c>
      <c r="B17" s="49" t="s">
        <v>358</v>
      </c>
      <c r="C17" s="55">
        <v>80198045</v>
      </c>
      <c r="D17" s="49" t="s">
        <v>115</v>
      </c>
      <c r="E17" s="49" t="s">
        <v>122</v>
      </c>
      <c r="F17" s="49" t="s">
        <v>117</v>
      </c>
      <c r="G17" s="51">
        <v>3</v>
      </c>
      <c r="H17" s="51">
        <v>2</v>
      </c>
      <c r="I17" s="51">
        <v>2</v>
      </c>
      <c r="J17" s="51">
        <v>2</v>
      </c>
      <c r="K17" s="51">
        <v>2</v>
      </c>
      <c r="L17" s="51">
        <v>2</v>
      </c>
      <c r="M17" s="51">
        <v>2</v>
      </c>
      <c r="N17" s="51">
        <v>2</v>
      </c>
      <c r="O17" s="51">
        <v>2</v>
      </c>
      <c r="P17" s="51" t="s">
        <v>120</v>
      </c>
      <c r="Q17" s="51">
        <v>2</v>
      </c>
      <c r="R17" s="51">
        <v>2</v>
      </c>
      <c r="S17" s="51">
        <v>2</v>
      </c>
      <c r="T17" s="51">
        <v>2</v>
      </c>
      <c r="U17" s="51">
        <v>3</v>
      </c>
      <c r="V17" s="51">
        <f t="shared" si="0"/>
        <v>30</v>
      </c>
      <c r="W17" s="51">
        <f t="shared" si="1"/>
        <v>15</v>
      </c>
      <c r="X17" s="52">
        <f t="shared" si="2"/>
        <v>0.9375</v>
      </c>
      <c r="Y17" s="49" t="str">
        <f t="shared" si="4"/>
        <v>Certificado</v>
      </c>
      <c r="Z17" s="49">
        <v>2</v>
      </c>
      <c r="AA17" s="49">
        <v>5</v>
      </c>
      <c r="AB17" s="54" t="s">
        <v>347</v>
      </c>
      <c r="AC17" s="49" t="str">
        <f t="shared" si="3"/>
        <v>Aprobado</v>
      </c>
      <c r="AD17" s="44">
        <v>5</v>
      </c>
      <c r="AE17" s="44">
        <v>5</v>
      </c>
      <c r="AF17" s="44">
        <v>5</v>
      </c>
      <c r="AG17" s="44">
        <v>5</v>
      </c>
      <c r="AH17" s="44">
        <v>5</v>
      </c>
      <c r="AI17" s="44">
        <v>5</v>
      </c>
      <c r="AJ17" s="44">
        <v>5</v>
      </c>
      <c r="AK17" s="44">
        <v>5</v>
      </c>
      <c r="AL17" s="44">
        <v>5</v>
      </c>
      <c r="AM17" s="44">
        <v>5</v>
      </c>
      <c r="AN17" s="44">
        <v>5</v>
      </c>
      <c r="AO17" s="44">
        <v>4</v>
      </c>
      <c r="AP17" s="44">
        <v>3</v>
      </c>
      <c r="AQ17" s="44">
        <v>4</v>
      </c>
      <c r="AR17" s="44">
        <v>4</v>
      </c>
      <c r="AS17" s="44">
        <v>4</v>
      </c>
      <c r="AT17" s="44">
        <v>4</v>
      </c>
      <c r="AU17" s="44">
        <v>4</v>
      </c>
      <c r="AV17" s="44">
        <v>4</v>
      </c>
      <c r="AW17" s="44" t="s">
        <v>359</v>
      </c>
      <c r="AX17" s="44" t="s">
        <v>360</v>
      </c>
      <c r="AY17" s="44" t="s">
        <v>361</v>
      </c>
      <c r="AZ17" s="44" t="s">
        <v>175</v>
      </c>
      <c r="BA17" s="44">
        <v>4</v>
      </c>
      <c r="BB17" s="44">
        <f t="shared" si="5"/>
        <v>4.5</v>
      </c>
    </row>
    <row r="18" spans="1:54" ht="27.6" x14ac:dyDescent="0.3">
      <c r="A18" s="57">
        <v>6</v>
      </c>
      <c r="B18" s="49" t="s">
        <v>362</v>
      </c>
      <c r="C18" s="55">
        <v>28544562</v>
      </c>
      <c r="D18" s="49" t="s">
        <v>115</v>
      </c>
      <c r="E18" s="49" t="s">
        <v>264</v>
      </c>
      <c r="F18" s="49" t="s">
        <v>363</v>
      </c>
      <c r="G18" s="51">
        <v>3</v>
      </c>
      <c r="H18" s="51">
        <v>2</v>
      </c>
      <c r="I18" s="51">
        <v>2</v>
      </c>
      <c r="J18" s="51">
        <v>2</v>
      </c>
      <c r="K18" s="51">
        <v>2</v>
      </c>
      <c r="L18" s="51">
        <v>2</v>
      </c>
      <c r="M18" s="51">
        <v>2</v>
      </c>
      <c r="N18" s="51">
        <v>2</v>
      </c>
      <c r="O18" s="51">
        <v>2</v>
      </c>
      <c r="P18" s="51">
        <v>2</v>
      </c>
      <c r="Q18" s="51">
        <v>2</v>
      </c>
      <c r="R18" s="51">
        <v>2</v>
      </c>
      <c r="S18" s="51">
        <v>2</v>
      </c>
      <c r="T18" s="51">
        <v>2</v>
      </c>
      <c r="U18" s="51">
        <v>3</v>
      </c>
      <c r="V18" s="51">
        <f t="shared" si="0"/>
        <v>32</v>
      </c>
      <c r="W18" s="51">
        <f t="shared" si="1"/>
        <v>15</v>
      </c>
      <c r="X18" s="52">
        <f t="shared" si="2"/>
        <v>1</v>
      </c>
      <c r="Y18" s="49" t="str">
        <f t="shared" si="4"/>
        <v>Certificado</v>
      </c>
      <c r="Z18" s="49">
        <v>3</v>
      </c>
      <c r="AA18" s="49">
        <v>4</v>
      </c>
      <c r="AB18" s="54" t="s">
        <v>347</v>
      </c>
      <c r="AC18" s="49" t="str">
        <f t="shared" si="3"/>
        <v>Aprobado</v>
      </c>
      <c r="AD18" s="44">
        <v>4</v>
      </c>
      <c r="AE18" s="44">
        <v>5</v>
      </c>
      <c r="AF18" s="44">
        <v>4</v>
      </c>
      <c r="AG18" s="44">
        <v>4</v>
      </c>
      <c r="AH18" s="44">
        <v>4</v>
      </c>
      <c r="AI18" s="44">
        <v>5</v>
      </c>
      <c r="AJ18" s="44">
        <v>4</v>
      </c>
      <c r="AK18" s="44">
        <v>4</v>
      </c>
      <c r="AL18" s="44">
        <v>5</v>
      </c>
      <c r="AM18" s="44">
        <v>5</v>
      </c>
      <c r="AN18" s="44">
        <v>5</v>
      </c>
      <c r="AO18" s="44">
        <v>5</v>
      </c>
      <c r="AP18" s="44">
        <v>5</v>
      </c>
      <c r="AQ18" s="44">
        <v>5</v>
      </c>
      <c r="AR18" s="44">
        <v>5</v>
      </c>
      <c r="AS18" s="44">
        <v>5</v>
      </c>
      <c r="AT18" s="44">
        <v>5</v>
      </c>
      <c r="AU18" s="44">
        <v>5</v>
      </c>
      <c r="AV18" s="44">
        <v>5</v>
      </c>
      <c r="AW18" s="44" t="s">
        <v>206</v>
      </c>
      <c r="AX18" s="44" t="s">
        <v>206</v>
      </c>
      <c r="AY18" s="44" t="s">
        <v>364</v>
      </c>
      <c r="AZ18" s="44" t="s">
        <v>175</v>
      </c>
      <c r="BA18" s="44">
        <v>5</v>
      </c>
      <c r="BB18" s="44">
        <f t="shared" si="5"/>
        <v>4.7</v>
      </c>
    </row>
    <row r="19" spans="1:54" ht="27.6" x14ac:dyDescent="0.3">
      <c r="A19" s="57">
        <v>7</v>
      </c>
      <c r="B19" s="49" t="s">
        <v>365</v>
      </c>
      <c r="C19" s="55">
        <v>1032399404</v>
      </c>
      <c r="D19" s="49" t="s">
        <v>115</v>
      </c>
      <c r="E19" s="49" t="s">
        <v>125</v>
      </c>
      <c r="F19" s="49" t="s">
        <v>117</v>
      </c>
      <c r="G19" s="51">
        <v>3</v>
      </c>
      <c r="H19" s="51">
        <v>2</v>
      </c>
      <c r="I19" s="51">
        <v>2</v>
      </c>
      <c r="J19" s="51">
        <v>2</v>
      </c>
      <c r="K19" s="51">
        <v>2</v>
      </c>
      <c r="L19" s="51">
        <v>2</v>
      </c>
      <c r="M19" s="51">
        <v>2</v>
      </c>
      <c r="N19" s="51">
        <v>2</v>
      </c>
      <c r="O19" s="51">
        <v>2</v>
      </c>
      <c r="P19" s="51">
        <v>2</v>
      </c>
      <c r="Q19" s="51">
        <v>2</v>
      </c>
      <c r="R19" s="51">
        <v>2</v>
      </c>
      <c r="S19" s="51">
        <v>2</v>
      </c>
      <c r="T19" s="51">
        <v>2</v>
      </c>
      <c r="U19" s="51">
        <v>3</v>
      </c>
      <c r="V19" s="51">
        <f t="shared" si="0"/>
        <v>32</v>
      </c>
      <c r="W19" s="51">
        <f t="shared" si="1"/>
        <v>15</v>
      </c>
      <c r="X19" s="52">
        <f t="shared" si="2"/>
        <v>1</v>
      </c>
      <c r="Y19" s="49" t="str">
        <f t="shared" si="4"/>
        <v>Certificado</v>
      </c>
      <c r="Z19" s="49">
        <v>4</v>
      </c>
      <c r="AA19" s="49">
        <v>4</v>
      </c>
      <c r="AB19" s="54" t="s">
        <v>347</v>
      </c>
      <c r="AC19" s="49" t="str">
        <f t="shared" si="3"/>
        <v>Aprobado</v>
      </c>
      <c r="AD19" s="44">
        <v>5</v>
      </c>
      <c r="AE19" s="44">
        <v>5</v>
      </c>
      <c r="AF19" s="44">
        <v>5</v>
      </c>
      <c r="AG19" s="44">
        <v>5</v>
      </c>
      <c r="AH19" s="44">
        <v>5</v>
      </c>
      <c r="AI19" s="44">
        <v>5</v>
      </c>
      <c r="AJ19" s="44">
        <v>5</v>
      </c>
      <c r="AK19" s="44">
        <v>5</v>
      </c>
      <c r="AL19" s="44">
        <v>5</v>
      </c>
      <c r="AM19" s="44">
        <v>5</v>
      </c>
      <c r="AN19" s="44">
        <v>5</v>
      </c>
      <c r="AO19" s="44">
        <v>5</v>
      </c>
      <c r="AP19" s="44">
        <v>5</v>
      </c>
      <c r="AQ19" s="44">
        <v>5</v>
      </c>
      <c r="AR19" s="44">
        <v>5</v>
      </c>
      <c r="AS19" s="44">
        <v>5</v>
      </c>
      <c r="AT19" s="44">
        <v>5</v>
      </c>
      <c r="AU19" s="44">
        <v>5</v>
      </c>
      <c r="AV19" s="44">
        <v>5</v>
      </c>
      <c r="AW19" s="44" t="s">
        <v>366</v>
      </c>
      <c r="AX19" s="44" t="s">
        <v>367</v>
      </c>
      <c r="AY19" s="44" t="s">
        <v>368</v>
      </c>
      <c r="AZ19" s="44" t="s">
        <v>175</v>
      </c>
      <c r="BA19" s="44">
        <v>5</v>
      </c>
      <c r="BB19" s="44">
        <f t="shared" si="5"/>
        <v>5</v>
      </c>
    </row>
    <row r="20" spans="1:54" ht="27.6" x14ac:dyDescent="0.3">
      <c r="A20" s="57">
        <v>8</v>
      </c>
      <c r="B20" s="49" t="s">
        <v>369</v>
      </c>
      <c r="C20" s="55">
        <v>49721417</v>
      </c>
      <c r="D20" s="49" t="s">
        <v>115</v>
      </c>
      <c r="E20" s="49" t="s">
        <v>264</v>
      </c>
      <c r="F20" s="49" t="s">
        <v>117</v>
      </c>
      <c r="G20" s="51">
        <v>3</v>
      </c>
      <c r="H20" s="51">
        <v>2</v>
      </c>
      <c r="I20" s="51">
        <v>2</v>
      </c>
      <c r="J20" s="51">
        <v>2</v>
      </c>
      <c r="K20" s="51">
        <v>2</v>
      </c>
      <c r="L20" s="51">
        <v>2</v>
      </c>
      <c r="M20" s="51">
        <v>2</v>
      </c>
      <c r="N20" s="51" t="s">
        <v>120</v>
      </c>
      <c r="O20" s="51" t="s">
        <v>120</v>
      </c>
      <c r="P20" s="51">
        <v>2</v>
      </c>
      <c r="Q20" s="51">
        <v>2</v>
      </c>
      <c r="R20" s="51">
        <v>2</v>
      </c>
      <c r="S20" s="51" t="s">
        <v>120</v>
      </c>
      <c r="T20" s="51">
        <v>2</v>
      </c>
      <c r="U20" s="51">
        <v>3</v>
      </c>
      <c r="V20" s="51">
        <f t="shared" si="0"/>
        <v>26</v>
      </c>
      <c r="W20" s="51">
        <f t="shared" si="1"/>
        <v>15</v>
      </c>
      <c r="X20" s="52">
        <f t="shared" si="2"/>
        <v>0.8125</v>
      </c>
      <c r="Y20" s="49" t="str">
        <f t="shared" si="4"/>
        <v>Certificado</v>
      </c>
      <c r="Z20" s="49">
        <v>4</v>
      </c>
      <c r="AA20" s="49" t="s">
        <v>172</v>
      </c>
      <c r="AB20" s="54">
        <v>4</v>
      </c>
      <c r="AC20" s="49" t="str">
        <f t="shared" si="3"/>
        <v>Aprobado</v>
      </c>
    </row>
    <row r="21" spans="1:54" ht="27.6" x14ac:dyDescent="0.3">
      <c r="A21" s="57">
        <v>9</v>
      </c>
      <c r="B21" s="49" t="s">
        <v>370</v>
      </c>
      <c r="C21" s="55">
        <v>52536438</v>
      </c>
      <c r="D21" s="49" t="s">
        <v>115</v>
      </c>
      <c r="E21" s="49" t="s">
        <v>125</v>
      </c>
      <c r="F21" s="49" t="s">
        <v>117</v>
      </c>
      <c r="G21" s="51">
        <v>3</v>
      </c>
      <c r="H21" s="51">
        <v>2</v>
      </c>
      <c r="I21" s="51">
        <v>2</v>
      </c>
      <c r="J21" s="51">
        <v>2</v>
      </c>
      <c r="K21" s="51">
        <v>2</v>
      </c>
      <c r="L21" s="51">
        <v>2</v>
      </c>
      <c r="M21" s="51">
        <v>2</v>
      </c>
      <c r="N21" s="51">
        <v>2</v>
      </c>
      <c r="O21" s="51">
        <v>2</v>
      </c>
      <c r="P21" s="51">
        <v>2</v>
      </c>
      <c r="Q21" s="51">
        <v>2</v>
      </c>
      <c r="R21" s="51">
        <v>2</v>
      </c>
      <c r="S21" s="51">
        <v>2</v>
      </c>
      <c r="T21" s="51">
        <v>2</v>
      </c>
      <c r="U21" s="51">
        <v>3</v>
      </c>
      <c r="V21" s="51">
        <f t="shared" si="0"/>
        <v>32</v>
      </c>
      <c r="W21" s="51">
        <f t="shared" si="1"/>
        <v>15</v>
      </c>
      <c r="X21" s="52">
        <f t="shared" si="2"/>
        <v>1</v>
      </c>
      <c r="Y21" s="49" t="str">
        <f t="shared" si="4"/>
        <v>Certificado</v>
      </c>
      <c r="Z21" s="49">
        <v>3</v>
      </c>
      <c r="AA21" s="49">
        <v>3</v>
      </c>
      <c r="AB21" s="54" t="s">
        <v>347</v>
      </c>
      <c r="AC21" s="49" t="str">
        <f t="shared" si="3"/>
        <v>Aprobado</v>
      </c>
      <c r="AD21" s="44">
        <v>5</v>
      </c>
      <c r="AE21" s="44">
        <v>5</v>
      </c>
      <c r="AF21" s="44">
        <v>5</v>
      </c>
      <c r="AG21" s="44">
        <v>5</v>
      </c>
      <c r="AH21" s="44">
        <v>5</v>
      </c>
      <c r="AI21" s="44">
        <v>5</v>
      </c>
      <c r="AJ21" s="44">
        <v>5</v>
      </c>
      <c r="AK21" s="44">
        <v>5</v>
      </c>
      <c r="AL21" s="44">
        <v>5</v>
      </c>
      <c r="AM21" s="44">
        <v>5</v>
      </c>
      <c r="AN21" s="44">
        <v>5</v>
      </c>
      <c r="AO21" s="44">
        <v>5</v>
      </c>
      <c r="AP21" s="44">
        <v>5</v>
      </c>
      <c r="AQ21" s="44">
        <v>5</v>
      </c>
      <c r="AR21" s="44">
        <v>5</v>
      </c>
      <c r="AS21" s="44">
        <v>5</v>
      </c>
      <c r="AT21" s="44">
        <v>5</v>
      </c>
      <c r="AU21" s="44">
        <v>5</v>
      </c>
      <c r="AV21" s="44">
        <v>5</v>
      </c>
      <c r="AW21" s="44" t="s">
        <v>371</v>
      </c>
      <c r="AX21" s="44" t="s">
        <v>372</v>
      </c>
      <c r="AY21" s="44" t="s">
        <v>206</v>
      </c>
      <c r="AZ21" s="44" t="s">
        <v>175</v>
      </c>
      <c r="BA21" s="44">
        <v>5</v>
      </c>
      <c r="BB21" s="44">
        <f t="shared" si="5"/>
        <v>5</v>
      </c>
    </row>
    <row r="22" spans="1:54" ht="14.4" x14ac:dyDescent="0.3">
      <c r="A22" s="57">
        <v>10</v>
      </c>
      <c r="B22" s="49" t="s">
        <v>373</v>
      </c>
      <c r="C22" s="55">
        <v>79373365</v>
      </c>
      <c r="D22" s="49" t="s">
        <v>115</v>
      </c>
      <c r="E22" s="49" t="s">
        <v>227</v>
      </c>
      <c r="F22" s="49" t="s">
        <v>117</v>
      </c>
      <c r="G22" s="51">
        <v>3</v>
      </c>
      <c r="H22" s="51">
        <v>2</v>
      </c>
      <c r="I22" s="51">
        <v>2</v>
      </c>
      <c r="J22" s="51">
        <v>2</v>
      </c>
      <c r="K22" s="51">
        <v>2</v>
      </c>
      <c r="L22" s="51">
        <v>2</v>
      </c>
      <c r="M22" s="51">
        <v>2</v>
      </c>
      <c r="N22" s="51">
        <v>2</v>
      </c>
      <c r="O22" s="51">
        <v>2</v>
      </c>
      <c r="P22" s="51">
        <v>2</v>
      </c>
      <c r="Q22" s="51">
        <v>2</v>
      </c>
      <c r="R22" s="51" t="s">
        <v>120</v>
      </c>
      <c r="S22" s="51">
        <v>2</v>
      </c>
      <c r="T22" s="51">
        <v>2</v>
      </c>
      <c r="U22" s="51">
        <v>3</v>
      </c>
      <c r="V22" s="51">
        <f t="shared" si="0"/>
        <v>30</v>
      </c>
      <c r="W22" s="51">
        <f t="shared" si="1"/>
        <v>15</v>
      </c>
      <c r="X22" s="52">
        <f t="shared" si="2"/>
        <v>0.9375</v>
      </c>
      <c r="Y22" s="49" t="str">
        <f t="shared" si="4"/>
        <v>Certificado</v>
      </c>
      <c r="Z22" s="49" t="s">
        <v>172</v>
      </c>
      <c r="AA22" s="49">
        <v>2</v>
      </c>
      <c r="AB22" s="54" t="s">
        <v>347</v>
      </c>
      <c r="AC22" s="49" t="str">
        <f t="shared" si="3"/>
        <v>Aprobado</v>
      </c>
    </row>
    <row r="23" spans="1:54" ht="27.6" x14ac:dyDescent="0.3">
      <c r="A23" s="57">
        <v>11</v>
      </c>
      <c r="B23" s="49" t="s">
        <v>374</v>
      </c>
      <c r="C23" s="55">
        <v>63436556</v>
      </c>
      <c r="D23" s="49" t="s">
        <v>115</v>
      </c>
      <c r="E23" s="49" t="s">
        <v>264</v>
      </c>
      <c r="F23" s="49" t="s">
        <v>450</v>
      </c>
      <c r="G23" s="51" t="s">
        <v>120</v>
      </c>
      <c r="H23" s="51">
        <v>2</v>
      </c>
      <c r="I23" s="51">
        <v>2</v>
      </c>
      <c r="J23" s="51">
        <v>2</v>
      </c>
      <c r="K23" s="51">
        <v>2</v>
      </c>
      <c r="L23" s="51">
        <v>2</v>
      </c>
      <c r="M23" s="51">
        <v>2</v>
      </c>
      <c r="N23" s="51">
        <v>2</v>
      </c>
      <c r="O23" s="51">
        <v>2</v>
      </c>
      <c r="P23" s="51">
        <v>2</v>
      </c>
      <c r="Q23" s="51">
        <v>2</v>
      </c>
      <c r="R23" s="51">
        <v>2</v>
      </c>
      <c r="S23" s="51">
        <v>2</v>
      </c>
      <c r="T23" s="51">
        <v>2</v>
      </c>
      <c r="U23" s="51">
        <v>3</v>
      </c>
      <c r="V23" s="51">
        <f t="shared" si="0"/>
        <v>29</v>
      </c>
      <c r="W23" s="51">
        <f t="shared" si="1"/>
        <v>15</v>
      </c>
      <c r="X23" s="52">
        <f t="shared" si="2"/>
        <v>0.90625</v>
      </c>
      <c r="Y23" s="49" t="str">
        <f t="shared" si="4"/>
        <v>Certificado</v>
      </c>
      <c r="Z23" s="49">
        <v>1</v>
      </c>
      <c r="AA23" s="49">
        <v>4</v>
      </c>
      <c r="AB23" s="54" t="s">
        <v>347</v>
      </c>
      <c r="AC23" s="49" t="str">
        <f t="shared" si="3"/>
        <v>Aprobado</v>
      </c>
      <c r="AD23" s="44">
        <v>5</v>
      </c>
      <c r="AE23" s="44">
        <v>5</v>
      </c>
      <c r="AF23" s="44">
        <v>5</v>
      </c>
      <c r="AG23" s="44">
        <v>5</v>
      </c>
      <c r="AH23" s="44">
        <v>5</v>
      </c>
      <c r="AI23" s="44">
        <v>5</v>
      </c>
      <c r="AJ23" s="44">
        <v>5</v>
      </c>
      <c r="AK23" s="44">
        <v>5</v>
      </c>
      <c r="AL23" s="44">
        <v>5</v>
      </c>
      <c r="AM23" s="44">
        <v>5</v>
      </c>
      <c r="AN23" s="44">
        <v>5</v>
      </c>
      <c r="AO23" s="44">
        <v>5</v>
      </c>
      <c r="AP23" s="44">
        <v>5</v>
      </c>
      <c r="AQ23" s="44">
        <v>5</v>
      </c>
      <c r="AR23" s="44">
        <v>5</v>
      </c>
      <c r="AS23" s="44">
        <v>5</v>
      </c>
      <c r="AT23" s="44">
        <v>5</v>
      </c>
      <c r="AU23" s="44">
        <v>5</v>
      </c>
      <c r="AV23" s="44">
        <v>5</v>
      </c>
      <c r="AW23" s="44" t="s">
        <v>375</v>
      </c>
      <c r="AX23" s="44" t="s">
        <v>376</v>
      </c>
      <c r="AY23" s="44" t="s">
        <v>377</v>
      </c>
      <c r="AZ23" s="44" t="s">
        <v>175</v>
      </c>
      <c r="BA23" s="44">
        <v>5</v>
      </c>
      <c r="BB23" s="44">
        <f t="shared" si="5"/>
        <v>5</v>
      </c>
    </row>
    <row r="24" spans="1:54" ht="48.75" customHeight="1" x14ac:dyDescent="0.3">
      <c r="A24" s="142" t="s">
        <v>127</v>
      </c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4"/>
    </row>
  </sheetData>
  <mergeCells count="31">
    <mergeCell ref="A6:AC6"/>
    <mergeCell ref="A1:F4"/>
    <mergeCell ref="G1:W4"/>
    <mergeCell ref="X1:AC2"/>
    <mergeCell ref="X3:AC4"/>
    <mergeCell ref="A5:AC5"/>
    <mergeCell ref="A7:AC7"/>
    <mergeCell ref="A8:AC8"/>
    <mergeCell ref="A9:D9"/>
    <mergeCell ref="E9:F9"/>
    <mergeCell ref="G9:N9"/>
    <mergeCell ref="O9:U9"/>
    <mergeCell ref="V9:Y9"/>
    <mergeCell ref="Z9:AC9"/>
    <mergeCell ref="A24:AC24"/>
    <mergeCell ref="A10:B10"/>
    <mergeCell ref="G10:N10"/>
    <mergeCell ref="O10:U10"/>
    <mergeCell ref="V10:W10"/>
    <mergeCell ref="X10:Y10"/>
    <mergeCell ref="AA10:AC10"/>
    <mergeCell ref="A11:F11"/>
    <mergeCell ref="G11:U11"/>
    <mergeCell ref="V11:Y11"/>
    <mergeCell ref="Z11:AC11"/>
    <mergeCell ref="D10:E10"/>
    <mergeCell ref="AD10:BB10"/>
    <mergeCell ref="AD11:AI11"/>
    <mergeCell ref="AJ11:AL11"/>
    <mergeCell ref="AM11:AV11"/>
    <mergeCell ref="AW11:BA11"/>
  </mergeCells>
  <dataValidations disablePrompts="1" count="2">
    <dataValidation type="list" allowBlank="1" showErrorMessage="1" sqref="D13:D23" xr:uid="{531C7A00-506F-4ED4-B079-BE1E5C4A488D}">
      <formula1>"Contratista,Planta"</formula1>
    </dataValidation>
    <dataValidation allowBlank="1" showErrorMessage="1" sqref="C13:C23" xr:uid="{C2596BE4-EA91-47C1-8C77-FD8CC6327C0A}"/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8D208-AEF5-4B38-93DE-FFC549AF1DC3}">
  <sheetPr>
    <outlinePr summaryBelow="0" summaryRight="0"/>
  </sheetPr>
  <dimension ref="A1:BB29"/>
  <sheetViews>
    <sheetView topLeftCell="A12" workbookViewId="0">
      <selection activeCell="F15" sqref="F15"/>
    </sheetView>
  </sheetViews>
  <sheetFormatPr baseColWidth="10" defaultColWidth="12.5546875" defaultRowHeight="15.75" customHeight="1" x14ac:dyDescent="0.3"/>
  <cols>
    <col min="1" max="1" width="12.5546875" style="44"/>
    <col min="2" max="2" width="38.109375" style="44" customWidth="1"/>
    <col min="3" max="3" width="15.88671875" style="44" customWidth="1"/>
    <col min="4" max="4" width="15.33203125" style="44" customWidth="1"/>
    <col min="5" max="6" width="25.5546875" style="44" customWidth="1"/>
    <col min="7" max="21" width="9.109375" style="44"/>
    <col min="22" max="22" width="15.33203125" style="44" customWidth="1"/>
    <col min="23" max="23" width="11.33203125" style="44" customWidth="1"/>
    <col min="24" max="24" width="13.88671875" style="44" customWidth="1"/>
    <col min="25" max="25" width="14.33203125" style="44" customWidth="1"/>
    <col min="26" max="16384" width="12.5546875" style="44"/>
  </cols>
  <sheetData>
    <row r="1" spans="1:54" ht="14.4" x14ac:dyDescent="0.3">
      <c r="A1" s="156" t="s">
        <v>80</v>
      </c>
      <c r="B1" s="157"/>
      <c r="C1" s="157"/>
      <c r="D1" s="157"/>
      <c r="E1" s="157"/>
      <c r="F1" s="157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2"/>
      <c r="X1" s="156" t="s">
        <v>81</v>
      </c>
      <c r="Y1" s="157"/>
      <c r="Z1" s="157"/>
      <c r="AA1" s="157"/>
      <c r="AB1" s="157"/>
      <c r="AC1" s="167"/>
      <c r="AD1" s="44" t="s">
        <v>137</v>
      </c>
    </row>
    <row r="2" spans="1:54" ht="14.4" x14ac:dyDescent="0.3">
      <c r="A2" s="158"/>
      <c r="B2" s="159"/>
      <c r="C2" s="159"/>
      <c r="D2" s="159"/>
      <c r="E2" s="159"/>
      <c r="F2" s="159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4"/>
      <c r="X2" s="160"/>
      <c r="Y2" s="148"/>
      <c r="Z2" s="148"/>
      <c r="AA2" s="148"/>
      <c r="AB2" s="148"/>
      <c r="AC2" s="168"/>
      <c r="AD2" s="44">
        <v>4</v>
      </c>
    </row>
    <row r="3" spans="1:54" ht="14.4" x14ac:dyDescent="0.3">
      <c r="A3" s="158"/>
      <c r="B3" s="159"/>
      <c r="C3" s="159"/>
      <c r="D3" s="159"/>
      <c r="E3" s="159"/>
      <c r="F3" s="159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4"/>
      <c r="X3" s="156" t="s">
        <v>82</v>
      </c>
      <c r="Y3" s="157"/>
      <c r="Z3" s="157"/>
      <c r="AA3" s="157"/>
      <c r="AB3" s="157"/>
      <c r="AC3" s="167"/>
      <c r="AD3" s="44">
        <v>5</v>
      </c>
    </row>
    <row r="4" spans="1:54" ht="14.4" x14ac:dyDescent="0.3">
      <c r="A4" s="160"/>
      <c r="B4" s="148"/>
      <c r="C4" s="148"/>
      <c r="D4" s="148"/>
      <c r="E4" s="148"/>
      <c r="F4" s="148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6"/>
      <c r="X4" s="160"/>
      <c r="Y4" s="148"/>
      <c r="Z4" s="148"/>
      <c r="AA4" s="148"/>
      <c r="AB4" s="148"/>
      <c r="AC4" s="168"/>
    </row>
    <row r="5" spans="1:54" ht="22.5" customHeight="1" x14ac:dyDescent="0.3">
      <c r="A5" s="155" t="s">
        <v>83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4"/>
    </row>
    <row r="6" spans="1:54" ht="22.5" customHeight="1" x14ac:dyDescent="0.3">
      <c r="A6" s="155" t="s">
        <v>84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4"/>
    </row>
    <row r="7" spans="1:54" ht="14.4" x14ac:dyDescent="0.3">
      <c r="A7" s="145" t="s">
        <v>85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4"/>
    </row>
    <row r="8" spans="1:54" ht="33.75" customHeight="1" x14ac:dyDescent="0.3">
      <c r="A8" s="150" t="s">
        <v>128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57"/>
      <c r="P8" s="157"/>
      <c r="Q8" s="157"/>
      <c r="R8" s="157"/>
      <c r="S8" s="157"/>
      <c r="T8" s="157"/>
      <c r="U8" s="157"/>
      <c r="V8" s="143"/>
      <c r="W8" s="143"/>
      <c r="X8" s="143"/>
      <c r="Y8" s="143"/>
      <c r="Z8" s="143"/>
      <c r="AA8" s="143"/>
      <c r="AB8" s="143"/>
      <c r="AC8" s="144"/>
    </row>
    <row r="9" spans="1:54" ht="33.75" customHeight="1" x14ac:dyDescent="0.3">
      <c r="A9" s="145" t="s">
        <v>87</v>
      </c>
      <c r="B9" s="143"/>
      <c r="C9" s="143"/>
      <c r="D9" s="144"/>
      <c r="E9" s="150" t="str">
        <f>'Formato Cronograma'!F14</f>
        <v>John Alejandro Cárdenas Morales</v>
      </c>
      <c r="F9" s="151"/>
      <c r="G9" s="145" t="s">
        <v>88</v>
      </c>
      <c r="H9" s="149"/>
      <c r="I9" s="149"/>
      <c r="J9" s="149"/>
      <c r="K9" s="149"/>
      <c r="L9" s="149"/>
      <c r="M9" s="149"/>
      <c r="N9" s="149"/>
      <c r="O9" s="169" t="s">
        <v>89</v>
      </c>
      <c r="P9" s="169"/>
      <c r="Q9" s="169"/>
      <c r="R9" s="169"/>
      <c r="S9" s="169"/>
      <c r="T9" s="169"/>
      <c r="U9" s="169"/>
      <c r="V9" s="149" t="s">
        <v>90</v>
      </c>
      <c r="W9" s="143"/>
      <c r="X9" s="143"/>
      <c r="Y9" s="144"/>
      <c r="Z9" s="152" t="s">
        <v>91</v>
      </c>
      <c r="AA9" s="153"/>
      <c r="AB9" s="153"/>
      <c r="AC9" s="154"/>
    </row>
    <row r="10" spans="1:54" ht="33.75" customHeight="1" x14ac:dyDescent="0.3">
      <c r="A10" s="145" t="s">
        <v>92</v>
      </c>
      <c r="B10" s="144"/>
      <c r="C10" s="46">
        <f>'Formato Cronograma'!K14</f>
        <v>46219</v>
      </c>
      <c r="D10" s="145" t="s">
        <v>93</v>
      </c>
      <c r="E10" s="171"/>
      <c r="F10" s="48">
        <f>'Formato Cronograma'!L14</f>
        <v>46282</v>
      </c>
      <c r="G10" s="147">
        <v>2</v>
      </c>
      <c r="H10" s="146"/>
      <c r="I10" s="146"/>
      <c r="J10" s="146"/>
      <c r="K10" s="146"/>
      <c r="L10" s="146"/>
      <c r="M10" s="146"/>
      <c r="N10" s="146"/>
      <c r="O10" s="170">
        <v>13</v>
      </c>
      <c r="P10" s="170"/>
      <c r="Q10" s="170"/>
      <c r="R10" s="170"/>
      <c r="S10" s="170"/>
      <c r="T10" s="170"/>
      <c r="U10" s="170"/>
      <c r="V10" s="149" t="s">
        <v>129</v>
      </c>
      <c r="W10" s="144"/>
      <c r="X10" s="147">
        <v>32</v>
      </c>
      <c r="Y10" s="144"/>
      <c r="Z10" s="45" t="s">
        <v>95</v>
      </c>
      <c r="AA10" s="147">
        <v>62743</v>
      </c>
      <c r="AB10" s="143"/>
      <c r="AC10" s="144"/>
      <c r="AD10" s="172" t="s">
        <v>139</v>
      </c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</row>
    <row r="11" spans="1:54" ht="15" customHeight="1" x14ac:dyDescent="0.3">
      <c r="A11" s="145" t="s">
        <v>96</v>
      </c>
      <c r="B11" s="143"/>
      <c r="C11" s="143"/>
      <c r="D11" s="143"/>
      <c r="E11" s="143"/>
      <c r="F11" s="148"/>
      <c r="G11" s="145" t="s">
        <v>97</v>
      </c>
      <c r="H11" s="143"/>
      <c r="I11" s="143"/>
      <c r="J11" s="143"/>
      <c r="K11" s="143"/>
      <c r="L11" s="143"/>
      <c r="M11" s="143"/>
      <c r="N11" s="143"/>
      <c r="O11" s="148"/>
      <c r="P11" s="148"/>
      <c r="Q11" s="148"/>
      <c r="R11" s="148"/>
      <c r="S11" s="148"/>
      <c r="T11" s="148"/>
      <c r="U11" s="148"/>
      <c r="V11" s="145" t="s">
        <v>98</v>
      </c>
      <c r="W11" s="143"/>
      <c r="X11" s="143"/>
      <c r="Y11" s="144"/>
      <c r="Z11" s="145" t="s">
        <v>99</v>
      </c>
      <c r="AA11" s="143"/>
      <c r="AB11" s="143"/>
      <c r="AC11" s="144"/>
      <c r="AD11" s="173" t="s">
        <v>378</v>
      </c>
      <c r="AE11" s="174"/>
      <c r="AF11" s="174"/>
      <c r="AG11" s="174"/>
      <c r="AH11" s="174"/>
      <c r="AI11" s="175"/>
      <c r="AJ11" s="173" t="s">
        <v>142</v>
      </c>
      <c r="AK11" s="174"/>
      <c r="AL11" s="175"/>
      <c r="AM11" s="173" t="s">
        <v>143</v>
      </c>
      <c r="AN11" s="174"/>
      <c r="AO11" s="174"/>
      <c r="AP11" s="174"/>
      <c r="AQ11" s="174"/>
      <c r="AR11" s="174"/>
      <c r="AS11" s="174"/>
      <c r="AT11" s="174"/>
      <c r="AU11" s="174"/>
      <c r="AV11" s="175"/>
      <c r="AW11" s="173" t="s">
        <v>144</v>
      </c>
      <c r="AX11" s="174"/>
      <c r="AY11" s="174"/>
      <c r="AZ11" s="174"/>
      <c r="BA11" s="175"/>
      <c r="BB11" s="98" t="s">
        <v>145</v>
      </c>
    </row>
    <row r="12" spans="1:54" ht="151.80000000000001" x14ac:dyDescent="0.3">
      <c r="A12" s="47" t="s">
        <v>100</v>
      </c>
      <c r="B12" s="47" t="s">
        <v>101</v>
      </c>
      <c r="C12" s="47" t="s">
        <v>102</v>
      </c>
      <c r="D12" s="47" t="s">
        <v>103</v>
      </c>
      <c r="E12" s="47" t="s">
        <v>104</v>
      </c>
      <c r="F12" s="47" t="s">
        <v>105</v>
      </c>
      <c r="G12" s="47">
        <v>1</v>
      </c>
      <c r="H12" s="47">
        <v>2</v>
      </c>
      <c r="I12" s="47">
        <v>3</v>
      </c>
      <c r="J12" s="47">
        <v>4</v>
      </c>
      <c r="K12" s="47">
        <v>5</v>
      </c>
      <c r="L12" s="47">
        <v>6</v>
      </c>
      <c r="M12" s="47">
        <v>7</v>
      </c>
      <c r="N12" s="47">
        <v>8</v>
      </c>
      <c r="O12" s="47">
        <v>9</v>
      </c>
      <c r="P12" s="47">
        <v>10</v>
      </c>
      <c r="Q12" s="47">
        <v>11</v>
      </c>
      <c r="R12" s="47">
        <v>12</v>
      </c>
      <c r="S12" s="47">
        <v>13</v>
      </c>
      <c r="T12" s="47">
        <v>14</v>
      </c>
      <c r="U12" s="47">
        <v>15</v>
      </c>
      <c r="V12" s="47" t="s">
        <v>106</v>
      </c>
      <c r="W12" s="47" t="s">
        <v>107</v>
      </c>
      <c r="X12" s="47" t="s">
        <v>108</v>
      </c>
      <c r="Y12" s="47" t="s">
        <v>109</v>
      </c>
      <c r="Z12" s="47" t="s">
        <v>110</v>
      </c>
      <c r="AA12" s="47" t="s">
        <v>111</v>
      </c>
      <c r="AB12" s="47" t="s">
        <v>112</v>
      </c>
      <c r="AC12" s="47" t="s">
        <v>113</v>
      </c>
      <c r="AD12" s="84" t="s">
        <v>146</v>
      </c>
      <c r="AE12" s="84" t="s">
        <v>147</v>
      </c>
      <c r="AF12" s="84" t="s">
        <v>148</v>
      </c>
      <c r="AG12" s="84" t="s">
        <v>149</v>
      </c>
      <c r="AH12" s="84" t="s">
        <v>150</v>
      </c>
      <c r="AI12" s="84" t="s">
        <v>151</v>
      </c>
      <c r="AJ12" s="84" t="s">
        <v>152</v>
      </c>
      <c r="AK12" s="84" t="s">
        <v>153</v>
      </c>
      <c r="AL12" s="84" t="s">
        <v>154</v>
      </c>
      <c r="AM12" s="84" t="s">
        <v>155</v>
      </c>
      <c r="AN12" s="84" t="s">
        <v>156</v>
      </c>
      <c r="AO12" s="84" t="s">
        <v>157</v>
      </c>
      <c r="AP12" s="84" t="s">
        <v>158</v>
      </c>
      <c r="AQ12" s="84" t="s">
        <v>159</v>
      </c>
      <c r="AR12" s="84" t="s">
        <v>160</v>
      </c>
      <c r="AS12" s="84" t="s">
        <v>161</v>
      </c>
      <c r="AT12" s="84" t="s">
        <v>162</v>
      </c>
      <c r="AU12" s="84" t="s">
        <v>163</v>
      </c>
      <c r="AV12" s="84" t="s">
        <v>164</v>
      </c>
      <c r="AW12" s="84" t="s">
        <v>165</v>
      </c>
      <c r="AX12" s="84" t="s">
        <v>166</v>
      </c>
      <c r="AY12" s="84" t="s">
        <v>167</v>
      </c>
      <c r="AZ12" s="84" t="s">
        <v>168</v>
      </c>
      <c r="BA12" s="84" t="s">
        <v>169</v>
      </c>
      <c r="BB12" s="84" t="s">
        <v>170</v>
      </c>
    </row>
    <row r="13" spans="1:54" ht="14.4" customHeight="1" x14ac:dyDescent="0.3">
      <c r="A13" s="49">
        <v>1</v>
      </c>
      <c r="B13" s="49" t="s">
        <v>379</v>
      </c>
      <c r="C13" s="55">
        <v>1015422254</v>
      </c>
      <c r="D13" s="49" t="s">
        <v>115</v>
      </c>
      <c r="E13" s="49" t="s">
        <v>264</v>
      </c>
      <c r="F13" s="49" t="s">
        <v>117</v>
      </c>
      <c r="G13" s="51">
        <v>3</v>
      </c>
      <c r="H13" s="51">
        <v>2</v>
      </c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>
        <f>IF(B13&lt;&gt;"",SUM(G13:U13),"")</f>
        <v>5</v>
      </c>
      <c r="W13" s="51">
        <f>IF(B13&lt;&gt;"",COUNTA(G13:U13),"")</f>
        <v>2</v>
      </c>
      <c r="X13" s="52">
        <f>IF(B13&lt;&gt;"",SUM(G13:U13)/32,"")</f>
        <v>0.15625</v>
      </c>
      <c r="Y13" s="49" t="str">
        <f>IF(X13="","",IF(X13&gt;=80%,"Certificado","No certificado"))</f>
        <v>No certificado</v>
      </c>
      <c r="Z13" s="49"/>
      <c r="AA13" s="49"/>
      <c r="AB13" s="54"/>
      <c r="AC13" s="49" t="str">
        <f t="shared" ref="AC13:AC25" si="0">IF(B13="","",IF(AND(X13&gt;=0.8,AB13&gt;=3),"Aprobado","No aprobado"))</f>
        <v>No aprobado</v>
      </c>
      <c r="BB13" s="117" t="e">
        <f>AVERAGE(AD13:BA13)</f>
        <v>#DIV/0!</v>
      </c>
    </row>
    <row r="14" spans="1:54" ht="27.6" x14ac:dyDescent="0.3">
      <c r="A14" s="49">
        <v>2</v>
      </c>
      <c r="B14" s="49" t="s">
        <v>380</v>
      </c>
      <c r="C14" s="55">
        <v>1090372102</v>
      </c>
      <c r="D14" s="49" t="s">
        <v>115</v>
      </c>
      <c r="E14" s="49" t="s">
        <v>264</v>
      </c>
      <c r="F14" s="49" t="s">
        <v>363</v>
      </c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>
        <f t="shared" ref="V14:V28" si="1">IF(B14&lt;&gt;"",SUM(G14:U14),"")</f>
        <v>0</v>
      </c>
      <c r="W14" s="51">
        <f t="shared" ref="W14:W28" si="2">IF(B14&lt;&gt;"",COUNTA(G14:U14),"")</f>
        <v>0</v>
      </c>
      <c r="X14" s="52">
        <f t="shared" ref="X14:X28" si="3">IF(B14&lt;&gt;"",SUM(G14:U14)/32,"")</f>
        <v>0</v>
      </c>
      <c r="Y14" s="49" t="str">
        <f t="shared" ref="Y14:Y28" si="4">IF(X14="","",IF(X14&gt;=80%,"Certificado","No certificado"))</f>
        <v>No certificado</v>
      </c>
      <c r="Z14" s="49"/>
      <c r="AA14" s="49"/>
      <c r="AB14" s="54"/>
      <c r="AC14" s="49" t="str">
        <f t="shared" si="0"/>
        <v>No aprobado</v>
      </c>
      <c r="BB14" s="117" t="e">
        <f>AVERAGE(AD14:BA14)</f>
        <v>#DIV/0!</v>
      </c>
    </row>
    <row r="15" spans="1:54" ht="27.6" x14ac:dyDescent="0.3">
      <c r="A15" s="49">
        <v>3</v>
      </c>
      <c r="B15" s="49" t="s">
        <v>181</v>
      </c>
      <c r="C15" s="55">
        <v>52761826</v>
      </c>
      <c r="D15" s="49" t="s">
        <v>115</v>
      </c>
      <c r="E15" s="49" t="s">
        <v>264</v>
      </c>
      <c r="F15" s="49" t="s">
        <v>117</v>
      </c>
      <c r="G15" s="51">
        <v>3</v>
      </c>
      <c r="H15" s="51">
        <v>2</v>
      </c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>
        <f t="shared" si="1"/>
        <v>5</v>
      </c>
      <c r="W15" s="51">
        <f t="shared" si="2"/>
        <v>2</v>
      </c>
      <c r="X15" s="52">
        <f t="shared" si="3"/>
        <v>0.15625</v>
      </c>
      <c r="Y15" s="49" t="str">
        <f t="shared" si="4"/>
        <v>No certificado</v>
      </c>
      <c r="Z15" s="49"/>
      <c r="AA15" s="49"/>
      <c r="AB15" s="54"/>
      <c r="AC15" s="49" t="str">
        <f t="shared" si="0"/>
        <v>No aprobado</v>
      </c>
      <c r="BB15" s="117"/>
    </row>
    <row r="16" spans="1:54" ht="27.6" customHeight="1" x14ac:dyDescent="0.3">
      <c r="A16" s="49">
        <v>4</v>
      </c>
      <c r="B16" s="49" t="s">
        <v>381</v>
      </c>
      <c r="C16" s="55">
        <v>79455491</v>
      </c>
      <c r="D16" s="49" t="s">
        <v>115</v>
      </c>
      <c r="E16" s="49" t="s">
        <v>447</v>
      </c>
      <c r="F16" s="49" t="s">
        <v>451</v>
      </c>
      <c r="G16" s="51">
        <v>3</v>
      </c>
      <c r="H16" s="51">
        <v>2</v>
      </c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>
        <f t="shared" si="1"/>
        <v>5</v>
      </c>
      <c r="W16" s="51">
        <f t="shared" si="2"/>
        <v>2</v>
      </c>
      <c r="X16" s="52">
        <f t="shared" si="3"/>
        <v>0.15625</v>
      </c>
      <c r="Y16" s="49" t="str">
        <f t="shared" si="4"/>
        <v>No certificado</v>
      </c>
      <c r="Z16" s="49"/>
      <c r="AA16" s="49"/>
      <c r="AB16" s="54"/>
      <c r="AC16" s="49" t="str">
        <f t="shared" si="0"/>
        <v>No aprobado</v>
      </c>
      <c r="BB16" s="117" t="e">
        <f>AVERAGE(AD16:BA16)</f>
        <v>#DIV/0!</v>
      </c>
    </row>
    <row r="17" spans="1:54" ht="27.6" x14ac:dyDescent="0.3">
      <c r="A17" s="49">
        <v>5</v>
      </c>
      <c r="B17" s="49" t="s">
        <v>382</v>
      </c>
      <c r="C17" s="55">
        <v>52500983</v>
      </c>
      <c r="D17" s="49" t="s">
        <v>115</v>
      </c>
      <c r="E17" s="49" t="s">
        <v>264</v>
      </c>
      <c r="F17" s="49" t="s">
        <v>117</v>
      </c>
      <c r="G17" s="51">
        <v>3</v>
      </c>
      <c r="H17" s="51">
        <v>2</v>
      </c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>
        <f t="shared" si="1"/>
        <v>5</v>
      </c>
      <c r="W17" s="51">
        <f t="shared" si="2"/>
        <v>2</v>
      </c>
      <c r="X17" s="52">
        <f t="shared" si="3"/>
        <v>0.15625</v>
      </c>
      <c r="Y17" s="49" t="str">
        <f t="shared" si="4"/>
        <v>No certificado</v>
      </c>
      <c r="Z17" s="49"/>
      <c r="AA17" s="49"/>
      <c r="AB17" s="54"/>
      <c r="AC17" s="49" t="str">
        <f t="shared" si="0"/>
        <v>No aprobado</v>
      </c>
      <c r="BB17" s="117"/>
    </row>
    <row r="18" spans="1:54" ht="27.6" customHeight="1" x14ac:dyDescent="0.3">
      <c r="A18" s="49">
        <v>6</v>
      </c>
      <c r="B18" s="49" t="s">
        <v>357</v>
      </c>
      <c r="C18" s="55">
        <v>77024676</v>
      </c>
      <c r="D18" s="49" t="s">
        <v>115</v>
      </c>
      <c r="E18" s="49" t="s">
        <v>122</v>
      </c>
      <c r="F18" s="49" t="s">
        <v>117</v>
      </c>
      <c r="G18" s="51"/>
      <c r="H18" s="51">
        <v>2</v>
      </c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>
        <f t="shared" si="1"/>
        <v>2</v>
      </c>
      <c r="W18" s="51">
        <f t="shared" si="2"/>
        <v>1</v>
      </c>
      <c r="X18" s="52">
        <f t="shared" si="3"/>
        <v>6.25E-2</v>
      </c>
      <c r="Y18" s="49" t="str">
        <f t="shared" si="4"/>
        <v>No certificado</v>
      </c>
      <c r="Z18" s="49"/>
      <c r="AA18" s="49"/>
      <c r="AB18" s="54"/>
      <c r="AC18" s="49" t="str">
        <f t="shared" si="0"/>
        <v>No aprobado</v>
      </c>
      <c r="BB18" s="117" t="e">
        <f>AVERAGE(AD18:BA18)</f>
        <v>#DIV/0!</v>
      </c>
    </row>
    <row r="19" spans="1:54" ht="27.6" customHeight="1" x14ac:dyDescent="0.3">
      <c r="A19" s="49">
        <v>7</v>
      </c>
      <c r="B19" s="49" t="s">
        <v>383</v>
      </c>
      <c r="C19" s="55">
        <v>53029962</v>
      </c>
      <c r="D19" s="49" t="s">
        <v>115</v>
      </c>
      <c r="E19" s="49" t="s">
        <v>116</v>
      </c>
      <c r="F19" s="49" t="s">
        <v>117</v>
      </c>
      <c r="G19" s="51">
        <v>3</v>
      </c>
      <c r="H19" s="51">
        <v>2</v>
      </c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>
        <f t="shared" si="1"/>
        <v>5</v>
      </c>
      <c r="W19" s="51">
        <f t="shared" si="2"/>
        <v>2</v>
      </c>
      <c r="X19" s="52">
        <f t="shared" si="3"/>
        <v>0.15625</v>
      </c>
      <c r="Y19" s="49" t="str">
        <f t="shared" si="4"/>
        <v>No certificado</v>
      </c>
      <c r="Z19" s="49"/>
      <c r="AA19" s="49"/>
      <c r="AB19" s="54"/>
      <c r="AC19" s="49" t="str">
        <f t="shared" si="0"/>
        <v>No aprobado</v>
      </c>
      <c r="BB19" s="117" t="e">
        <f>AVERAGE(AD19:BA19)</f>
        <v>#DIV/0!</v>
      </c>
    </row>
    <row r="20" spans="1:54" ht="27.6" x14ac:dyDescent="0.3">
      <c r="A20" s="49">
        <v>8</v>
      </c>
      <c r="B20" s="49" t="s">
        <v>384</v>
      </c>
      <c r="C20" s="55">
        <v>1032399404</v>
      </c>
      <c r="D20" s="49" t="s">
        <v>115</v>
      </c>
      <c r="E20" s="49" t="s">
        <v>125</v>
      </c>
      <c r="F20" s="49" t="s">
        <v>117</v>
      </c>
      <c r="G20" s="51">
        <v>3</v>
      </c>
      <c r="H20" s="51">
        <v>2</v>
      </c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>
        <f t="shared" si="1"/>
        <v>5</v>
      </c>
      <c r="W20" s="51">
        <f t="shared" si="2"/>
        <v>2</v>
      </c>
      <c r="X20" s="52">
        <f t="shared" si="3"/>
        <v>0.15625</v>
      </c>
      <c r="Y20" s="49" t="str">
        <f t="shared" si="4"/>
        <v>No certificado</v>
      </c>
      <c r="Z20" s="49"/>
      <c r="AA20" s="49"/>
      <c r="AB20" s="54"/>
      <c r="AC20" s="49" t="str">
        <f t="shared" si="0"/>
        <v>No aprobado</v>
      </c>
      <c r="BB20" s="117" t="e">
        <f>AVERAGE(AD20:BA20)</f>
        <v>#DIV/0!</v>
      </c>
    </row>
    <row r="21" spans="1:54" ht="27.6" customHeight="1" x14ac:dyDescent="0.3">
      <c r="A21" s="49">
        <v>9</v>
      </c>
      <c r="B21" s="49" t="s">
        <v>385</v>
      </c>
      <c r="C21" s="55">
        <v>1121332079</v>
      </c>
      <c r="D21" s="49" t="s">
        <v>115</v>
      </c>
      <c r="E21" s="49" t="s">
        <v>308</v>
      </c>
      <c r="F21" s="49" t="s">
        <v>117</v>
      </c>
      <c r="G21" s="51">
        <v>3</v>
      </c>
      <c r="H21" s="51">
        <v>2</v>
      </c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>
        <f t="shared" si="1"/>
        <v>5</v>
      </c>
      <c r="W21" s="51">
        <f t="shared" si="2"/>
        <v>2</v>
      </c>
      <c r="X21" s="52">
        <f t="shared" si="3"/>
        <v>0.15625</v>
      </c>
      <c r="Y21" s="49" t="str">
        <f t="shared" si="4"/>
        <v>No certificado</v>
      </c>
      <c r="Z21" s="49"/>
      <c r="AA21" s="49"/>
      <c r="AB21" s="54"/>
      <c r="AC21" s="49" t="str">
        <f t="shared" si="0"/>
        <v>No aprobado</v>
      </c>
      <c r="BB21" s="117"/>
    </row>
    <row r="22" spans="1:54" ht="27.6" customHeight="1" x14ac:dyDescent="0.3">
      <c r="A22" s="49">
        <v>10</v>
      </c>
      <c r="B22" s="49" t="s">
        <v>386</v>
      </c>
      <c r="C22" s="55">
        <v>52199439</v>
      </c>
      <c r="D22" s="49" t="s">
        <v>115</v>
      </c>
      <c r="E22" s="49" t="s">
        <v>116</v>
      </c>
      <c r="F22" s="49" t="s">
        <v>117</v>
      </c>
      <c r="G22" s="51">
        <v>3</v>
      </c>
      <c r="H22" s="51">
        <v>2</v>
      </c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>
        <f t="shared" si="1"/>
        <v>5</v>
      </c>
      <c r="W22" s="51">
        <f t="shared" si="2"/>
        <v>2</v>
      </c>
      <c r="X22" s="52">
        <f t="shared" si="3"/>
        <v>0.15625</v>
      </c>
      <c r="Y22" s="49" t="str">
        <f t="shared" si="4"/>
        <v>No certificado</v>
      </c>
      <c r="Z22" s="49"/>
      <c r="AA22" s="49"/>
      <c r="AB22" s="54"/>
      <c r="AC22" s="49" t="str">
        <f t="shared" si="0"/>
        <v>No aprobado</v>
      </c>
      <c r="BB22" s="117" t="e">
        <f>AVERAGE(AD22:BA22)</f>
        <v>#DIV/0!</v>
      </c>
    </row>
    <row r="23" spans="1:54" ht="27.6" customHeight="1" x14ac:dyDescent="0.3">
      <c r="A23" s="49">
        <v>11</v>
      </c>
      <c r="B23" s="49" t="s">
        <v>221</v>
      </c>
      <c r="C23" s="55">
        <v>52454760</v>
      </c>
      <c r="D23" s="49" t="s">
        <v>115</v>
      </c>
      <c r="E23" s="49" t="s">
        <v>394</v>
      </c>
      <c r="F23" s="49" t="s">
        <v>117</v>
      </c>
      <c r="G23" s="51">
        <v>3</v>
      </c>
      <c r="H23" s="51">
        <v>2</v>
      </c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>
        <f t="shared" si="1"/>
        <v>5</v>
      </c>
      <c r="W23" s="51">
        <f t="shared" si="2"/>
        <v>2</v>
      </c>
      <c r="X23" s="52">
        <f t="shared" si="3"/>
        <v>0.15625</v>
      </c>
      <c r="Y23" s="49" t="str">
        <f t="shared" si="4"/>
        <v>No certificado</v>
      </c>
      <c r="Z23" s="49"/>
      <c r="AA23" s="49"/>
      <c r="AB23" s="54"/>
      <c r="AC23" s="49" t="str">
        <f t="shared" si="0"/>
        <v>No aprobado</v>
      </c>
      <c r="BB23" s="117" t="e">
        <f>AVERAGE(AD23:BA23)</f>
        <v>#DIV/0!</v>
      </c>
    </row>
    <row r="24" spans="1:54" ht="27.6" x14ac:dyDescent="0.3">
      <c r="A24" s="49">
        <v>12</v>
      </c>
      <c r="B24" s="49" t="s">
        <v>387</v>
      </c>
      <c r="C24" s="55">
        <v>79782154</v>
      </c>
      <c r="D24" s="49" t="s">
        <v>115</v>
      </c>
      <c r="E24" s="49" t="s">
        <v>119</v>
      </c>
      <c r="F24" s="49" t="s">
        <v>363</v>
      </c>
      <c r="G24" s="51">
        <v>3</v>
      </c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>
        <f t="shared" si="1"/>
        <v>3</v>
      </c>
      <c r="W24" s="51">
        <f t="shared" si="2"/>
        <v>1</v>
      </c>
      <c r="X24" s="52">
        <f t="shared" si="3"/>
        <v>9.375E-2</v>
      </c>
      <c r="Y24" s="49" t="str">
        <f t="shared" si="4"/>
        <v>No certificado</v>
      </c>
      <c r="Z24" s="49"/>
      <c r="AA24" s="49"/>
      <c r="AB24" s="54"/>
      <c r="AC24" s="49" t="str">
        <f t="shared" si="0"/>
        <v>No aprobado</v>
      </c>
      <c r="BB24" s="117" t="e">
        <f>AVERAGE(AD24:BA24)</f>
        <v>#DIV/0!</v>
      </c>
    </row>
    <row r="25" spans="1:54" ht="27.6" x14ac:dyDescent="0.3">
      <c r="A25" s="49">
        <v>13</v>
      </c>
      <c r="B25" s="49" t="s">
        <v>370</v>
      </c>
      <c r="C25" s="55">
        <v>52536438</v>
      </c>
      <c r="D25" s="49" t="s">
        <v>115</v>
      </c>
      <c r="E25" s="49" t="s">
        <v>125</v>
      </c>
      <c r="F25" s="49" t="s">
        <v>117</v>
      </c>
      <c r="G25" s="51">
        <v>3</v>
      </c>
      <c r="H25" s="51">
        <v>2</v>
      </c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>
        <f t="shared" si="1"/>
        <v>5</v>
      </c>
      <c r="W25" s="51">
        <f t="shared" si="2"/>
        <v>2</v>
      </c>
      <c r="X25" s="52">
        <f t="shared" si="3"/>
        <v>0.15625</v>
      </c>
      <c r="Y25" s="49" t="str">
        <f t="shared" si="4"/>
        <v>No certificado</v>
      </c>
      <c r="Z25" s="49"/>
      <c r="AA25" s="49"/>
      <c r="AB25" s="54"/>
      <c r="AC25" s="49" t="str">
        <f t="shared" si="0"/>
        <v>No aprobado</v>
      </c>
      <c r="BB25" s="117"/>
    </row>
    <row r="26" spans="1:54" ht="27.6" customHeight="1" x14ac:dyDescent="0.3">
      <c r="A26" s="49">
        <v>14</v>
      </c>
      <c r="B26" s="49" t="s">
        <v>388</v>
      </c>
      <c r="C26" s="55">
        <v>52763356</v>
      </c>
      <c r="D26" s="49" t="s">
        <v>115</v>
      </c>
      <c r="E26" s="49" t="s">
        <v>122</v>
      </c>
      <c r="F26" s="49" t="s">
        <v>117</v>
      </c>
      <c r="G26" s="51">
        <v>3</v>
      </c>
      <c r="H26" s="51">
        <v>2</v>
      </c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>
        <f t="shared" si="1"/>
        <v>5</v>
      </c>
      <c r="W26" s="51">
        <f t="shared" si="2"/>
        <v>2</v>
      </c>
      <c r="X26" s="52">
        <f t="shared" si="3"/>
        <v>0.15625</v>
      </c>
      <c r="Y26" s="49" t="str">
        <f t="shared" si="4"/>
        <v>No certificado</v>
      </c>
      <c r="Z26" s="49"/>
      <c r="AA26" s="49"/>
      <c r="AB26" s="54"/>
      <c r="AC26" s="49"/>
      <c r="BB26" s="117" t="e">
        <f>AVERAGE(AD26:BA26)</f>
        <v>#DIV/0!</v>
      </c>
    </row>
    <row r="27" spans="1:54" ht="27.6" x14ac:dyDescent="0.3">
      <c r="A27" s="49">
        <v>15</v>
      </c>
      <c r="B27" s="49" t="s">
        <v>374</v>
      </c>
      <c r="C27" s="55">
        <v>63436556</v>
      </c>
      <c r="D27" s="49" t="s">
        <v>115</v>
      </c>
      <c r="E27" s="49" t="s">
        <v>264</v>
      </c>
      <c r="F27" s="49" t="s">
        <v>117</v>
      </c>
      <c r="G27" s="51">
        <v>3</v>
      </c>
      <c r="H27" s="51">
        <v>2</v>
      </c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>
        <f t="shared" si="1"/>
        <v>5</v>
      </c>
      <c r="W27" s="51">
        <f t="shared" si="2"/>
        <v>2</v>
      </c>
      <c r="X27" s="52">
        <f t="shared" si="3"/>
        <v>0.15625</v>
      </c>
      <c r="Y27" s="49" t="str">
        <f t="shared" si="4"/>
        <v>No certificado</v>
      </c>
      <c r="Z27" s="49"/>
      <c r="AA27" s="49"/>
      <c r="AB27" s="54"/>
      <c r="AC27" s="49"/>
      <c r="BB27" s="117" t="e">
        <f>AVERAGE(AD27:BA27)</f>
        <v>#DIV/0!</v>
      </c>
    </row>
    <row r="28" spans="1:54" ht="27.6" customHeight="1" x14ac:dyDescent="0.3">
      <c r="A28" s="49">
        <v>16</v>
      </c>
      <c r="B28" s="49" t="s">
        <v>389</v>
      </c>
      <c r="C28" s="55">
        <v>1013579143</v>
      </c>
      <c r="D28" s="49" t="s">
        <v>115</v>
      </c>
      <c r="E28" s="49" t="s">
        <v>116</v>
      </c>
      <c r="F28" s="49" t="s">
        <v>117</v>
      </c>
      <c r="G28" s="51">
        <v>3</v>
      </c>
      <c r="H28" s="51">
        <v>2</v>
      </c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>
        <f t="shared" si="1"/>
        <v>5</v>
      </c>
      <c r="W28" s="51">
        <f t="shared" si="2"/>
        <v>2</v>
      </c>
      <c r="X28" s="52">
        <f t="shared" si="3"/>
        <v>0.15625</v>
      </c>
      <c r="Y28" s="49" t="str">
        <f t="shared" si="4"/>
        <v>No certificado</v>
      </c>
      <c r="Z28" s="49"/>
      <c r="AA28" s="49"/>
      <c r="AB28" s="54"/>
      <c r="AC28" s="49"/>
      <c r="BB28" s="117" t="e">
        <f>AVERAGE(AD28:BA28)</f>
        <v>#DIV/0!</v>
      </c>
    </row>
    <row r="29" spans="1:54" ht="48.75" customHeight="1" x14ac:dyDescent="0.3">
      <c r="A29" s="142" t="s">
        <v>127</v>
      </c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4"/>
    </row>
  </sheetData>
  <mergeCells count="31">
    <mergeCell ref="AW11:BA11"/>
    <mergeCell ref="A29:AC29"/>
    <mergeCell ref="AA10:AC10"/>
    <mergeCell ref="AD10:BB10"/>
    <mergeCell ref="A11:F11"/>
    <mergeCell ref="G11:U11"/>
    <mergeCell ref="V11:Y11"/>
    <mergeCell ref="Z11:AC11"/>
    <mergeCell ref="AD11:AI11"/>
    <mergeCell ref="AJ11:AL11"/>
    <mergeCell ref="AM11:AV11"/>
    <mergeCell ref="A10:B10"/>
    <mergeCell ref="D10:E10"/>
    <mergeCell ref="G10:N10"/>
    <mergeCell ref="O10:U10"/>
    <mergeCell ref="V10:W10"/>
    <mergeCell ref="X10:Y10"/>
    <mergeCell ref="A7:AC7"/>
    <mergeCell ref="A8:AC8"/>
    <mergeCell ref="A9:D9"/>
    <mergeCell ref="E9:F9"/>
    <mergeCell ref="G9:N9"/>
    <mergeCell ref="O9:U9"/>
    <mergeCell ref="V9:Y9"/>
    <mergeCell ref="Z9:AC9"/>
    <mergeCell ref="A6:AC6"/>
    <mergeCell ref="A1:F4"/>
    <mergeCell ref="G1:W4"/>
    <mergeCell ref="X1:AC2"/>
    <mergeCell ref="X3:AC4"/>
    <mergeCell ref="A5:AC5"/>
  </mergeCells>
  <dataValidations disablePrompts="1" count="2">
    <dataValidation allowBlank="1" showErrorMessage="1" sqref="C13:C28" xr:uid="{E51D92BA-B41D-42F0-B83B-AA81EEA9F989}"/>
    <dataValidation type="list" allowBlank="1" showErrorMessage="1" sqref="D13:D28" xr:uid="{2C00334C-B483-424C-B75E-4F99201B4020}">
      <formula1>"Contratista,Planta"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CE41D-82CE-46BE-97F2-BDCA4FA5E42C}">
  <sheetPr>
    <tabColor rgb="FF00B050"/>
    <outlinePr summaryBelow="0" summaryRight="0"/>
  </sheetPr>
  <dimension ref="A1:BB20"/>
  <sheetViews>
    <sheetView topLeftCell="B7" workbookViewId="0">
      <selection activeCell="F17" sqref="F17"/>
    </sheetView>
  </sheetViews>
  <sheetFormatPr baseColWidth="10" defaultColWidth="12.5546875" defaultRowHeight="15.75" customHeight="1" x14ac:dyDescent="0.3"/>
  <cols>
    <col min="1" max="1" width="12.5546875" style="44"/>
    <col min="2" max="2" width="38.109375" style="44" customWidth="1"/>
    <col min="3" max="3" width="15.88671875" style="44" customWidth="1"/>
    <col min="4" max="4" width="34.33203125" style="44" customWidth="1"/>
    <col min="5" max="6" width="25.5546875" style="44" customWidth="1"/>
    <col min="7" max="21" width="12.5546875" style="44"/>
    <col min="22" max="22" width="20.109375" style="44" customWidth="1"/>
    <col min="23" max="23" width="18.5546875" style="44" customWidth="1"/>
    <col min="24" max="24" width="13.88671875" style="44" customWidth="1"/>
    <col min="25" max="25" width="20.5546875" style="44" customWidth="1"/>
    <col min="26" max="28" width="12.5546875" style="44"/>
    <col min="29" max="29" width="13.6640625" style="44" customWidth="1"/>
    <col min="30" max="53" width="25.109375" style="44" customWidth="1"/>
    <col min="54" max="16384" width="12.5546875" style="44"/>
  </cols>
  <sheetData>
    <row r="1" spans="1:54" ht="14.4" x14ac:dyDescent="0.3">
      <c r="A1" s="156" t="s">
        <v>80</v>
      </c>
      <c r="B1" s="157"/>
      <c r="C1" s="157"/>
      <c r="D1" s="157"/>
      <c r="E1" s="157"/>
      <c r="F1" s="157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2"/>
      <c r="X1" s="156" t="s">
        <v>81</v>
      </c>
      <c r="Y1" s="157"/>
      <c r="Z1" s="157"/>
      <c r="AA1" s="157"/>
      <c r="AB1" s="157"/>
      <c r="AC1" s="167"/>
    </row>
    <row r="2" spans="1:54" ht="14.4" x14ac:dyDescent="0.3">
      <c r="A2" s="158"/>
      <c r="B2" s="159"/>
      <c r="C2" s="159"/>
      <c r="D2" s="159"/>
      <c r="E2" s="159"/>
      <c r="F2" s="159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4"/>
      <c r="X2" s="160"/>
      <c r="Y2" s="148"/>
      <c r="Z2" s="148"/>
      <c r="AA2" s="148"/>
      <c r="AB2" s="148"/>
      <c r="AC2" s="168"/>
    </row>
    <row r="3" spans="1:54" ht="14.4" x14ac:dyDescent="0.3">
      <c r="A3" s="158"/>
      <c r="B3" s="159"/>
      <c r="C3" s="159"/>
      <c r="D3" s="159"/>
      <c r="E3" s="159"/>
      <c r="F3" s="159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4"/>
      <c r="X3" s="156" t="s">
        <v>82</v>
      </c>
      <c r="Y3" s="157"/>
      <c r="Z3" s="157"/>
      <c r="AA3" s="157"/>
      <c r="AB3" s="157"/>
      <c r="AC3" s="167"/>
    </row>
    <row r="4" spans="1:54" ht="14.4" x14ac:dyDescent="0.3">
      <c r="A4" s="160"/>
      <c r="B4" s="148"/>
      <c r="C4" s="148"/>
      <c r="D4" s="148"/>
      <c r="E4" s="148"/>
      <c r="F4" s="148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6"/>
      <c r="X4" s="160"/>
      <c r="Y4" s="148"/>
      <c r="Z4" s="148"/>
      <c r="AA4" s="148"/>
      <c r="AB4" s="148"/>
      <c r="AC4" s="168"/>
    </row>
    <row r="5" spans="1:54" ht="22.5" customHeight="1" x14ac:dyDescent="0.3">
      <c r="A5" s="155" t="s">
        <v>83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4"/>
    </row>
    <row r="6" spans="1:54" ht="22.5" customHeight="1" x14ac:dyDescent="0.3">
      <c r="A6" s="155" t="s">
        <v>84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4"/>
    </row>
    <row r="7" spans="1:54" ht="14.4" x14ac:dyDescent="0.3">
      <c r="A7" s="145" t="s">
        <v>85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4"/>
    </row>
    <row r="8" spans="1:54" ht="33.75" customHeight="1" x14ac:dyDescent="0.3">
      <c r="A8" s="150" t="s">
        <v>390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57"/>
      <c r="P8" s="157"/>
      <c r="Q8" s="157"/>
      <c r="R8" s="157"/>
      <c r="S8" s="157"/>
      <c r="T8" s="157"/>
      <c r="U8" s="157"/>
      <c r="V8" s="143"/>
      <c r="W8" s="143"/>
      <c r="X8" s="143"/>
      <c r="Y8" s="143"/>
      <c r="Z8" s="143"/>
      <c r="AA8" s="143"/>
      <c r="AB8" s="143"/>
      <c r="AC8" s="144"/>
    </row>
    <row r="9" spans="1:54" ht="33.75" customHeight="1" x14ac:dyDescent="0.3">
      <c r="A9" s="145" t="s">
        <v>87</v>
      </c>
      <c r="B9" s="143"/>
      <c r="C9" s="143"/>
      <c r="D9" s="144"/>
      <c r="E9" s="150" t="str">
        <f>'Formato Cronograma'!F15</f>
        <v>William Angel Salazar Pulido</v>
      </c>
      <c r="F9" s="151"/>
      <c r="G9" s="145" t="s">
        <v>88</v>
      </c>
      <c r="H9" s="149"/>
      <c r="I9" s="149"/>
      <c r="J9" s="149"/>
      <c r="K9" s="149"/>
      <c r="L9" s="149"/>
      <c r="M9" s="149"/>
      <c r="N9" s="149"/>
      <c r="O9" s="169" t="s">
        <v>89</v>
      </c>
      <c r="P9" s="169"/>
      <c r="Q9" s="169"/>
      <c r="R9" s="169"/>
      <c r="S9" s="169"/>
      <c r="T9" s="169"/>
      <c r="U9" s="169"/>
      <c r="V9" s="149" t="s">
        <v>90</v>
      </c>
      <c r="W9" s="143"/>
      <c r="X9" s="143"/>
      <c r="Y9" s="144"/>
      <c r="Z9" s="152" t="s">
        <v>91</v>
      </c>
      <c r="AA9" s="153"/>
      <c r="AB9" s="153"/>
      <c r="AC9" s="154"/>
    </row>
    <row r="10" spans="1:54" ht="33.75" customHeight="1" x14ac:dyDescent="0.3">
      <c r="A10" s="145" t="s">
        <v>92</v>
      </c>
      <c r="B10" s="144"/>
      <c r="C10" s="46">
        <f>'Formato Cronograma'!K15</f>
        <v>46098</v>
      </c>
      <c r="D10" s="145" t="s">
        <v>93</v>
      </c>
      <c r="E10" s="171"/>
      <c r="F10" s="48">
        <f>'Formato Cronograma'!L15</f>
        <v>46154</v>
      </c>
      <c r="G10" s="147">
        <v>2</v>
      </c>
      <c r="H10" s="146"/>
      <c r="I10" s="146"/>
      <c r="J10" s="146"/>
      <c r="K10" s="146"/>
      <c r="L10" s="146"/>
      <c r="M10" s="146"/>
      <c r="N10" s="146"/>
      <c r="O10" s="170">
        <v>13</v>
      </c>
      <c r="P10" s="170"/>
      <c r="Q10" s="170"/>
      <c r="R10" s="170"/>
      <c r="S10" s="170"/>
      <c r="T10" s="170"/>
      <c r="U10" s="170"/>
      <c r="V10" s="149" t="s">
        <v>129</v>
      </c>
      <c r="W10" s="144"/>
      <c r="X10" s="147">
        <v>32</v>
      </c>
      <c r="Y10" s="144"/>
      <c r="Z10" s="45" t="s">
        <v>95</v>
      </c>
      <c r="AA10" s="147"/>
      <c r="AB10" s="143"/>
      <c r="AC10" s="144"/>
      <c r="AD10" s="172" t="s">
        <v>139</v>
      </c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</row>
    <row r="11" spans="1:54" ht="14.4" x14ac:dyDescent="0.3">
      <c r="A11" s="177" t="s">
        <v>96</v>
      </c>
      <c r="B11" s="157"/>
      <c r="C11" s="157"/>
      <c r="D11" s="157"/>
      <c r="E11" s="157"/>
      <c r="F11" s="178"/>
      <c r="G11" s="177" t="s">
        <v>97</v>
      </c>
      <c r="H11" s="157"/>
      <c r="I11" s="157"/>
      <c r="J11" s="157"/>
      <c r="K11" s="157"/>
      <c r="L11" s="157"/>
      <c r="M11" s="157"/>
      <c r="N11" s="157"/>
      <c r="O11" s="178"/>
      <c r="P11" s="178"/>
      <c r="Q11" s="178"/>
      <c r="R11" s="178"/>
      <c r="S11" s="178"/>
      <c r="T11" s="178"/>
      <c r="U11" s="178"/>
      <c r="V11" s="177" t="s">
        <v>98</v>
      </c>
      <c r="W11" s="157"/>
      <c r="X11" s="157"/>
      <c r="Y11" s="167"/>
      <c r="Z11" s="177" t="s">
        <v>99</v>
      </c>
      <c r="AA11" s="157"/>
      <c r="AB11" s="157"/>
      <c r="AC11" s="157"/>
      <c r="AD11" s="173" t="s">
        <v>239</v>
      </c>
      <c r="AE11" s="174"/>
      <c r="AF11" s="174"/>
      <c r="AG11" s="174"/>
      <c r="AH11" s="174"/>
      <c r="AI11" s="175"/>
      <c r="AJ11" s="173" t="s">
        <v>142</v>
      </c>
      <c r="AK11" s="174"/>
      <c r="AL11" s="175"/>
      <c r="AM11" s="173" t="s">
        <v>143</v>
      </c>
      <c r="AN11" s="174"/>
      <c r="AO11" s="174"/>
      <c r="AP11" s="174"/>
      <c r="AQ11" s="174"/>
      <c r="AR11" s="174"/>
      <c r="AS11" s="174"/>
      <c r="AT11" s="174"/>
      <c r="AU11" s="174"/>
      <c r="AV11" s="175"/>
      <c r="AW11" s="173" t="s">
        <v>144</v>
      </c>
      <c r="AX11" s="174"/>
      <c r="AY11" s="174"/>
      <c r="AZ11" s="174"/>
      <c r="BA11" s="175"/>
      <c r="BB11" s="98" t="s">
        <v>145</v>
      </c>
    </row>
    <row r="12" spans="1:54" s="68" customFormat="1" ht="42.75" customHeight="1" x14ac:dyDescent="0.3">
      <c r="A12" s="64" t="s">
        <v>100</v>
      </c>
      <c r="B12" s="65" t="s">
        <v>101</v>
      </c>
      <c r="C12" s="65" t="s">
        <v>102</v>
      </c>
      <c r="D12" s="65" t="s">
        <v>103</v>
      </c>
      <c r="E12" s="65" t="s">
        <v>104</v>
      </c>
      <c r="F12" s="65" t="s">
        <v>105</v>
      </c>
      <c r="G12" s="65" t="s">
        <v>240</v>
      </c>
      <c r="H12" s="65" t="s">
        <v>241</v>
      </c>
      <c r="I12" s="65" t="s">
        <v>242</v>
      </c>
      <c r="J12" s="65" t="s">
        <v>243</v>
      </c>
      <c r="K12" s="65" t="s">
        <v>244</v>
      </c>
      <c r="L12" s="65" t="s">
        <v>245</v>
      </c>
      <c r="M12" s="65" t="s">
        <v>246</v>
      </c>
      <c r="N12" s="65" t="s">
        <v>247</v>
      </c>
      <c r="O12" s="65" t="s">
        <v>248</v>
      </c>
      <c r="P12" s="65" t="s">
        <v>249</v>
      </c>
      <c r="Q12" s="65" t="s">
        <v>250</v>
      </c>
      <c r="R12" s="65" t="s">
        <v>251</v>
      </c>
      <c r="S12" s="65" t="s">
        <v>252</v>
      </c>
      <c r="T12" s="65" t="s">
        <v>253</v>
      </c>
      <c r="U12" s="65" t="s">
        <v>391</v>
      </c>
      <c r="V12" s="65" t="s">
        <v>106</v>
      </c>
      <c r="W12" s="65" t="s">
        <v>107</v>
      </c>
      <c r="X12" s="65" t="s">
        <v>108</v>
      </c>
      <c r="Y12" s="65" t="s">
        <v>109</v>
      </c>
      <c r="Z12" s="65" t="s">
        <v>110</v>
      </c>
      <c r="AA12" s="65" t="s">
        <v>111</v>
      </c>
      <c r="AB12" s="65" t="s">
        <v>112</v>
      </c>
      <c r="AC12" s="65" t="s">
        <v>113</v>
      </c>
      <c r="AD12" s="66" t="s">
        <v>146</v>
      </c>
      <c r="AE12" s="66" t="s">
        <v>147</v>
      </c>
      <c r="AF12" s="66" t="s">
        <v>148</v>
      </c>
      <c r="AG12" s="66" t="s">
        <v>149</v>
      </c>
      <c r="AH12" s="66" t="s">
        <v>150</v>
      </c>
      <c r="AI12" s="66" t="s">
        <v>151</v>
      </c>
      <c r="AJ12" s="66" t="s">
        <v>152</v>
      </c>
      <c r="AK12" s="66" t="s">
        <v>153</v>
      </c>
      <c r="AL12" s="66" t="s">
        <v>154</v>
      </c>
      <c r="AM12" s="66" t="s">
        <v>155</v>
      </c>
      <c r="AN12" s="66" t="s">
        <v>156</v>
      </c>
      <c r="AO12" s="66" t="s">
        <v>157</v>
      </c>
      <c r="AP12" s="66" t="s">
        <v>158</v>
      </c>
      <c r="AQ12" s="66" t="s">
        <v>159</v>
      </c>
      <c r="AR12" s="66" t="s">
        <v>160</v>
      </c>
      <c r="AS12" s="66" t="s">
        <v>161</v>
      </c>
      <c r="AT12" s="66" t="s">
        <v>162</v>
      </c>
      <c r="AU12" s="66" t="s">
        <v>163</v>
      </c>
      <c r="AV12" s="66" t="s">
        <v>164</v>
      </c>
      <c r="AW12" s="66" t="s">
        <v>165</v>
      </c>
      <c r="AX12" s="66" t="s">
        <v>166</v>
      </c>
      <c r="AY12" s="66" t="s">
        <v>167</v>
      </c>
      <c r="AZ12" s="67" t="s">
        <v>168</v>
      </c>
      <c r="BA12" s="84" t="s">
        <v>169</v>
      </c>
      <c r="BB12" s="84" t="s">
        <v>170</v>
      </c>
    </row>
    <row r="13" spans="1:54" ht="25.5" customHeight="1" x14ac:dyDescent="0.3">
      <c r="A13" s="57">
        <v>1</v>
      </c>
      <c r="B13" s="49" t="s">
        <v>171</v>
      </c>
      <c r="C13" s="55">
        <v>63532359</v>
      </c>
      <c r="D13" s="49" t="s">
        <v>115</v>
      </c>
      <c r="E13" s="49" t="s">
        <v>264</v>
      </c>
      <c r="F13" s="49" t="s">
        <v>117</v>
      </c>
      <c r="G13" s="49">
        <v>3</v>
      </c>
      <c r="H13" s="49">
        <v>2</v>
      </c>
      <c r="I13" s="49">
        <v>2</v>
      </c>
      <c r="J13" s="49">
        <v>2</v>
      </c>
      <c r="K13" s="49">
        <v>2</v>
      </c>
      <c r="L13" s="49">
        <v>2</v>
      </c>
      <c r="M13" s="49">
        <v>2</v>
      </c>
      <c r="N13" s="49">
        <v>2</v>
      </c>
      <c r="O13" s="49">
        <v>2</v>
      </c>
      <c r="P13" s="49">
        <v>2</v>
      </c>
      <c r="Q13" s="49">
        <v>2</v>
      </c>
      <c r="R13" s="49">
        <v>2</v>
      </c>
      <c r="S13" s="49">
        <v>2</v>
      </c>
      <c r="T13" s="49">
        <v>2</v>
      </c>
      <c r="U13" s="49">
        <v>3</v>
      </c>
      <c r="V13" s="51">
        <f t="shared" ref="V13:V19" si="0">IF(B13&lt;&gt;"",SUM(G13:U13),"")</f>
        <v>32</v>
      </c>
      <c r="W13" s="51">
        <f t="shared" ref="W13:W19" si="1">IF(B13&lt;&gt;"",COUNTA(G13:U13),"")</f>
        <v>15</v>
      </c>
      <c r="X13" s="52">
        <f t="shared" ref="X13:X19" si="2">IF(B13&lt;&gt;"",SUM(G13:U13)/32,"")</f>
        <v>1</v>
      </c>
      <c r="Y13" s="49" t="str">
        <f>IF(X13="","",IF(X13&gt;=80%,"Certificado","No certificado"))</f>
        <v>Certificado</v>
      </c>
      <c r="Z13" s="54"/>
      <c r="AA13" s="54">
        <v>5</v>
      </c>
      <c r="AB13" s="54">
        <v>5</v>
      </c>
      <c r="AC13" s="49" t="str">
        <f t="shared" ref="AC13:AC19" si="3">IF(B13="","",IF(AND(X13&gt;=0.8,AB13&gt;=3),"Aprobado","No aprobado"))</f>
        <v>Aprobado</v>
      </c>
      <c r="AD13" s="77">
        <v>5</v>
      </c>
      <c r="AE13" s="77">
        <v>5</v>
      </c>
      <c r="AF13" s="77">
        <v>5</v>
      </c>
      <c r="AG13" s="77">
        <v>5</v>
      </c>
      <c r="AH13" s="77">
        <v>5</v>
      </c>
      <c r="AI13" s="77">
        <v>5</v>
      </c>
      <c r="AJ13" s="77">
        <v>5</v>
      </c>
      <c r="AK13" s="77">
        <v>5</v>
      </c>
      <c r="AL13" s="77">
        <v>5</v>
      </c>
      <c r="AM13" s="77">
        <v>5</v>
      </c>
      <c r="AN13" s="77">
        <v>5</v>
      </c>
      <c r="AO13" s="77">
        <v>5</v>
      </c>
      <c r="AP13" s="77">
        <v>5</v>
      </c>
      <c r="AQ13" s="77">
        <v>5</v>
      </c>
      <c r="AR13" s="77"/>
      <c r="AS13" s="77"/>
      <c r="AT13" s="77"/>
      <c r="AU13" s="77"/>
      <c r="AV13" s="77">
        <v>5</v>
      </c>
      <c r="AW13" s="78" t="s">
        <v>173</v>
      </c>
      <c r="AX13" s="78" t="s">
        <v>392</v>
      </c>
      <c r="AY13" s="78" t="s">
        <v>393</v>
      </c>
      <c r="AZ13" s="78" t="s">
        <v>175</v>
      </c>
      <c r="BA13" s="86">
        <v>5</v>
      </c>
      <c r="BB13" s="85">
        <f>AVERAGE(Tabla_PensamientoCrit[[#This Row],[1,1 El cumplimiento de los objetivos y desarrollo del contenido de la actividad fue]:[4,5 ¿La actividad fue satisfactoria?]])</f>
        <v>5</v>
      </c>
    </row>
    <row r="14" spans="1:54" ht="27.6" x14ac:dyDescent="0.3">
      <c r="A14" s="57">
        <v>2</v>
      </c>
      <c r="B14" s="49" t="s">
        <v>186</v>
      </c>
      <c r="C14" s="55">
        <v>52758406</v>
      </c>
      <c r="D14" s="49" t="s">
        <v>115</v>
      </c>
      <c r="E14" s="49" t="s">
        <v>394</v>
      </c>
      <c r="F14" s="49" t="s">
        <v>117</v>
      </c>
      <c r="G14" s="49"/>
      <c r="H14" s="49">
        <v>2</v>
      </c>
      <c r="I14" s="49">
        <v>2</v>
      </c>
      <c r="J14" s="49">
        <v>2</v>
      </c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51">
        <f t="shared" si="0"/>
        <v>6</v>
      </c>
      <c r="W14" s="51">
        <f t="shared" si="1"/>
        <v>3</v>
      </c>
      <c r="X14" s="52">
        <f t="shared" si="2"/>
        <v>0.1875</v>
      </c>
      <c r="Y14" s="49" t="str">
        <f t="shared" ref="Y14:Y19" si="4">IF(X14="","",IF(X14&gt;=80%,"Certificado","No certificado"))</f>
        <v>No certificado</v>
      </c>
      <c r="Z14" s="54">
        <v>5</v>
      </c>
      <c r="AA14" s="54"/>
      <c r="AB14" s="54">
        <v>5</v>
      </c>
      <c r="AC14" s="49" t="str">
        <f t="shared" si="3"/>
        <v>No aprobado</v>
      </c>
      <c r="AD14" s="77">
        <v>5</v>
      </c>
      <c r="AE14" s="77">
        <v>5</v>
      </c>
      <c r="AF14" s="77">
        <v>5</v>
      </c>
      <c r="AG14" s="77">
        <v>5</v>
      </c>
      <c r="AH14" s="77">
        <v>5</v>
      </c>
      <c r="AI14" s="77">
        <v>5</v>
      </c>
      <c r="AJ14" s="77">
        <v>5</v>
      </c>
      <c r="AK14" s="77">
        <v>5</v>
      </c>
      <c r="AL14" s="77">
        <v>5</v>
      </c>
      <c r="AM14" s="77">
        <v>5</v>
      </c>
      <c r="AN14" s="77">
        <v>5</v>
      </c>
      <c r="AO14" s="77">
        <v>5</v>
      </c>
      <c r="AP14" s="77">
        <v>5</v>
      </c>
      <c r="AQ14" s="77">
        <v>5</v>
      </c>
      <c r="AR14" s="77">
        <v>5</v>
      </c>
      <c r="AS14" s="77">
        <v>5</v>
      </c>
      <c r="AT14" s="77">
        <v>5</v>
      </c>
      <c r="AU14" s="77">
        <v>5</v>
      </c>
      <c r="AV14" s="77">
        <v>5</v>
      </c>
      <c r="AW14" s="78" t="s">
        <v>236</v>
      </c>
      <c r="AX14" s="78" t="s">
        <v>236</v>
      </c>
      <c r="AY14" s="78" t="s">
        <v>236</v>
      </c>
      <c r="AZ14" s="78" t="s">
        <v>175</v>
      </c>
      <c r="BA14" s="79">
        <v>5</v>
      </c>
      <c r="BB14" s="85">
        <f>AVERAGE(Tabla_PensamientoCrit[[#This Row],[1,1 El cumplimiento de los objetivos y desarrollo del contenido de la actividad fue]:[4,5 ¿La actividad fue satisfactoria?]])</f>
        <v>5</v>
      </c>
    </row>
    <row r="15" spans="1:54" ht="41.4" x14ac:dyDescent="0.3">
      <c r="A15" s="57">
        <v>3</v>
      </c>
      <c r="B15" s="49" t="s">
        <v>395</v>
      </c>
      <c r="C15" s="55">
        <v>80467964</v>
      </c>
      <c r="D15" s="49" t="s">
        <v>115</v>
      </c>
      <c r="E15" s="49" t="s">
        <v>122</v>
      </c>
      <c r="F15" s="49" t="s">
        <v>117</v>
      </c>
      <c r="G15" s="49">
        <v>3</v>
      </c>
      <c r="H15" s="49">
        <v>2</v>
      </c>
      <c r="I15" s="49">
        <v>2</v>
      </c>
      <c r="J15" s="49">
        <v>2</v>
      </c>
      <c r="K15" s="49">
        <v>2</v>
      </c>
      <c r="L15" s="49">
        <v>2</v>
      </c>
      <c r="M15" s="49">
        <v>2</v>
      </c>
      <c r="N15" s="49">
        <v>2</v>
      </c>
      <c r="O15" s="49">
        <v>2</v>
      </c>
      <c r="P15" s="49">
        <v>2</v>
      </c>
      <c r="Q15" s="49">
        <v>2</v>
      </c>
      <c r="R15" s="49">
        <v>2</v>
      </c>
      <c r="S15" s="49">
        <v>2</v>
      </c>
      <c r="T15" s="49">
        <v>2</v>
      </c>
      <c r="U15" s="49">
        <v>3</v>
      </c>
      <c r="V15" s="51">
        <f t="shared" si="0"/>
        <v>32</v>
      </c>
      <c r="W15" s="51">
        <f t="shared" si="1"/>
        <v>15</v>
      </c>
      <c r="X15" s="52">
        <f t="shared" si="2"/>
        <v>1</v>
      </c>
      <c r="Y15" s="49" t="str">
        <f t="shared" si="4"/>
        <v>Certificado</v>
      </c>
      <c r="Z15" s="54">
        <v>5</v>
      </c>
      <c r="AA15" s="54">
        <v>5</v>
      </c>
      <c r="AB15" s="54">
        <v>5</v>
      </c>
      <c r="AC15" s="49" t="str">
        <f t="shared" si="3"/>
        <v>Aprobado</v>
      </c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8"/>
      <c r="AX15" s="78"/>
      <c r="AY15" s="78"/>
      <c r="AZ15" s="78"/>
      <c r="BA15" s="79"/>
      <c r="BB15" s="78"/>
    </row>
    <row r="16" spans="1:54" ht="41.4" x14ac:dyDescent="0.3">
      <c r="A16" s="57">
        <v>4</v>
      </c>
      <c r="B16" s="49" t="s">
        <v>396</v>
      </c>
      <c r="C16" s="55">
        <v>11439696</v>
      </c>
      <c r="D16" s="49" t="s">
        <v>115</v>
      </c>
      <c r="E16" s="49" t="s">
        <v>122</v>
      </c>
      <c r="F16" s="49" t="s">
        <v>117</v>
      </c>
      <c r="G16" s="49">
        <v>3</v>
      </c>
      <c r="H16" s="49">
        <v>2</v>
      </c>
      <c r="I16" s="49">
        <v>2</v>
      </c>
      <c r="J16" s="49">
        <v>2</v>
      </c>
      <c r="K16" s="49"/>
      <c r="L16" s="49">
        <v>2</v>
      </c>
      <c r="M16" s="49">
        <v>2</v>
      </c>
      <c r="N16" s="49">
        <v>2</v>
      </c>
      <c r="O16" s="49">
        <v>2</v>
      </c>
      <c r="P16" s="49">
        <v>2</v>
      </c>
      <c r="Q16" s="49">
        <v>2</v>
      </c>
      <c r="R16" s="49">
        <v>2</v>
      </c>
      <c r="S16" s="49">
        <v>2</v>
      </c>
      <c r="T16" s="49">
        <v>2</v>
      </c>
      <c r="U16" s="49"/>
      <c r="V16" s="51">
        <f t="shared" si="0"/>
        <v>27</v>
      </c>
      <c r="W16" s="51">
        <f t="shared" si="1"/>
        <v>13</v>
      </c>
      <c r="X16" s="52">
        <f t="shared" si="2"/>
        <v>0.84375</v>
      </c>
      <c r="Y16" s="49" t="str">
        <f t="shared" si="4"/>
        <v>Certificado</v>
      </c>
      <c r="Z16" s="54">
        <v>5</v>
      </c>
      <c r="AA16" s="54">
        <v>5</v>
      </c>
      <c r="AB16" s="54">
        <v>5</v>
      </c>
      <c r="AC16" s="49" t="str">
        <f t="shared" si="3"/>
        <v>Aprobado</v>
      </c>
      <c r="AD16" s="77">
        <v>5</v>
      </c>
      <c r="AE16" s="77">
        <v>5</v>
      </c>
      <c r="AF16" s="77">
        <v>5</v>
      </c>
      <c r="AG16" s="77">
        <v>5</v>
      </c>
      <c r="AH16" s="77">
        <v>5</v>
      </c>
      <c r="AI16" s="77">
        <v>5</v>
      </c>
      <c r="AJ16" s="77">
        <v>5</v>
      </c>
      <c r="AK16" s="77">
        <v>5</v>
      </c>
      <c r="AL16" s="77">
        <v>5</v>
      </c>
      <c r="AM16" s="77">
        <v>5</v>
      </c>
      <c r="AN16" s="77">
        <v>5</v>
      </c>
      <c r="AO16" s="77">
        <v>5</v>
      </c>
      <c r="AP16" s="77">
        <v>5</v>
      </c>
      <c r="AQ16" s="77">
        <v>5</v>
      </c>
      <c r="AR16" s="77">
        <v>5</v>
      </c>
      <c r="AS16" s="77">
        <v>5</v>
      </c>
      <c r="AT16" s="77">
        <v>5</v>
      </c>
      <c r="AU16" s="77">
        <v>5</v>
      </c>
      <c r="AV16" s="77">
        <v>5</v>
      </c>
      <c r="AW16" s="78" t="s">
        <v>397</v>
      </c>
      <c r="AX16" s="78" t="s">
        <v>398</v>
      </c>
      <c r="AY16" s="78" t="s">
        <v>399</v>
      </c>
      <c r="AZ16" s="78" t="s">
        <v>175</v>
      </c>
      <c r="BA16" s="79">
        <v>5</v>
      </c>
      <c r="BB16" s="85">
        <f>AVERAGE(Tabla_PensamientoCrit[[#This Row],[1,1 El cumplimiento de los objetivos y desarrollo del contenido de la actividad fue]:[4,5 ¿La actividad fue satisfactoria?]])</f>
        <v>5</v>
      </c>
    </row>
    <row r="17" spans="1:54" ht="14.4" x14ac:dyDescent="0.3">
      <c r="A17" s="57">
        <v>5</v>
      </c>
      <c r="B17" s="49" t="s">
        <v>400</v>
      </c>
      <c r="C17" s="55">
        <v>79382033</v>
      </c>
      <c r="D17" s="49" t="s">
        <v>115</v>
      </c>
      <c r="E17" s="49" t="s">
        <v>401</v>
      </c>
      <c r="F17" s="49" t="s">
        <v>117</v>
      </c>
      <c r="G17" s="49">
        <v>3</v>
      </c>
      <c r="H17" s="49">
        <v>2</v>
      </c>
      <c r="I17" s="49">
        <v>2</v>
      </c>
      <c r="J17" s="49">
        <v>2</v>
      </c>
      <c r="K17" s="49">
        <v>2</v>
      </c>
      <c r="L17" s="49">
        <v>2</v>
      </c>
      <c r="M17" s="49">
        <v>2</v>
      </c>
      <c r="N17" s="49">
        <v>2</v>
      </c>
      <c r="O17" s="49">
        <v>2</v>
      </c>
      <c r="P17" s="49">
        <v>2</v>
      </c>
      <c r="Q17" s="49">
        <v>2</v>
      </c>
      <c r="R17" s="49">
        <v>2</v>
      </c>
      <c r="S17" s="49">
        <v>2</v>
      </c>
      <c r="T17" s="49">
        <v>2</v>
      </c>
      <c r="U17" s="49">
        <v>3</v>
      </c>
      <c r="V17" s="51">
        <f t="shared" si="0"/>
        <v>32</v>
      </c>
      <c r="W17" s="51">
        <f t="shared" si="1"/>
        <v>15</v>
      </c>
      <c r="X17" s="52">
        <f t="shared" si="2"/>
        <v>1</v>
      </c>
      <c r="Y17" s="49" t="str">
        <f t="shared" si="4"/>
        <v>Certificado</v>
      </c>
      <c r="Z17" s="54">
        <v>5</v>
      </c>
      <c r="AA17" s="54">
        <v>5</v>
      </c>
      <c r="AB17" s="54">
        <v>5</v>
      </c>
      <c r="AC17" s="49" t="str">
        <f t="shared" si="3"/>
        <v>Aprobado</v>
      </c>
      <c r="AD17" s="77">
        <v>5</v>
      </c>
      <c r="AE17" s="77">
        <v>5</v>
      </c>
      <c r="AF17" s="77">
        <v>5</v>
      </c>
      <c r="AG17" s="77">
        <v>5</v>
      </c>
      <c r="AH17" s="77">
        <v>5</v>
      </c>
      <c r="AI17" s="77">
        <v>5</v>
      </c>
      <c r="AJ17" s="77">
        <v>4</v>
      </c>
      <c r="AK17" s="77">
        <v>4</v>
      </c>
      <c r="AL17" s="77">
        <v>4</v>
      </c>
      <c r="AM17" s="77">
        <v>4</v>
      </c>
      <c r="AN17" s="77">
        <v>4</v>
      </c>
      <c r="AO17" s="77">
        <v>5</v>
      </c>
      <c r="AP17" s="77">
        <v>4</v>
      </c>
      <c r="AQ17" s="77">
        <v>5</v>
      </c>
      <c r="AR17" s="77">
        <v>5</v>
      </c>
      <c r="AS17" s="77">
        <v>5</v>
      </c>
      <c r="AT17" s="77">
        <v>4</v>
      </c>
      <c r="AU17" s="77">
        <v>4</v>
      </c>
      <c r="AV17" s="77">
        <v>4</v>
      </c>
      <c r="AW17" s="78" t="s">
        <v>402</v>
      </c>
      <c r="AX17" s="78" t="s">
        <v>403</v>
      </c>
      <c r="AY17" s="78" t="s">
        <v>404</v>
      </c>
      <c r="AZ17" s="78" t="s">
        <v>175</v>
      </c>
      <c r="BA17" s="79">
        <v>5</v>
      </c>
      <c r="BB17" s="85">
        <f>AVERAGE(Tabla_PensamientoCrit[[#This Row],[1,1 El cumplimiento de los objetivos y desarrollo del contenido de la actividad fue]:[4,5 ¿La actividad fue satisfactoria?]])</f>
        <v>4.55</v>
      </c>
    </row>
    <row r="18" spans="1:54" ht="27.6" x14ac:dyDescent="0.3">
      <c r="A18" s="57">
        <v>6</v>
      </c>
      <c r="B18" s="49" t="s">
        <v>405</v>
      </c>
      <c r="C18" s="55">
        <v>1032399404</v>
      </c>
      <c r="D18" s="49" t="s">
        <v>115</v>
      </c>
      <c r="E18" s="49" t="s">
        <v>125</v>
      </c>
      <c r="F18" s="49" t="s">
        <v>117</v>
      </c>
      <c r="G18" s="49">
        <v>3</v>
      </c>
      <c r="H18" s="49">
        <v>2</v>
      </c>
      <c r="I18" s="49">
        <v>2</v>
      </c>
      <c r="J18" s="49">
        <v>2</v>
      </c>
      <c r="K18" s="49">
        <v>2</v>
      </c>
      <c r="L18" s="49">
        <v>2</v>
      </c>
      <c r="M18" s="49">
        <v>2</v>
      </c>
      <c r="N18" s="49">
        <v>2</v>
      </c>
      <c r="O18" s="49">
        <v>2</v>
      </c>
      <c r="P18" s="49">
        <v>2</v>
      </c>
      <c r="Q18" s="49">
        <v>2</v>
      </c>
      <c r="R18" s="49">
        <v>2</v>
      </c>
      <c r="S18" s="49">
        <v>2</v>
      </c>
      <c r="T18" s="49">
        <v>2</v>
      </c>
      <c r="U18" s="49">
        <v>3</v>
      </c>
      <c r="V18" s="51">
        <f t="shared" si="0"/>
        <v>32</v>
      </c>
      <c r="W18" s="51">
        <f t="shared" si="1"/>
        <v>15</v>
      </c>
      <c r="X18" s="52">
        <f t="shared" si="2"/>
        <v>1</v>
      </c>
      <c r="Y18" s="49" t="str">
        <f t="shared" si="4"/>
        <v>Certificado</v>
      </c>
      <c r="Z18" s="54">
        <v>5</v>
      </c>
      <c r="AA18" s="54">
        <v>5</v>
      </c>
      <c r="AB18" s="54">
        <v>5</v>
      </c>
      <c r="AC18" s="49" t="str">
        <f t="shared" si="3"/>
        <v>Aprobado</v>
      </c>
      <c r="AD18" s="77">
        <v>5</v>
      </c>
      <c r="AE18" s="77">
        <v>5</v>
      </c>
      <c r="AF18" s="77">
        <v>5</v>
      </c>
      <c r="AG18" s="77">
        <v>5</v>
      </c>
      <c r="AH18" s="77">
        <v>5</v>
      </c>
      <c r="AI18" s="77">
        <v>5</v>
      </c>
      <c r="AJ18" s="77">
        <v>5</v>
      </c>
      <c r="AK18" s="77">
        <v>5</v>
      </c>
      <c r="AL18" s="77">
        <v>5</v>
      </c>
      <c r="AM18" s="77">
        <v>5</v>
      </c>
      <c r="AN18" s="77">
        <v>5</v>
      </c>
      <c r="AO18" s="77">
        <v>5</v>
      </c>
      <c r="AP18" s="77">
        <v>5</v>
      </c>
      <c r="AQ18" s="77">
        <v>5</v>
      </c>
      <c r="AR18" s="77"/>
      <c r="AS18" s="77"/>
      <c r="AT18" s="77"/>
      <c r="AU18" s="77"/>
      <c r="AV18" s="77">
        <v>5</v>
      </c>
      <c r="AW18" s="78" t="s">
        <v>406</v>
      </c>
      <c r="AX18" s="78" t="s">
        <v>407</v>
      </c>
      <c r="AY18" s="78" t="s">
        <v>406</v>
      </c>
      <c r="AZ18" s="78" t="s">
        <v>175</v>
      </c>
      <c r="BA18" s="79">
        <v>5</v>
      </c>
      <c r="BB18" s="78">
        <f>AVERAGE(Tabla_PensamientoCrit[[#This Row],[1,1 El cumplimiento de los objetivos y desarrollo del contenido de la actividad fue]:[4,5 ¿La actividad fue satisfactoria?]])</f>
        <v>5</v>
      </c>
    </row>
    <row r="19" spans="1:54" ht="27.6" x14ac:dyDescent="0.3">
      <c r="A19" s="58">
        <v>7</v>
      </c>
      <c r="B19" s="59" t="s">
        <v>370</v>
      </c>
      <c r="C19" s="60">
        <v>52536438</v>
      </c>
      <c r="D19" s="59" t="s">
        <v>115</v>
      </c>
      <c r="E19" s="59" t="s">
        <v>125</v>
      </c>
      <c r="F19" s="59" t="s">
        <v>117</v>
      </c>
      <c r="G19" s="59">
        <v>3</v>
      </c>
      <c r="H19" s="59">
        <v>2</v>
      </c>
      <c r="I19" s="59">
        <v>2</v>
      </c>
      <c r="J19" s="59">
        <v>2</v>
      </c>
      <c r="K19" s="59">
        <v>2</v>
      </c>
      <c r="L19" s="59">
        <v>2</v>
      </c>
      <c r="M19" s="59">
        <v>2</v>
      </c>
      <c r="N19" s="59">
        <v>2</v>
      </c>
      <c r="O19" s="59">
        <v>2</v>
      </c>
      <c r="P19" s="59">
        <v>2</v>
      </c>
      <c r="Q19" s="59">
        <v>2</v>
      </c>
      <c r="R19" s="59">
        <v>2</v>
      </c>
      <c r="S19" s="59">
        <v>2</v>
      </c>
      <c r="T19" s="59">
        <v>2</v>
      </c>
      <c r="U19" s="59">
        <v>3</v>
      </c>
      <c r="V19" s="61">
        <f t="shared" si="0"/>
        <v>32</v>
      </c>
      <c r="W19" s="61">
        <f t="shared" si="1"/>
        <v>15</v>
      </c>
      <c r="X19" s="62">
        <f t="shared" si="2"/>
        <v>1</v>
      </c>
      <c r="Y19" s="59" t="str">
        <f t="shared" si="4"/>
        <v>Certificado</v>
      </c>
      <c r="Z19" s="54">
        <v>5</v>
      </c>
      <c r="AA19" s="54">
        <v>5</v>
      </c>
      <c r="AB19" s="54">
        <v>5</v>
      </c>
      <c r="AC19" s="59" t="str">
        <f t="shared" si="3"/>
        <v>Aprobado</v>
      </c>
      <c r="AD19" s="80">
        <v>5</v>
      </c>
      <c r="AE19" s="80">
        <v>5</v>
      </c>
      <c r="AF19" s="80">
        <v>5</v>
      </c>
      <c r="AG19" s="80">
        <v>5</v>
      </c>
      <c r="AH19" s="80">
        <v>5</v>
      </c>
      <c r="AI19" s="80">
        <v>5</v>
      </c>
      <c r="AJ19" s="80">
        <v>5</v>
      </c>
      <c r="AK19" s="80">
        <v>5</v>
      </c>
      <c r="AL19" s="80">
        <v>5</v>
      </c>
      <c r="AM19" s="80">
        <v>5</v>
      </c>
      <c r="AN19" s="80">
        <v>5</v>
      </c>
      <c r="AO19" s="80">
        <v>5</v>
      </c>
      <c r="AP19" s="80">
        <v>5</v>
      </c>
      <c r="AQ19" s="80">
        <v>5</v>
      </c>
      <c r="AR19" s="80"/>
      <c r="AS19" s="80"/>
      <c r="AT19" s="80"/>
      <c r="AU19" s="80"/>
      <c r="AV19" s="80">
        <v>5</v>
      </c>
      <c r="AW19" s="81" t="s">
        <v>408</v>
      </c>
      <c r="AX19" s="81" t="s">
        <v>409</v>
      </c>
      <c r="AY19" s="81" t="s">
        <v>406</v>
      </c>
      <c r="AZ19" s="81" t="s">
        <v>175</v>
      </c>
      <c r="BA19" s="73">
        <v>5</v>
      </c>
      <c r="BB19" s="81">
        <f>AVERAGE(Tabla_PensamientoCrit[[#This Row],[1,1 El cumplimiento de los objetivos y desarrollo del contenido de la actividad fue]:[4,5 ¿La actividad fue satisfactoria?]])</f>
        <v>5</v>
      </c>
    </row>
    <row r="20" spans="1:54" ht="48.75" customHeight="1" x14ac:dyDescent="0.3">
      <c r="A20" s="142" t="s">
        <v>127</v>
      </c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4"/>
    </row>
  </sheetData>
  <mergeCells count="31">
    <mergeCell ref="AW11:BA11"/>
    <mergeCell ref="A6:AC6"/>
    <mergeCell ref="A1:F4"/>
    <mergeCell ref="G1:W4"/>
    <mergeCell ref="X1:AC2"/>
    <mergeCell ref="X3:AC4"/>
    <mergeCell ref="A5:AC5"/>
    <mergeCell ref="A7:AC7"/>
    <mergeCell ref="A8:AC8"/>
    <mergeCell ref="A9:D9"/>
    <mergeCell ref="E9:F9"/>
    <mergeCell ref="G9:N9"/>
    <mergeCell ref="O9:U9"/>
    <mergeCell ref="V9:Y9"/>
    <mergeCell ref="Z9:AC9"/>
    <mergeCell ref="AD10:BB10"/>
    <mergeCell ref="AM11:AV11"/>
    <mergeCell ref="AD11:AI11"/>
    <mergeCell ref="AJ11:AL11"/>
    <mergeCell ref="A20:AC20"/>
    <mergeCell ref="A10:B10"/>
    <mergeCell ref="G10:N10"/>
    <mergeCell ref="O10:U10"/>
    <mergeCell ref="V10:W10"/>
    <mergeCell ref="X10:Y10"/>
    <mergeCell ref="AA10:AC10"/>
    <mergeCell ref="A11:F11"/>
    <mergeCell ref="G11:U11"/>
    <mergeCell ref="V11:Y11"/>
    <mergeCell ref="Z11:AC11"/>
    <mergeCell ref="D10:E10"/>
  </mergeCells>
  <dataValidations disablePrompts="1" count="2">
    <dataValidation type="list" allowBlank="1" showErrorMessage="1" sqref="D13:D19" xr:uid="{4F2E0B08-A7D0-43BF-A200-C08399D3E06A}">
      <formula1>"Contratista,Planta"</formula1>
    </dataValidation>
    <dataValidation allowBlank="1" showErrorMessage="1" sqref="C13:C19" xr:uid="{EE014D16-749E-4709-9EEB-6A7F2324C52A}"/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workbookViewId="0">
      <selection activeCell="B3" sqref="B3:B44"/>
    </sheetView>
  </sheetViews>
  <sheetFormatPr baseColWidth="10" defaultColWidth="14.44140625" defaultRowHeight="15" customHeight="1" x14ac:dyDescent="0.3"/>
  <cols>
    <col min="1" max="1" width="13.33203125" customWidth="1"/>
    <col min="2" max="2" width="34.109375" customWidth="1"/>
    <col min="3" max="3" width="28.33203125" customWidth="1"/>
    <col min="4" max="4" width="21" customWidth="1"/>
    <col min="5" max="5" width="4.109375" customWidth="1"/>
    <col min="6" max="6" width="13" customWidth="1"/>
    <col min="7" max="7" width="27.6640625" customWidth="1"/>
    <col min="8" max="8" width="9.5546875" customWidth="1"/>
    <col min="9" max="9" width="16.109375" customWidth="1"/>
    <col min="10" max="10" width="10" customWidth="1"/>
    <col min="11" max="12" width="10.6640625" customWidth="1"/>
    <col min="13" max="13" width="17.88671875" customWidth="1"/>
    <col min="15" max="15" width="14.5546875" customWidth="1"/>
  </cols>
  <sheetData>
    <row r="1" spans="1:16" ht="15" customHeight="1" x14ac:dyDescent="0.3">
      <c r="A1" s="20" t="s">
        <v>410</v>
      </c>
      <c r="B1" s="181" t="str">
        <f>'Formato Cronograma'!C4</f>
        <v>Formulación y gestión de proyectos.</v>
      </c>
      <c r="C1" s="182"/>
      <c r="D1" s="182"/>
    </row>
    <row r="2" spans="1:16" ht="15" customHeight="1" x14ac:dyDescent="0.3">
      <c r="A2" s="20" t="s">
        <v>411</v>
      </c>
      <c r="B2" s="21" t="s">
        <v>412</v>
      </c>
      <c r="C2" s="22" t="s">
        <v>413</v>
      </c>
      <c r="D2" s="23" t="s">
        <v>414</v>
      </c>
      <c r="E2" s="24"/>
      <c r="F2" s="25"/>
      <c r="G2" s="25"/>
      <c r="H2" s="25"/>
      <c r="I2" s="25"/>
      <c r="J2" s="25"/>
      <c r="K2" s="25"/>
      <c r="L2" s="25"/>
      <c r="M2" s="25"/>
      <c r="N2" s="24"/>
      <c r="O2" s="24"/>
      <c r="P2" s="24"/>
    </row>
    <row r="3" spans="1:16" ht="15" customHeight="1" x14ac:dyDescent="0.3">
      <c r="A3" s="26">
        <v>1</v>
      </c>
      <c r="B3" s="27">
        <f>VLOOKUP((MATCH(A3,'Formato Cronograma'!$N$4:$LJ$4,0)),Datos!A:D,4,FALSE)</f>
        <v>46098</v>
      </c>
      <c r="C3" s="26" t="s">
        <v>415</v>
      </c>
      <c r="D3" s="26" t="s">
        <v>416</v>
      </c>
      <c r="E3" s="24"/>
      <c r="F3" s="28"/>
      <c r="G3" s="28"/>
      <c r="H3" s="25"/>
      <c r="I3" s="28"/>
      <c r="J3" s="28"/>
      <c r="K3" s="28"/>
      <c r="L3" s="28"/>
      <c r="M3" s="28"/>
      <c r="N3" s="24"/>
      <c r="O3" s="24"/>
      <c r="P3" s="24"/>
    </row>
    <row r="4" spans="1:16" ht="15" customHeight="1" x14ac:dyDescent="0.3">
      <c r="A4" s="26">
        <v>2</v>
      </c>
      <c r="B4" s="27">
        <f>VLOOKUP((MATCH(A4,'Formato Cronograma'!$N$4:$LJ$4,0)),Datos!A:D,4,FALSE)</f>
        <v>46100</v>
      </c>
      <c r="C4" s="26" t="s">
        <v>417</v>
      </c>
      <c r="D4" s="26" t="s">
        <v>418</v>
      </c>
      <c r="E4" s="24"/>
      <c r="F4" s="29"/>
      <c r="G4" s="30"/>
      <c r="H4" s="29"/>
      <c r="I4" s="29"/>
      <c r="J4" s="29"/>
      <c r="K4" s="31"/>
      <c r="L4" s="31"/>
      <c r="M4" s="29"/>
      <c r="N4" s="24"/>
      <c r="O4" s="24"/>
      <c r="P4" s="24"/>
    </row>
    <row r="5" spans="1:16" ht="15" customHeight="1" x14ac:dyDescent="0.3">
      <c r="A5" s="26">
        <v>3</v>
      </c>
      <c r="B5" s="27">
        <f>VLOOKUP((MATCH(A5,'Formato Cronograma'!$N$4:$LJ$4,0)),Datos!A:D,4,FALSE)</f>
        <v>46105</v>
      </c>
      <c r="C5" s="26" t="s">
        <v>417</v>
      </c>
      <c r="D5" s="26" t="s">
        <v>418</v>
      </c>
      <c r="E5" s="24"/>
      <c r="F5" s="29"/>
      <c r="G5" s="30"/>
      <c r="H5" s="29"/>
      <c r="I5" s="29"/>
      <c r="J5" s="29"/>
      <c r="K5" s="31"/>
      <c r="L5" s="31"/>
      <c r="M5" s="29"/>
      <c r="N5" s="24"/>
      <c r="O5" s="24"/>
      <c r="P5" s="24"/>
    </row>
    <row r="6" spans="1:16" ht="15" customHeight="1" x14ac:dyDescent="0.3">
      <c r="A6" s="26">
        <v>4</v>
      </c>
      <c r="B6" s="27">
        <f>VLOOKUP((MATCH(A6,'Formato Cronograma'!$N$4:$LJ$4,0)),Datos!A:D,4,FALSE)</f>
        <v>46107</v>
      </c>
      <c r="C6" s="26" t="s">
        <v>417</v>
      </c>
      <c r="D6" s="26" t="s">
        <v>418</v>
      </c>
      <c r="E6" s="24"/>
      <c r="F6" s="29"/>
      <c r="G6" s="30"/>
      <c r="H6" s="29"/>
      <c r="I6" s="29"/>
      <c r="J6" s="29"/>
      <c r="K6" s="31"/>
      <c r="L6" s="31"/>
      <c r="M6" s="29"/>
      <c r="N6" s="24"/>
      <c r="O6" s="24"/>
      <c r="P6" s="24"/>
    </row>
    <row r="7" spans="1:16" ht="15" customHeight="1" x14ac:dyDescent="0.3">
      <c r="A7" s="26">
        <v>5</v>
      </c>
      <c r="B7" s="27">
        <f>VLOOKUP((MATCH(A7,'Formato Cronograma'!$N$4:$LJ$4,0)),Datos!A:D,4,FALSE)</f>
        <v>46119</v>
      </c>
      <c r="C7" s="26" t="s">
        <v>417</v>
      </c>
      <c r="D7" s="26" t="s">
        <v>418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</row>
    <row r="8" spans="1:16" ht="15" customHeight="1" x14ac:dyDescent="0.3">
      <c r="A8" s="26">
        <v>6</v>
      </c>
      <c r="B8" s="27">
        <f>VLOOKUP((MATCH(A8,'Formato Cronograma'!$N$4:$LJ$4,0)),Datos!A:D,4,FALSE)</f>
        <v>46121</v>
      </c>
      <c r="C8" s="26" t="s">
        <v>417</v>
      </c>
      <c r="D8" s="26" t="s">
        <v>418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spans="1:16" ht="15" customHeight="1" x14ac:dyDescent="0.3">
      <c r="A9" s="26">
        <v>7</v>
      </c>
      <c r="B9" s="27">
        <f>VLOOKUP((MATCH(A9,'Formato Cronograma'!$N$4:$LJ$4,0)),Datos!A:D,4,FALSE)</f>
        <v>46126</v>
      </c>
      <c r="C9" s="26" t="s">
        <v>415</v>
      </c>
      <c r="D9" s="26" t="s">
        <v>416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 ht="15" customHeight="1" x14ac:dyDescent="0.3">
      <c r="A10" s="26">
        <v>8</v>
      </c>
      <c r="B10" s="27">
        <f>VLOOKUP((MATCH(A10,'Formato Cronograma'!$N$4:$LJ$4,0)),Datos!A:D,4,FALSE)</f>
        <v>46128</v>
      </c>
      <c r="C10" s="26" t="s">
        <v>417</v>
      </c>
      <c r="D10" s="26" t="s">
        <v>418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6" ht="14.4" x14ac:dyDescent="0.3">
      <c r="A11" s="26">
        <v>9</v>
      </c>
      <c r="B11" s="27">
        <f>VLOOKUP((MATCH(A11,'Formato Cronograma'!$N$4:$LJ$4,0)),Datos!A:D,4,FALSE)</f>
        <v>46133</v>
      </c>
      <c r="C11" s="26" t="s">
        <v>415</v>
      </c>
      <c r="D11" s="26" t="s">
        <v>416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spans="1:16" ht="14.4" x14ac:dyDescent="0.3">
      <c r="A12" s="26">
        <v>10</v>
      </c>
      <c r="B12" s="27">
        <f>VLOOKUP((MATCH(A12,'Formato Cronograma'!$N$4:$LJ$4,0)),Datos!A:D,4,FALSE)</f>
        <v>46135</v>
      </c>
      <c r="C12" s="26" t="s">
        <v>417</v>
      </c>
      <c r="D12" s="26" t="s">
        <v>418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spans="1:16" ht="14.4" x14ac:dyDescent="0.3">
      <c r="A13" s="26">
        <v>11</v>
      </c>
      <c r="B13" s="27">
        <f>VLOOKUP((MATCH(A13,'Formato Cronograma'!$N$4:$LJ$4,0)),Datos!A:D,4,FALSE)</f>
        <v>46140</v>
      </c>
      <c r="C13" s="26" t="s">
        <v>415</v>
      </c>
      <c r="D13" s="26" t="s">
        <v>416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1:16" ht="14.4" x14ac:dyDescent="0.3">
      <c r="A14" s="26">
        <v>12</v>
      </c>
      <c r="B14" s="27">
        <f>VLOOKUP((MATCH(A14,'Formato Cronograma'!$N$4:$LJ$4,0)),Datos!A:D,4,FALSE)</f>
        <v>46142</v>
      </c>
      <c r="C14" s="26" t="s">
        <v>417</v>
      </c>
      <c r="D14" s="26" t="s">
        <v>418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</row>
    <row r="15" spans="1:16" ht="14.4" x14ac:dyDescent="0.3">
      <c r="A15" s="26">
        <v>13</v>
      </c>
      <c r="B15" s="27">
        <f>VLOOKUP((MATCH(A15,'Formato Cronograma'!$N$4:$LJ$4,0)),Datos!A:D,4,FALSE)</f>
        <v>46147</v>
      </c>
      <c r="C15" s="26" t="s">
        <v>415</v>
      </c>
      <c r="D15" s="26" t="s">
        <v>416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</row>
    <row r="16" spans="1:16" ht="14.4" x14ac:dyDescent="0.3">
      <c r="A16" s="26">
        <v>14</v>
      </c>
      <c r="B16" s="27">
        <f>VLOOKUP((MATCH(A16,'Formato Cronograma'!$N$4:$LJ$4,0)),Datos!A:D,4,FALSE)</f>
        <v>46149</v>
      </c>
      <c r="C16" s="26" t="s">
        <v>417</v>
      </c>
      <c r="D16" s="26" t="s">
        <v>418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6" ht="14.4" x14ac:dyDescent="0.3">
      <c r="A17" s="26">
        <v>15</v>
      </c>
      <c r="B17" s="27">
        <f>VLOOKUP((MATCH(A17,'Formato Cronograma'!$N$4:$LJ$4,0)),Datos!A:D,4,FALSE)</f>
        <v>46154</v>
      </c>
      <c r="C17" s="26" t="s">
        <v>415</v>
      </c>
      <c r="D17" s="26" t="s">
        <v>416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</row>
    <row r="18" spans="1:16" ht="14.4" x14ac:dyDescent="0.3">
      <c r="A18" s="26">
        <v>16</v>
      </c>
      <c r="B18" s="27">
        <f>VLOOKUP((MATCH(A18,'Formato Cronograma'!$N$4:$LJ$4,0)),Datos!A:D,4,FALSE)</f>
        <v>46156</v>
      </c>
      <c r="C18" s="26" t="s">
        <v>417</v>
      </c>
      <c r="D18" s="26" t="s">
        <v>418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</row>
    <row r="19" spans="1:16" ht="14.4" x14ac:dyDescent="0.3">
      <c r="A19" s="26">
        <v>17</v>
      </c>
      <c r="B19" s="27">
        <f>VLOOKUP((MATCH(A19,'Formato Cronograma'!$N$4:$LJ$4,0)),Datos!A:D,4,FALSE)</f>
        <v>46161</v>
      </c>
      <c r="C19" s="26" t="s">
        <v>415</v>
      </c>
      <c r="D19" s="26" t="s">
        <v>416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spans="1:16" ht="15.75" customHeight="1" x14ac:dyDescent="0.3">
      <c r="A20" s="26">
        <v>18</v>
      </c>
      <c r="B20" s="27">
        <f>VLOOKUP((MATCH(A20,'Formato Cronograma'!$N$4:$LJ$4,0)),Datos!A:D,4,FALSE)</f>
        <v>46163</v>
      </c>
      <c r="C20" s="26" t="s">
        <v>417</v>
      </c>
      <c r="D20" s="26" t="s">
        <v>418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 ht="15.75" customHeight="1" x14ac:dyDescent="0.3">
      <c r="A21" s="26">
        <v>19</v>
      </c>
      <c r="B21" s="27">
        <f>VLOOKUP((MATCH(A21,'Formato Cronograma'!$N$4:$LJ$4,0)),Datos!A:D,4,FALSE)</f>
        <v>46168</v>
      </c>
      <c r="C21" s="26" t="s">
        <v>417</v>
      </c>
      <c r="D21" s="26" t="s">
        <v>418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spans="1:16" ht="15.75" customHeight="1" x14ac:dyDescent="0.3">
      <c r="A22" s="26">
        <v>20</v>
      </c>
      <c r="B22" s="27">
        <f>VLOOKUP((MATCH(A22,'Formato Cronograma'!$N$4:$LJ$4,0)),Datos!A:D,4,FALSE)</f>
        <v>46170</v>
      </c>
      <c r="C22" s="26" t="s">
        <v>417</v>
      </c>
      <c r="D22" s="26" t="s">
        <v>418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</row>
    <row r="23" spans="1:16" ht="15.75" customHeight="1" x14ac:dyDescent="0.3">
      <c r="A23" s="26">
        <v>21</v>
      </c>
      <c r="B23" s="27">
        <f>VLOOKUP((MATCH(A23,'Formato Cronograma'!$N$4:$LJ$4,0)),Datos!A:D,4,FALSE)</f>
        <v>46175</v>
      </c>
      <c r="C23" s="26" t="s">
        <v>415</v>
      </c>
      <c r="D23" s="26" t="s">
        <v>416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4" spans="1:16" ht="15.75" customHeight="1" x14ac:dyDescent="0.3">
      <c r="A24" s="26">
        <v>22</v>
      </c>
      <c r="B24" s="27">
        <f>VLOOKUP((MATCH(A24,'Formato Cronograma'!$N$4:$LJ$4,0)),Datos!A:D,4,FALSE)</f>
        <v>46177</v>
      </c>
      <c r="C24" s="26" t="s">
        <v>417</v>
      </c>
      <c r="D24" s="26" t="s">
        <v>418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  <row r="25" spans="1:16" ht="14.4" x14ac:dyDescent="0.3">
      <c r="A25" s="26">
        <v>23</v>
      </c>
      <c r="B25" s="27">
        <f>VLOOKUP((MATCH(A25,'Formato Cronograma'!$N$4:$LJ$4,0)),Datos!A:D,4,FALSE)</f>
        <v>46182</v>
      </c>
      <c r="C25" s="26" t="s">
        <v>415</v>
      </c>
      <c r="D25" s="26" t="s">
        <v>416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16" ht="14.4" x14ac:dyDescent="0.3">
      <c r="A26" s="26">
        <v>24</v>
      </c>
      <c r="B26" s="27">
        <f>VLOOKUP((MATCH(A26,'Formato Cronograma'!$N$4:$LJ$4,0)),Datos!A:D,4,FALSE)</f>
        <v>46184</v>
      </c>
      <c r="C26" s="26" t="s">
        <v>417</v>
      </c>
      <c r="D26" s="26" t="s">
        <v>418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</row>
    <row r="27" spans="1:16" ht="14.4" x14ac:dyDescent="0.3">
      <c r="A27" s="26">
        <v>25</v>
      </c>
      <c r="B27" s="27">
        <f>VLOOKUP((MATCH(A27,'Formato Cronograma'!$N$4:$LJ$4,0)),Datos!A:D,4,FALSE)</f>
        <v>46189</v>
      </c>
      <c r="C27" s="26" t="s">
        <v>415</v>
      </c>
      <c r="D27" s="26" t="s">
        <v>416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</row>
    <row r="28" spans="1:16" ht="14.4" x14ac:dyDescent="0.3">
      <c r="A28" s="26">
        <v>26</v>
      </c>
      <c r="B28" s="27">
        <f>VLOOKUP((MATCH(A28,'Formato Cronograma'!$N$4:$LJ$4,0)),Datos!A:D,4,FALSE)</f>
        <v>46191</v>
      </c>
      <c r="C28" s="26" t="s">
        <v>417</v>
      </c>
      <c r="D28" s="26" t="s">
        <v>418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</row>
    <row r="29" spans="1:16" ht="14.4" x14ac:dyDescent="0.3">
      <c r="A29" s="26">
        <v>27</v>
      </c>
      <c r="B29" s="27">
        <f>VLOOKUP((MATCH(A29,'Formato Cronograma'!$N$4:$LJ$4,0)),Datos!A:D,4,FALSE)</f>
        <v>46196</v>
      </c>
      <c r="C29" s="26" t="s">
        <v>415</v>
      </c>
      <c r="D29" s="26" t="s">
        <v>416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</row>
    <row r="30" spans="1:16" ht="14.4" x14ac:dyDescent="0.3">
      <c r="A30" s="26">
        <v>28</v>
      </c>
      <c r="B30" s="27">
        <f>VLOOKUP((MATCH(A30,'Formato Cronograma'!$N$4:$LJ$4,0)),Datos!A:D,4,FALSE)</f>
        <v>46198</v>
      </c>
      <c r="C30" s="26" t="s">
        <v>417</v>
      </c>
      <c r="D30" s="26" t="s">
        <v>418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</row>
    <row r="31" spans="1:16" ht="14.4" x14ac:dyDescent="0.3">
      <c r="A31" s="26">
        <v>29</v>
      </c>
      <c r="B31" s="27">
        <f>VLOOKUP((MATCH(A31,'Formato Cronograma'!$N$4:$LJ$4,0)),Datos!A:D,4,FALSE)</f>
        <v>46203</v>
      </c>
      <c r="C31" s="26" t="s">
        <v>415</v>
      </c>
      <c r="D31" s="26" t="s">
        <v>416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</row>
    <row r="32" spans="1:16" ht="14.4" x14ac:dyDescent="0.3">
      <c r="A32" s="26">
        <v>30</v>
      </c>
      <c r="B32" s="27">
        <f>VLOOKUP((MATCH(A32,'Formato Cronograma'!$N$4:$LJ$4,0)),Datos!A:D,4,FALSE)</f>
        <v>46205</v>
      </c>
      <c r="C32" s="26" t="s">
        <v>417</v>
      </c>
      <c r="D32" s="26" t="s">
        <v>418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</row>
    <row r="33" spans="1:16" ht="14.4" x14ac:dyDescent="0.3">
      <c r="A33" s="26">
        <v>31</v>
      </c>
      <c r="B33" s="27">
        <f>VLOOKUP((MATCH(A33,'Formato Cronograma'!$N$4:$LJ$4,0)),Datos!A:D,4,FALSE)</f>
        <v>46210</v>
      </c>
      <c r="C33" s="26" t="s">
        <v>415</v>
      </c>
      <c r="D33" s="26" t="s">
        <v>416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</row>
    <row r="34" spans="1:16" ht="14.4" x14ac:dyDescent="0.3">
      <c r="A34" s="26">
        <v>32</v>
      </c>
      <c r="B34" s="27">
        <f>VLOOKUP((MATCH(A34,'Formato Cronograma'!$N$4:$LJ$4,0)),Datos!A:D,4,FALSE)</f>
        <v>46212</v>
      </c>
      <c r="C34" s="26" t="s">
        <v>417</v>
      </c>
      <c r="D34" s="26" t="s">
        <v>418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spans="1:16" ht="14.4" x14ac:dyDescent="0.3">
      <c r="A35" s="26">
        <v>33</v>
      </c>
      <c r="B35" s="27">
        <f>VLOOKUP((MATCH(A35,'Formato Cronograma'!$N$4:$LJ$4,0)),Datos!A:D,4,FALSE)</f>
        <v>46217</v>
      </c>
      <c r="C35" s="26" t="s">
        <v>415</v>
      </c>
      <c r="D35" s="26" t="s">
        <v>416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</row>
    <row r="36" spans="1:16" ht="14.4" x14ac:dyDescent="0.3">
      <c r="A36" s="26">
        <v>34</v>
      </c>
      <c r="B36" s="27">
        <f>VLOOKUP((MATCH(A36,'Formato Cronograma'!$N$4:$LJ$4,0)),Datos!A:D,4,FALSE)</f>
        <v>46219</v>
      </c>
      <c r="C36" s="26" t="s">
        <v>417</v>
      </c>
      <c r="D36" s="26" t="s">
        <v>418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</row>
    <row r="37" spans="1:16" ht="14.4" x14ac:dyDescent="0.3">
      <c r="A37" s="26">
        <v>35</v>
      </c>
      <c r="B37" s="27">
        <f>VLOOKUP((MATCH(A37,'Formato Cronograma'!$N$4:$LJ$4,0)),Datos!A:D,4,FALSE)</f>
        <v>46224</v>
      </c>
      <c r="C37" s="26" t="s">
        <v>415</v>
      </c>
      <c r="D37" s="26" t="s">
        <v>416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</row>
    <row r="38" spans="1:16" ht="14.4" x14ac:dyDescent="0.3">
      <c r="A38" s="26">
        <v>36</v>
      </c>
      <c r="B38" s="27">
        <f>VLOOKUP((MATCH(A38,'Formato Cronograma'!$N$4:$LJ$4,0)),Datos!A:D,4,FALSE)</f>
        <v>46226</v>
      </c>
      <c r="C38" s="26" t="s">
        <v>417</v>
      </c>
      <c r="D38" s="26" t="s">
        <v>418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</row>
    <row r="39" spans="1:16" ht="14.4" x14ac:dyDescent="0.3">
      <c r="A39" s="26">
        <v>37</v>
      </c>
      <c r="B39" s="27">
        <f>VLOOKUP((MATCH(A39,'Formato Cronograma'!$N$4:$LJ$4,0)),Datos!A:D,4,FALSE)</f>
        <v>46231</v>
      </c>
      <c r="C39" s="26" t="s">
        <v>417</v>
      </c>
      <c r="D39" s="26" t="s">
        <v>418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</row>
    <row r="40" spans="1:16" ht="14.4" x14ac:dyDescent="0.3">
      <c r="A40" s="26">
        <v>38</v>
      </c>
      <c r="B40" s="27">
        <f>VLOOKUP((MATCH(A40,'Formato Cronograma'!$N$4:$LJ$4,0)),Datos!A:D,4,FALSE)</f>
        <v>46233</v>
      </c>
      <c r="C40" s="26" t="s">
        <v>417</v>
      </c>
      <c r="D40" s="26" t="s">
        <v>418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</row>
    <row r="41" spans="1:16" ht="14.4" x14ac:dyDescent="0.3">
      <c r="A41" s="26">
        <v>39</v>
      </c>
      <c r="B41" s="27">
        <f>VLOOKUP((MATCH(A41,'Formato Cronograma'!$N$4:$LJ$4,0)),Datos!A:D,4,FALSE)</f>
        <v>46238</v>
      </c>
      <c r="C41" s="26" t="s">
        <v>417</v>
      </c>
      <c r="D41" s="26" t="s">
        <v>418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</row>
    <row r="42" spans="1:16" ht="14.4" x14ac:dyDescent="0.3">
      <c r="A42" s="26">
        <v>40</v>
      </c>
      <c r="B42" s="27">
        <f>VLOOKUP((MATCH(A42,'Formato Cronograma'!$N$4:$LJ$4,0)),Datos!A:D,4,FALSE)</f>
        <v>46240</v>
      </c>
      <c r="C42" s="26" t="s">
        <v>417</v>
      </c>
      <c r="D42" s="26" t="s">
        <v>418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</row>
    <row r="43" spans="1:16" ht="14.4" x14ac:dyDescent="0.3">
      <c r="A43" s="26">
        <v>41</v>
      </c>
      <c r="B43" s="27">
        <f>VLOOKUP((MATCH(A43,'Formato Cronograma'!$N$4:$LJ$4,0)),Datos!A:D,4,FALSE)</f>
        <v>46245</v>
      </c>
      <c r="C43" s="26" t="s">
        <v>415</v>
      </c>
      <c r="D43" s="26" t="s">
        <v>416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</row>
    <row r="44" spans="1:16" ht="14.4" x14ac:dyDescent="0.3">
      <c r="A44" s="26">
        <v>42</v>
      </c>
      <c r="B44" s="27">
        <f>VLOOKUP((MATCH(A44,'Formato Cronograma'!$N$4:$LJ$4,0)),Datos!A:D,4,FALSE)</f>
        <v>46247</v>
      </c>
      <c r="C44" s="26" t="s">
        <v>417</v>
      </c>
      <c r="D44" s="26" t="s">
        <v>418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</row>
    <row r="45" spans="1:16" ht="14.4" x14ac:dyDescent="0.3">
      <c r="A45" s="24"/>
      <c r="B45" s="32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</row>
    <row r="46" spans="1:16" ht="14.4" x14ac:dyDescent="0.3">
      <c r="A46" s="24"/>
      <c r="B46" s="32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</row>
    <row r="47" spans="1:16" ht="14.4" x14ac:dyDescent="0.3">
      <c r="A47" s="24"/>
      <c r="B47" s="32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</row>
    <row r="48" spans="1:16" ht="14.4" x14ac:dyDescent="0.3">
      <c r="A48" s="24"/>
      <c r="B48" s="32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</row>
    <row r="49" spans="1:16" ht="14.4" x14ac:dyDescent="0.3">
      <c r="A49" s="24"/>
      <c r="B49" s="32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</row>
    <row r="50" spans="1:16" ht="14.4" x14ac:dyDescent="0.3">
      <c r="A50" s="24"/>
      <c r="B50" s="32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</row>
    <row r="51" spans="1:16" ht="14.4" x14ac:dyDescent="0.3">
      <c r="A51" s="24"/>
      <c r="B51" s="32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</row>
    <row r="52" spans="1:16" ht="14.4" x14ac:dyDescent="0.3">
      <c r="A52" s="24"/>
      <c r="B52" s="32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</row>
    <row r="53" spans="1:16" ht="14.4" x14ac:dyDescent="0.3">
      <c r="A53" s="24"/>
      <c r="B53" s="32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</row>
    <row r="54" spans="1:16" ht="14.4" x14ac:dyDescent="0.3">
      <c r="A54" s="24"/>
      <c r="B54" s="32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1:16" ht="14.4" x14ac:dyDescent="0.3">
      <c r="A55" s="24"/>
      <c r="B55" s="32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</row>
    <row r="56" spans="1:16" ht="14.4" x14ac:dyDescent="0.3">
      <c r="A56" s="24"/>
      <c r="B56" s="32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</row>
    <row r="57" spans="1:16" ht="14.4" x14ac:dyDescent="0.3">
      <c r="A57" s="24"/>
      <c r="B57" s="32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</row>
    <row r="58" spans="1:16" ht="14.4" x14ac:dyDescent="0.3">
      <c r="A58" s="24"/>
      <c r="B58" s="32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</row>
    <row r="59" spans="1:16" ht="14.4" x14ac:dyDescent="0.3">
      <c r="A59" s="24"/>
      <c r="B59" s="32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</row>
    <row r="60" spans="1:16" ht="14.4" x14ac:dyDescent="0.3">
      <c r="A60" s="24"/>
      <c r="B60" s="32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</row>
    <row r="61" spans="1:16" ht="14.4" x14ac:dyDescent="0.3">
      <c r="A61" s="24"/>
      <c r="B61" s="32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</row>
    <row r="62" spans="1:16" ht="14.4" x14ac:dyDescent="0.3">
      <c r="A62" s="24"/>
      <c r="B62" s="32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</row>
    <row r="63" spans="1:16" ht="14.4" x14ac:dyDescent="0.3">
      <c r="A63" s="24"/>
      <c r="B63" s="32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</row>
    <row r="64" spans="1:16" ht="14.4" x14ac:dyDescent="0.3">
      <c r="A64" s="24"/>
      <c r="B64" s="32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</row>
    <row r="65" spans="1:16" ht="14.4" x14ac:dyDescent="0.3">
      <c r="A65" s="24"/>
      <c r="B65" s="32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</row>
    <row r="66" spans="1:16" ht="14.4" x14ac:dyDescent="0.3">
      <c r="A66" s="24"/>
      <c r="B66" s="32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</row>
    <row r="67" spans="1:16" ht="14.4" x14ac:dyDescent="0.3">
      <c r="A67" s="24"/>
      <c r="B67" s="32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</row>
    <row r="68" spans="1:16" ht="14.4" x14ac:dyDescent="0.3">
      <c r="A68" s="24"/>
      <c r="B68" s="32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</row>
    <row r="69" spans="1:16" ht="14.4" x14ac:dyDescent="0.3">
      <c r="A69" s="24"/>
      <c r="B69" s="32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</row>
    <row r="70" spans="1:16" ht="14.4" x14ac:dyDescent="0.3">
      <c r="A70" s="24"/>
      <c r="B70" s="32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</row>
    <row r="71" spans="1:16" ht="14.4" x14ac:dyDescent="0.3">
      <c r="A71" s="24"/>
      <c r="B71" s="32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</row>
    <row r="72" spans="1:16" ht="14.4" x14ac:dyDescent="0.3">
      <c r="A72" s="24"/>
      <c r="B72" s="32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</row>
    <row r="73" spans="1:16" ht="14.4" x14ac:dyDescent="0.3">
      <c r="A73" s="24"/>
      <c r="B73" s="32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</row>
    <row r="74" spans="1:16" ht="14.4" x14ac:dyDescent="0.3">
      <c r="A74" s="24"/>
      <c r="B74" s="32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</row>
    <row r="75" spans="1:16" ht="14.4" x14ac:dyDescent="0.3">
      <c r="A75" s="24"/>
      <c r="B75" s="32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</row>
    <row r="76" spans="1:16" ht="14.4" x14ac:dyDescent="0.3">
      <c r="A76" s="24"/>
      <c r="B76" s="32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</row>
    <row r="77" spans="1:16" ht="14.4" x14ac:dyDescent="0.3">
      <c r="A77" s="24"/>
      <c r="B77" s="32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</row>
    <row r="78" spans="1:16" ht="14.4" x14ac:dyDescent="0.3">
      <c r="A78" s="24"/>
      <c r="B78" s="32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</row>
    <row r="79" spans="1:16" ht="14.4" x14ac:dyDescent="0.3">
      <c r="A79" s="24"/>
      <c r="B79" s="32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</row>
    <row r="80" spans="1:16" ht="14.4" x14ac:dyDescent="0.3">
      <c r="A80" s="24"/>
      <c r="B80" s="32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</row>
    <row r="81" spans="1:16" ht="14.4" x14ac:dyDescent="0.3">
      <c r="A81" s="24"/>
      <c r="B81" s="32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</row>
    <row r="82" spans="1:16" ht="14.4" x14ac:dyDescent="0.3">
      <c r="A82" s="24"/>
      <c r="B82" s="32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</row>
    <row r="83" spans="1:16" ht="14.4" x14ac:dyDescent="0.3">
      <c r="A83" s="24"/>
      <c r="B83" s="32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</row>
    <row r="84" spans="1:16" ht="14.4" x14ac:dyDescent="0.3">
      <c r="A84" s="24"/>
      <c r="B84" s="32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</row>
    <row r="85" spans="1:16" ht="14.4" x14ac:dyDescent="0.3">
      <c r="A85" s="24"/>
      <c r="B85" s="32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</row>
    <row r="86" spans="1:16" ht="14.4" x14ac:dyDescent="0.3">
      <c r="A86" s="24"/>
      <c r="B86" s="32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</row>
    <row r="87" spans="1:16" ht="14.4" x14ac:dyDescent="0.3">
      <c r="A87" s="24"/>
      <c r="B87" s="32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</row>
    <row r="88" spans="1:16" ht="14.4" x14ac:dyDescent="0.3">
      <c r="A88" s="24"/>
      <c r="B88" s="32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</row>
    <row r="89" spans="1:16" ht="14.4" x14ac:dyDescent="0.3">
      <c r="A89" s="24"/>
      <c r="B89" s="32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</row>
    <row r="90" spans="1:16" ht="14.4" x14ac:dyDescent="0.3">
      <c r="A90" s="24"/>
      <c r="B90" s="32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</row>
    <row r="91" spans="1:16" ht="14.4" x14ac:dyDescent="0.3">
      <c r="A91" s="24"/>
      <c r="B91" s="32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</row>
    <row r="92" spans="1:16" ht="14.4" x14ac:dyDescent="0.3">
      <c r="A92" s="24"/>
      <c r="B92" s="32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</row>
    <row r="93" spans="1:16" ht="14.4" x14ac:dyDescent="0.3">
      <c r="A93" s="24"/>
      <c r="B93" s="32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</row>
    <row r="94" spans="1:16" ht="14.4" x14ac:dyDescent="0.3">
      <c r="A94" s="24"/>
      <c r="B94" s="32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</row>
    <row r="95" spans="1:16" ht="14.4" x14ac:dyDescent="0.3">
      <c r="A95" s="24"/>
      <c r="B95" s="32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</row>
    <row r="96" spans="1:16" ht="14.4" x14ac:dyDescent="0.3">
      <c r="A96" s="24"/>
      <c r="B96" s="32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</row>
    <row r="97" spans="1:16" ht="14.4" x14ac:dyDescent="0.3">
      <c r="A97" s="24"/>
      <c r="B97" s="32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</row>
    <row r="98" spans="1:16" ht="14.4" x14ac:dyDescent="0.3">
      <c r="A98" s="24"/>
      <c r="B98" s="32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</row>
    <row r="99" spans="1:16" ht="14.4" x14ac:dyDescent="0.3">
      <c r="A99" s="24"/>
      <c r="B99" s="32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</row>
    <row r="100" spans="1:16" ht="14.4" x14ac:dyDescent="0.3">
      <c r="A100" s="24"/>
      <c r="B100" s="32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</row>
    <row r="101" spans="1:16" ht="14.4" x14ac:dyDescent="0.3">
      <c r="A101" s="24"/>
      <c r="B101" s="32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</row>
    <row r="102" spans="1:16" ht="14.4" x14ac:dyDescent="0.3">
      <c r="A102" s="24"/>
      <c r="B102" s="32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</row>
    <row r="103" spans="1:16" ht="14.4" x14ac:dyDescent="0.3">
      <c r="A103" s="24"/>
      <c r="B103" s="32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</row>
    <row r="104" spans="1:16" ht="14.4" x14ac:dyDescent="0.3">
      <c r="A104" s="24"/>
      <c r="B104" s="32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</row>
    <row r="105" spans="1:16" ht="14.4" x14ac:dyDescent="0.3">
      <c r="A105" s="24"/>
      <c r="B105" s="32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</row>
    <row r="106" spans="1:16" ht="14.4" x14ac:dyDescent="0.3">
      <c r="A106" s="24"/>
      <c r="B106" s="32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</row>
    <row r="107" spans="1:16" ht="14.4" x14ac:dyDescent="0.3">
      <c r="A107" s="24"/>
      <c r="B107" s="32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</row>
    <row r="108" spans="1:16" ht="14.4" x14ac:dyDescent="0.3">
      <c r="A108" s="24"/>
      <c r="B108" s="32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</row>
    <row r="109" spans="1:16" ht="14.4" x14ac:dyDescent="0.3">
      <c r="A109" s="24"/>
      <c r="B109" s="32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</row>
    <row r="110" spans="1:16" ht="14.4" x14ac:dyDescent="0.3">
      <c r="A110" s="24"/>
      <c r="B110" s="32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</row>
    <row r="111" spans="1:16" ht="14.4" x14ac:dyDescent="0.3">
      <c r="A111" s="24"/>
      <c r="B111" s="32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</row>
    <row r="112" spans="1:16" ht="14.4" x14ac:dyDescent="0.3">
      <c r="A112" s="24"/>
      <c r="B112" s="32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</row>
    <row r="113" spans="1:16" ht="14.4" x14ac:dyDescent="0.3">
      <c r="A113" s="24"/>
      <c r="B113" s="32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</row>
    <row r="114" spans="1:16" ht="14.4" x14ac:dyDescent="0.3">
      <c r="A114" s="24"/>
      <c r="B114" s="32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</row>
    <row r="115" spans="1:16" ht="14.4" x14ac:dyDescent="0.3">
      <c r="A115" s="24"/>
      <c r="B115" s="32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</row>
    <row r="116" spans="1:16" ht="14.4" x14ac:dyDescent="0.3">
      <c r="A116" s="24"/>
      <c r="B116" s="32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</row>
    <row r="117" spans="1:16" ht="14.4" x14ac:dyDescent="0.3">
      <c r="A117" s="24"/>
      <c r="B117" s="32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</row>
    <row r="118" spans="1:16" ht="14.4" x14ac:dyDescent="0.3">
      <c r="A118" s="24"/>
      <c r="B118" s="32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</row>
    <row r="119" spans="1:16" ht="14.4" x14ac:dyDescent="0.3">
      <c r="A119" s="24"/>
      <c r="B119" s="32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</row>
    <row r="120" spans="1:16" ht="14.4" x14ac:dyDescent="0.3">
      <c r="A120" s="24"/>
      <c r="B120" s="32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</row>
    <row r="121" spans="1:16" ht="14.4" x14ac:dyDescent="0.3">
      <c r="A121" s="24"/>
      <c r="B121" s="32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</row>
    <row r="122" spans="1:16" ht="14.4" x14ac:dyDescent="0.3">
      <c r="A122" s="24"/>
      <c r="B122" s="32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</row>
    <row r="123" spans="1:16" ht="14.4" x14ac:dyDescent="0.3">
      <c r="A123" s="24"/>
      <c r="B123" s="32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</row>
    <row r="124" spans="1:16" ht="14.4" x14ac:dyDescent="0.3">
      <c r="A124" s="24"/>
      <c r="B124" s="32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</row>
    <row r="125" spans="1:16" ht="14.4" x14ac:dyDescent="0.3">
      <c r="A125" s="24"/>
      <c r="B125" s="32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</row>
    <row r="126" spans="1:16" ht="14.4" x14ac:dyDescent="0.3">
      <c r="A126" s="24"/>
      <c r="B126" s="32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</row>
    <row r="127" spans="1:16" ht="14.4" x14ac:dyDescent="0.3">
      <c r="A127" s="24"/>
      <c r="B127" s="32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</row>
    <row r="128" spans="1:16" ht="14.4" x14ac:dyDescent="0.3">
      <c r="A128" s="24"/>
      <c r="B128" s="32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</row>
    <row r="129" spans="1:16" ht="14.4" x14ac:dyDescent="0.3">
      <c r="A129" s="24"/>
      <c r="B129" s="32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</row>
    <row r="130" spans="1:16" ht="14.4" x14ac:dyDescent="0.3">
      <c r="A130" s="24"/>
      <c r="B130" s="32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</row>
    <row r="131" spans="1:16" ht="14.4" x14ac:dyDescent="0.3">
      <c r="A131" s="24"/>
      <c r="B131" s="32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</row>
    <row r="132" spans="1:16" ht="14.4" x14ac:dyDescent="0.3">
      <c r="A132" s="24"/>
      <c r="B132" s="32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</row>
    <row r="133" spans="1:16" ht="14.4" x14ac:dyDescent="0.3">
      <c r="A133" s="24"/>
      <c r="B133" s="32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</row>
    <row r="134" spans="1:16" ht="14.4" x14ac:dyDescent="0.3">
      <c r="A134" s="24"/>
      <c r="B134" s="32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</row>
    <row r="135" spans="1:16" ht="14.4" x14ac:dyDescent="0.3">
      <c r="A135" s="24"/>
      <c r="B135" s="32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</row>
    <row r="136" spans="1:16" ht="14.4" x14ac:dyDescent="0.3">
      <c r="A136" s="24"/>
      <c r="B136" s="32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</row>
    <row r="137" spans="1:16" ht="14.4" x14ac:dyDescent="0.3">
      <c r="A137" s="24"/>
      <c r="B137" s="32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</row>
    <row r="138" spans="1:16" ht="14.4" x14ac:dyDescent="0.3">
      <c r="A138" s="24"/>
      <c r="B138" s="32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</row>
    <row r="139" spans="1:16" ht="14.4" x14ac:dyDescent="0.3">
      <c r="A139" s="24"/>
      <c r="B139" s="32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</row>
    <row r="140" spans="1:16" ht="14.4" x14ac:dyDescent="0.3">
      <c r="A140" s="24"/>
      <c r="B140" s="32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</row>
    <row r="141" spans="1:16" ht="14.4" x14ac:dyDescent="0.3">
      <c r="A141" s="24"/>
      <c r="B141" s="32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</row>
    <row r="142" spans="1:16" ht="14.4" x14ac:dyDescent="0.3">
      <c r="A142" s="24"/>
      <c r="B142" s="32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</row>
    <row r="143" spans="1:16" ht="14.4" x14ac:dyDescent="0.3">
      <c r="A143" s="24"/>
      <c r="B143" s="32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</row>
    <row r="144" spans="1:16" ht="14.4" x14ac:dyDescent="0.3">
      <c r="A144" s="24"/>
      <c r="B144" s="32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</row>
    <row r="145" spans="1:16" ht="14.4" x14ac:dyDescent="0.3">
      <c r="A145" s="24"/>
      <c r="B145" s="32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</row>
    <row r="146" spans="1:16" ht="14.4" x14ac:dyDescent="0.3">
      <c r="A146" s="24"/>
      <c r="B146" s="32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</row>
    <row r="147" spans="1:16" ht="14.4" x14ac:dyDescent="0.3">
      <c r="A147" s="24"/>
      <c r="B147" s="32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</row>
    <row r="148" spans="1:16" ht="14.4" x14ac:dyDescent="0.3">
      <c r="A148" s="24"/>
      <c r="B148" s="32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</row>
    <row r="149" spans="1:16" ht="14.4" x14ac:dyDescent="0.3">
      <c r="A149" s="24"/>
      <c r="B149" s="32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</row>
    <row r="150" spans="1:16" ht="14.4" x14ac:dyDescent="0.3">
      <c r="A150" s="24"/>
      <c r="B150" s="32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</row>
    <row r="151" spans="1:16" ht="14.4" x14ac:dyDescent="0.3">
      <c r="A151" s="24"/>
      <c r="B151" s="32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</row>
    <row r="152" spans="1:16" ht="14.4" x14ac:dyDescent="0.3">
      <c r="A152" s="24"/>
      <c r="B152" s="32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</row>
    <row r="153" spans="1:16" ht="14.4" x14ac:dyDescent="0.3">
      <c r="A153" s="24"/>
      <c r="B153" s="32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</row>
    <row r="154" spans="1:16" ht="14.4" x14ac:dyDescent="0.3">
      <c r="A154" s="24"/>
      <c r="B154" s="32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</row>
    <row r="155" spans="1:16" ht="14.4" x14ac:dyDescent="0.3">
      <c r="A155" s="24"/>
      <c r="B155" s="32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</row>
    <row r="156" spans="1:16" ht="14.4" x14ac:dyDescent="0.3">
      <c r="A156" s="24"/>
      <c r="B156" s="32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</row>
    <row r="157" spans="1:16" ht="14.4" x14ac:dyDescent="0.3">
      <c r="A157" s="24"/>
      <c r="B157" s="32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</row>
    <row r="158" spans="1:16" ht="14.4" x14ac:dyDescent="0.3">
      <c r="A158" s="24"/>
      <c r="B158" s="32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</row>
    <row r="159" spans="1:16" ht="14.4" x14ac:dyDescent="0.3">
      <c r="A159" s="24"/>
      <c r="B159" s="32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</row>
    <row r="160" spans="1:16" ht="14.4" x14ac:dyDescent="0.3">
      <c r="A160" s="24"/>
      <c r="B160" s="32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</row>
    <row r="161" spans="1:16" ht="14.4" x14ac:dyDescent="0.3">
      <c r="A161" s="24"/>
      <c r="B161" s="32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</row>
    <row r="162" spans="1:16" ht="14.4" x14ac:dyDescent="0.3">
      <c r="A162" s="24"/>
      <c r="B162" s="32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</row>
    <row r="163" spans="1:16" ht="14.4" x14ac:dyDescent="0.3">
      <c r="A163" s="24"/>
      <c r="B163" s="32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</row>
    <row r="164" spans="1:16" ht="14.4" x14ac:dyDescent="0.3">
      <c r="A164" s="24"/>
      <c r="B164" s="32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</row>
    <row r="165" spans="1:16" ht="14.4" x14ac:dyDescent="0.3">
      <c r="A165" s="24"/>
      <c r="B165" s="32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</row>
    <row r="166" spans="1:16" ht="14.4" x14ac:dyDescent="0.3">
      <c r="A166" s="24"/>
      <c r="B166" s="32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</row>
    <row r="167" spans="1:16" ht="14.4" x14ac:dyDescent="0.3">
      <c r="A167" s="24"/>
      <c r="B167" s="32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</row>
    <row r="168" spans="1:16" ht="14.4" x14ac:dyDescent="0.3">
      <c r="A168" s="24"/>
      <c r="B168" s="32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</row>
    <row r="169" spans="1:16" ht="14.4" x14ac:dyDescent="0.3">
      <c r="A169" s="24"/>
      <c r="B169" s="32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</row>
    <row r="170" spans="1:16" ht="14.4" x14ac:dyDescent="0.3">
      <c r="A170" s="24"/>
      <c r="B170" s="32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</row>
    <row r="171" spans="1:16" ht="14.4" x14ac:dyDescent="0.3">
      <c r="A171" s="24"/>
      <c r="B171" s="32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</row>
    <row r="172" spans="1:16" ht="14.4" x14ac:dyDescent="0.3">
      <c r="A172" s="24"/>
      <c r="B172" s="32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</row>
    <row r="173" spans="1:16" ht="14.4" x14ac:dyDescent="0.3">
      <c r="A173" s="24"/>
      <c r="B173" s="32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</row>
    <row r="174" spans="1:16" ht="14.4" x14ac:dyDescent="0.3">
      <c r="A174" s="24"/>
      <c r="B174" s="32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</row>
    <row r="175" spans="1:16" ht="14.4" x14ac:dyDescent="0.3">
      <c r="A175" s="24"/>
      <c r="B175" s="32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</row>
    <row r="176" spans="1:16" ht="14.4" x14ac:dyDescent="0.3">
      <c r="A176" s="24"/>
      <c r="B176" s="32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</row>
    <row r="177" spans="1:16" ht="14.4" x14ac:dyDescent="0.3">
      <c r="A177" s="24"/>
      <c r="B177" s="32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</row>
    <row r="178" spans="1:16" ht="14.4" x14ac:dyDescent="0.3">
      <c r="A178" s="24"/>
      <c r="B178" s="32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</row>
    <row r="179" spans="1:16" ht="14.4" x14ac:dyDescent="0.3">
      <c r="A179" s="24"/>
      <c r="B179" s="32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</row>
    <row r="180" spans="1:16" ht="14.4" x14ac:dyDescent="0.3">
      <c r="A180" s="24"/>
      <c r="B180" s="32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</row>
    <row r="181" spans="1:16" ht="14.4" x14ac:dyDescent="0.3">
      <c r="A181" s="24"/>
      <c r="B181" s="32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</row>
    <row r="182" spans="1:16" ht="14.4" x14ac:dyDescent="0.3">
      <c r="A182" s="24"/>
      <c r="B182" s="32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</row>
    <row r="183" spans="1:16" ht="14.4" x14ac:dyDescent="0.3">
      <c r="A183" s="24"/>
      <c r="B183" s="32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</row>
    <row r="184" spans="1:16" ht="14.4" x14ac:dyDescent="0.3">
      <c r="A184" s="24"/>
      <c r="B184" s="32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</row>
    <row r="185" spans="1:16" ht="14.4" x14ac:dyDescent="0.3">
      <c r="A185" s="24"/>
      <c r="B185" s="32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</row>
    <row r="186" spans="1:16" ht="14.4" x14ac:dyDescent="0.3">
      <c r="A186" s="24"/>
      <c r="B186" s="32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</row>
    <row r="187" spans="1:16" ht="14.4" x14ac:dyDescent="0.3">
      <c r="A187" s="24"/>
      <c r="B187" s="32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</row>
    <row r="188" spans="1:16" ht="14.4" x14ac:dyDescent="0.3">
      <c r="A188" s="24"/>
      <c r="B188" s="32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</row>
    <row r="189" spans="1:16" ht="14.4" x14ac:dyDescent="0.3">
      <c r="A189" s="24"/>
      <c r="B189" s="32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</row>
    <row r="190" spans="1:16" ht="14.4" x14ac:dyDescent="0.3">
      <c r="A190" s="24"/>
      <c r="B190" s="32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</row>
    <row r="191" spans="1:16" ht="14.4" x14ac:dyDescent="0.3">
      <c r="A191" s="24"/>
      <c r="B191" s="32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</row>
    <row r="192" spans="1:16" ht="14.4" x14ac:dyDescent="0.3">
      <c r="A192" s="24"/>
      <c r="B192" s="32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</row>
    <row r="193" spans="1:16" ht="14.4" x14ac:dyDescent="0.3">
      <c r="A193" s="24"/>
      <c r="B193" s="32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</row>
    <row r="194" spans="1:16" ht="14.4" x14ac:dyDescent="0.3">
      <c r="A194" s="24"/>
      <c r="B194" s="32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</row>
    <row r="195" spans="1:16" ht="14.4" x14ac:dyDescent="0.3">
      <c r="A195" s="24"/>
      <c r="B195" s="32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</row>
    <row r="196" spans="1:16" ht="14.4" x14ac:dyDescent="0.3">
      <c r="A196" s="24"/>
      <c r="B196" s="32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</row>
    <row r="197" spans="1:16" ht="14.4" x14ac:dyDescent="0.3">
      <c r="A197" s="24"/>
      <c r="B197" s="32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</row>
    <row r="198" spans="1:16" ht="14.4" x14ac:dyDescent="0.3">
      <c r="A198" s="24"/>
      <c r="B198" s="32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</row>
    <row r="199" spans="1:16" ht="14.4" x14ac:dyDescent="0.3">
      <c r="A199" s="24"/>
      <c r="B199" s="32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</row>
    <row r="200" spans="1:16" ht="14.4" x14ac:dyDescent="0.3">
      <c r="A200" s="24"/>
      <c r="B200" s="32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</row>
    <row r="201" spans="1:16" ht="14.4" x14ac:dyDescent="0.3">
      <c r="A201" s="24"/>
      <c r="B201" s="32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</row>
    <row r="202" spans="1:16" ht="14.4" x14ac:dyDescent="0.3">
      <c r="A202" s="24"/>
      <c r="B202" s="32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</row>
    <row r="203" spans="1:16" ht="14.4" x14ac:dyDescent="0.3">
      <c r="A203" s="24"/>
      <c r="B203" s="32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</row>
    <row r="204" spans="1:16" ht="14.4" x14ac:dyDescent="0.3">
      <c r="A204" s="24"/>
      <c r="B204" s="32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</row>
    <row r="205" spans="1:16" ht="14.4" x14ac:dyDescent="0.3">
      <c r="A205" s="24"/>
      <c r="B205" s="32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</row>
    <row r="206" spans="1:16" ht="14.4" x14ac:dyDescent="0.3">
      <c r="A206" s="24"/>
      <c r="B206" s="32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</row>
    <row r="207" spans="1:16" ht="14.4" x14ac:dyDescent="0.3">
      <c r="A207" s="24"/>
      <c r="B207" s="32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</row>
    <row r="208" spans="1:16" ht="14.4" x14ac:dyDescent="0.3">
      <c r="A208" s="24"/>
      <c r="B208" s="32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</row>
    <row r="209" spans="1:16" ht="14.4" x14ac:dyDescent="0.3">
      <c r="A209" s="24"/>
      <c r="B209" s="32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</row>
    <row r="210" spans="1:16" ht="14.4" x14ac:dyDescent="0.3">
      <c r="A210" s="24"/>
      <c r="B210" s="32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</row>
    <row r="211" spans="1:16" ht="14.4" x14ac:dyDescent="0.3">
      <c r="A211" s="24"/>
      <c r="B211" s="32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</row>
    <row r="212" spans="1:16" ht="14.4" x14ac:dyDescent="0.3">
      <c r="A212" s="24"/>
      <c r="B212" s="32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</row>
    <row r="213" spans="1:16" ht="14.4" x14ac:dyDescent="0.3">
      <c r="A213" s="24"/>
      <c r="B213" s="32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</row>
    <row r="214" spans="1:16" ht="14.4" x14ac:dyDescent="0.3">
      <c r="A214" s="24"/>
      <c r="B214" s="32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</row>
    <row r="215" spans="1:16" ht="14.4" x14ac:dyDescent="0.3">
      <c r="A215" s="24"/>
      <c r="B215" s="32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</row>
    <row r="216" spans="1:16" ht="14.4" x14ac:dyDescent="0.3">
      <c r="A216" s="24"/>
      <c r="B216" s="32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</row>
    <row r="217" spans="1:16" ht="14.4" x14ac:dyDescent="0.3">
      <c r="A217" s="24"/>
      <c r="B217" s="32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</row>
    <row r="218" spans="1:16" ht="14.4" x14ac:dyDescent="0.3">
      <c r="A218" s="24"/>
      <c r="B218" s="32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</row>
    <row r="219" spans="1:16" ht="14.4" x14ac:dyDescent="0.3">
      <c r="A219" s="24"/>
      <c r="B219" s="32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</row>
    <row r="220" spans="1:16" ht="14.4" x14ac:dyDescent="0.3">
      <c r="A220" s="24"/>
      <c r="B220" s="32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</row>
    <row r="221" spans="1:16" ht="14.4" x14ac:dyDescent="0.3">
      <c r="A221" s="24"/>
      <c r="B221" s="32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</row>
    <row r="222" spans="1:16" ht="14.4" x14ac:dyDescent="0.3">
      <c r="A222" s="24"/>
      <c r="B222" s="32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</row>
    <row r="223" spans="1:16" ht="14.4" x14ac:dyDescent="0.3">
      <c r="A223" s="24"/>
      <c r="B223" s="32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</row>
    <row r="224" spans="1:16" ht="14.4" x14ac:dyDescent="0.3">
      <c r="A224" s="24"/>
      <c r="B224" s="32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</row>
    <row r="225" spans="1:16" ht="14.4" x14ac:dyDescent="0.3">
      <c r="A225" s="24"/>
      <c r="B225" s="32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</row>
    <row r="226" spans="1:16" ht="14.4" x14ac:dyDescent="0.3">
      <c r="A226" s="24"/>
      <c r="B226" s="32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</row>
    <row r="227" spans="1:16" ht="14.4" x14ac:dyDescent="0.3">
      <c r="A227" s="24"/>
      <c r="B227" s="32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</row>
    <row r="228" spans="1:16" ht="14.4" x14ac:dyDescent="0.3">
      <c r="A228" s="24"/>
      <c r="B228" s="32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</row>
    <row r="229" spans="1:16" ht="14.4" x14ac:dyDescent="0.3">
      <c r="A229" s="24"/>
      <c r="B229" s="32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</row>
    <row r="230" spans="1:16" ht="14.4" x14ac:dyDescent="0.3">
      <c r="A230" s="24"/>
      <c r="B230" s="32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</row>
    <row r="231" spans="1:16" ht="14.4" x14ac:dyDescent="0.3">
      <c r="A231" s="24"/>
      <c r="B231" s="32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</row>
    <row r="232" spans="1:16" ht="14.4" x14ac:dyDescent="0.3">
      <c r="A232" s="24"/>
      <c r="B232" s="32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</row>
    <row r="233" spans="1:16" ht="14.4" x14ac:dyDescent="0.3">
      <c r="A233" s="24"/>
      <c r="B233" s="32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</row>
    <row r="234" spans="1:16" ht="14.4" x14ac:dyDescent="0.3">
      <c r="A234" s="24"/>
      <c r="B234" s="32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</row>
    <row r="235" spans="1:16" ht="14.4" x14ac:dyDescent="0.3">
      <c r="A235" s="24"/>
      <c r="B235" s="32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</row>
    <row r="236" spans="1:16" ht="14.4" x14ac:dyDescent="0.3">
      <c r="A236" s="24"/>
      <c r="B236" s="32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</row>
    <row r="237" spans="1:16" ht="14.4" x14ac:dyDescent="0.3">
      <c r="A237" s="24"/>
      <c r="B237" s="32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</row>
    <row r="238" spans="1:16" ht="14.4" x14ac:dyDescent="0.3">
      <c r="A238" s="24"/>
      <c r="B238" s="32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</row>
    <row r="239" spans="1:16" ht="14.4" x14ac:dyDescent="0.3">
      <c r="A239" s="24"/>
      <c r="B239" s="32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</row>
    <row r="240" spans="1:16" ht="14.4" x14ac:dyDescent="0.3">
      <c r="A240" s="24"/>
      <c r="B240" s="32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</row>
    <row r="241" spans="1:16" ht="14.4" x14ac:dyDescent="0.3">
      <c r="A241" s="24"/>
      <c r="B241" s="32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</row>
    <row r="242" spans="1:16" ht="14.4" x14ac:dyDescent="0.3">
      <c r="A242" s="24"/>
      <c r="B242" s="32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</row>
    <row r="243" spans="1:16" ht="14.4" x14ac:dyDescent="0.3">
      <c r="A243" s="24"/>
      <c r="B243" s="32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</row>
    <row r="244" spans="1:16" ht="14.4" x14ac:dyDescent="0.3">
      <c r="A244" s="24"/>
      <c r="B244" s="32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</row>
    <row r="245" spans="1:16" ht="14.4" x14ac:dyDescent="0.3">
      <c r="A245" s="24"/>
      <c r="B245" s="32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</row>
    <row r="246" spans="1:16" ht="14.4" x14ac:dyDescent="0.3">
      <c r="A246" s="24"/>
      <c r="B246" s="32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</row>
    <row r="247" spans="1:16" ht="14.4" x14ac:dyDescent="0.3">
      <c r="A247" s="24"/>
      <c r="B247" s="32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</row>
    <row r="248" spans="1:16" ht="14.4" x14ac:dyDescent="0.3">
      <c r="A248" s="24"/>
      <c r="B248" s="32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</row>
    <row r="249" spans="1:16" ht="14.4" x14ac:dyDescent="0.3">
      <c r="A249" s="24"/>
      <c r="B249" s="32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</row>
    <row r="250" spans="1:16" ht="14.4" x14ac:dyDescent="0.3">
      <c r="A250" s="24"/>
      <c r="B250" s="32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</row>
    <row r="251" spans="1:16" ht="14.4" x14ac:dyDescent="0.3">
      <c r="A251" s="24"/>
      <c r="B251" s="32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</row>
    <row r="252" spans="1:16" ht="14.4" x14ac:dyDescent="0.3">
      <c r="A252" s="24"/>
      <c r="B252" s="32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</row>
    <row r="253" spans="1:16" ht="14.4" x14ac:dyDescent="0.3">
      <c r="A253" s="24"/>
      <c r="B253" s="32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</row>
    <row r="254" spans="1:16" ht="14.4" x14ac:dyDescent="0.3">
      <c r="A254" s="24"/>
      <c r="B254" s="32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</row>
    <row r="255" spans="1:16" ht="14.4" x14ac:dyDescent="0.3">
      <c r="A255" s="24"/>
      <c r="B255" s="32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</row>
    <row r="256" spans="1:16" ht="14.4" x14ac:dyDescent="0.3">
      <c r="A256" s="24"/>
      <c r="B256" s="32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</row>
    <row r="257" spans="1:16" ht="14.4" x14ac:dyDescent="0.3">
      <c r="A257" s="24"/>
      <c r="B257" s="32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</row>
    <row r="258" spans="1:16" ht="14.4" x14ac:dyDescent="0.3">
      <c r="A258" s="24"/>
      <c r="B258" s="32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</row>
    <row r="259" spans="1:16" ht="14.4" x14ac:dyDescent="0.3">
      <c r="A259" s="24"/>
      <c r="B259" s="32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</row>
    <row r="260" spans="1:16" ht="14.4" x14ac:dyDescent="0.3">
      <c r="A260" s="24"/>
      <c r="B260" s="32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</row>
    <row r="261" spans="1:16" ht="14.4" x14ac:dyDescent="0.3">
      <c r="A261" s="24"/>
      <c r="B261" s="32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</row>
    <row r="262" spans="1:16" ht="14.4" x14ac:dyDescent="0.3">
      <c r="A262" s="24"/>
      <c r="B262" s="32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</row>
    <row r="263" spans="1:16" ht="14.4" x14ac:dyDescent="0.3">
      <c r="A263" s="24"/>
      <c r="B263" s="32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</row>
    <row r="264" spans="1:16" ht="14.4" x14ac:dyDescent="0.3">
      <c r="A264" s="24"/>
      <c r="B264" s="32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</row>
    <row r="265" spans="1:16" ht="14.4" x14ac:dyDescent="0.3">
      <c r="A265" s="24"/>
      <c r="B265" s="32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</row>
    <row r="266" spans="1:16" ht="14.4" x14ac:dyDescent="0.3">
      <c r="A266" s="24"/>
      <c r="B266" s="32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</row>
    <row r="267" spans="1:16" ht="14.4" x14ac:dyDescent="0.3">
      <c r="A267" s="24"/>
      <c r="B267" s="32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</row>
    <row r="268" spans="1:16" ht="14.4" x14ac:dyDescent="0.3">
      <c r="A268" s="24"/>
      <c r="B268" s="32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</row>
    <row r="269" spans="1:16" ht="14.4" x14ac:dyDescent="0.3">
      <c r="A269" s="24"/>
      <c r="B269" s="32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</row>
    <row r="270" spans="1:16" ht="14.4" x14ac:dyDescent="0.3">
      <c r="A270" s="24"/>
      <c r="B270" s="32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</row>
    <row r="271" spans="1:16" ht="14.4" x14ac:dyDescent="0.3">
      <c r="A271" s="24"/>
      <c r="B271" s="32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</row>
    <row r="272" spans="1:16" ht="14.4" x14ac:dyDescent="0.3">
      <c r="A272" s="24"/>
      <c r="B272" s="32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</row>
    <row r="273" spans="1:16" ht="14.4" x14ac:dyDescent="0.3">
      <c r="A273" s="24"/>
      <c r="B273" s="32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</row>
    <row r="274" spans="1:16" ht="14.4" x14ac:dyDescent="0.3">
      <c r="A274" s="24"/>
      <c r="B274" s="32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</row>
    <row r="275" spans="1:16" ht="14.4" x14ac:dyDescent="0.3">
      <c r="A275" s="24"/>
      <c r="B275" s="32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</row>
    <row r="276" spans="1:16" ht="14.4" x14ac:dyDescent="0.3">
      <c r="A276" s="24"/>
      <c r="B276" s="32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</row>
    <row r="277" spans="1:16" ht="14.4" x14ac:dyDescent="0.3">
      <c r="A277" s="24"/>
      <c r="B277" s="32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</row>
    <row r="278" spans="1:16" ht="14.4" x14ac:dyDescent="0.3">
      <c r="A278" s="24"/>
      <c r="B278" s="32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</row>
    <row r="279" spans="1:16" ht="14.4" x14ac:dyDescent="0.3">
      <c r="A279" s="24"/>
      <c r="B279" s="32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</row>
    <row r="280" spans="1:16" ht="14.4" x14ac:dyDescent="0.3">
      <c r="A280" s="24"/>
      <c r="B280" s="32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</row>
    <row r="281" spans="1:16" ht="14.4" x14ac:dyDescent="0.3">
      <c r="A281" s="24"/>
      <c r="B281" s="32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</row>
    <row r="282" spans="1:16" ht="14.4" x14ac:dyDescent="0.3">
      <c r="A282" s="24"/>
      <c r="B282" s="32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</row>
    <row r="283" spans="1:16" ht="14.4" x14ac:dyDescent="0.3">
      <c r="A283" s="24"/>
      <c r="B283" s="32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</row>
    <row r="284" spans="1:16" ht="14.4" x14ac:dyDescent="0.3">
      <c r="A284" s="24"/>
      <c r="B284" s="32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</row>
    <row r="285" spans="1:16" ht="14.4" x14ac:dyDescent="0.3">
      <c r="A285" s="24"/>
      <c r="B285" s="32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</row>
    <row r="286" spans="1:16" ht="14.4" x14ac:dyDescent="0.3">
      <c r="A286" s="24"/>
      <c r="B286" s="32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</row>
    <row r="287" spans="1:16" ht="14.4" x14ac:dyDescent="0.3">
      <c r="A287" s="24"/>
      <c r="B287" s="32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</row>
    <row r="288" spans="1:16" ht="14.4" x14ac:dyDescent="0.3">
      <c r="A288" s="24"/>
      <c r="B288" s="32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</row>
    <row r="289" spans="1:16" ht="14.4" x14ac:dyDescent="0.3">
      <c r="A289" s="24"/>
      <c r="B289" s="32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</row>
    <row r="290" spans="1:16" ht="14.4" x14ac:dyDescent="0.3">
      <c r="A290" s="24"/>
      <c r="B290" s="32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</row>
    <row r="291" spans="1:16" ht="14.4" x14ac:dyDescent="0.3">
      <c r="A291" s="24"/>
      <c r="B291" s="32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</row>
    <row r="292" spans="1:16" ht="14.4" x14ac:dyDescent="0.3">
      <c r="A292" s="24"/>
      <c r="B292" s="32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</row>
    <row r="293" spans="1:16" ht="14.4" x14ac:dyDescent="0.3">
      <c r="A293" s="24"/>
      <c r="B293" s="32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</row>
    <row r="294" spans="1:16" ht="14.4" x14ac:dyDescent="0.3">
      <c r="A294" s="24"/>
      <c r="B294" s="32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</row>
    <row r="295" spans="1:16" ht="14.4" x14ac:dyDescent="0.3">
      <c r="A295" s="24"/>
      <c r="B295" s="32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</row>
    <row r="296" spans="1:16" ht="14.4" x14ac:dyDescent="0.3">
      <c r="A296" s="24"/>
      <c r="B296" s="32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</row>
    <row r="297" spans="1:16" ht="14.4" x14ac:dyDescent="0.3">
      <c r="A297" s="24"/>
      <c r="B297" s="32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</row>
    <row r="298" spans="1:16" ht="14.4" x14ac:dyDescent="0.3">
      <c r="A298" s="24"/>
      <c r="B298" s="32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</row>
    <row r="299" spans="1:16" ht="14.4" x14ac:dyDescent="0.3">
      <c r="A299" s="24"/>
      <c r="B299" s="32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</row>
    <row r="300" spans="1:16" ht="14.4" x14ac:dyDescent="0.3">
      <c r="A300" s="24"/>
      <c r="B300" s="32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</row>
    <row r="301" spans="1:16" ht="14.4" x14ac:dyDescent="0.3">
      <c r="A301" s="24"/>
      <c r="B301" s="32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</row>
    <row r="302" spans="1:16" ht="14.4" x14ac:dyDescent="0.3">
      <c r="A302" s="24"/>
      <c r="B302" s="32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</row>
    <row r="303" spans="1:16" ht="14.4" x14ac:dyDescent="0.3">
      <c r="A303" s="24"/>
      <c r="B303" s="32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</row>
    <row r="304" spans="1:16" ht="14.4" x14ac:dyDescent="0.3">
      <c r="A304" s="24"/>
      <c r="B304" s="32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</row>
    <row r="305" spans="1:16" ht="14.4" x14ac:dyDescent="0.3">
      <c r="A305" s="24"/>
      <c r="B305" s="32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</row>
    <row r="306" spans="1:16" ht="14.4" x14ac:dyDescent="0.3">
      <c r="A306" s="24"/>
      <c r="B306" s="32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</row>
    <row r="307" spans="1:16" ht="14.4" x14ac:dyDescent="0.3">
      <c r="A307" s="24"/>
      <c r="B307" s="32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</row>
    <row r="308" spans="1:16" ht="14.4" x14ac:dyDescent="0.3">
      <c r="A308" s="24"/>
      <c r="B308" s="32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</row>
    <row r="309" spans="1:16" ht="14.4" x14ac:dyDescent="0.3">
      <c r="A309" s="24"/>
      <c r="B309" s="32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</row>
    <row r="310" spans="1:16" ht="14.4" x14ac:dyDescent="0.3">
      <c r="A310" s="24"/>
      <c r="B310" s="32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</row>
    <row r="311" spans="1:16" ht="14.4" x14ac:dyDescent="0.3">
      <c r="A311" s="24"/>
      <c r="B311" s="32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</row>
    <row r="312" spans="1:16" ht="14.4" x14ac:dyDescent="0.3">
      <c r="A312" s="24"/>
      <c r="B312" s="32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</row>
    <row r="313" spans="1:16" ht="14.4" x14ac:dyDescent="0.3">
      <c r="A313" s="24"/>
      <c r="B313" s="32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</row>
    <row r="314" spans="1:16" ht="14.4" x14ac:dyDescent="0.3">
      <c r="A314" s="24"/>
      <c r="B314" s="32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</row>
    <row r="315" spans="1:16" ht="14.4" x14ac:dyDescent="0.3">
      <c r="A315" s="24"/>
      <c r="B315" s="32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</row>
    <row r="316" spans="1:16" ht="14.4" x14ac:dyDescent="0.3">
      <c r="A316" s="24"/>
      <c r="B316" s="32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</row>
    <row r="317" spans="1:16" ht="14.4" x14ac:dyDescent="0.3">
      <c r="A317" s="24"/>
      <c r="B317" s="32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</row>
    <row r="318" spans="1:16" ht="14.4" x14ac:dyDescent="0.3">
      <c r="A318" s="24"/>
      <c r="B318" s="32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</row>
    <row r="319" spans="1:16" ht="14.4" x14ac:dyDescent="0.3">
      <c r="A319" s="24"/>
      <c r="B319" s="32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</row>
    <row r="320" spans="1:16" ht="14.4" x14ac:dyDescent="0.3">
      <c r="A320" s="24"/>
      <c r="B320" s="32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</row>
    <row r="321" spans="1:16" ht="14.4" x14ac:dyDescent="0.3">
      <c r="A321" s="24"/>
      <c r="B321" s="32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</row>
    <row r="322" spans="1:16" ht="14.4" x14ac:dyDescent="0.3">
      <c r="A322" s="24"/>
      <c r="B322" s="32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</row>
    <row r="323" spans="1:16" ht="14.4" x14ac:dyDescent="0.3">
      <c r="A323" s="24"/>
      <c r="B323" s="32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</row>
    <row r="324" spans="1:16" ht="14.4" x14ac:dyDescent="0.3">
      <c r="A324" s="24"/>
      <c r="B324" s="32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</row>
    <row r="325" spans="1:16" ht="14.4" x14ac:dyDescent="0.3">
      <c r="A325" s="24"/>
      <c r="B325" s="32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</row>
    <row r="326" spans="1:16" ht="14.4" x14ac:dyDescent="0.3">
      <c r="A326" s="24"/>
      <c r="B326" s="32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</row>
    <row r="327" spans="1:16" ht="14.4" x14ac:dyDescent="0.3">
      <c r="A327" s="24"/>
      <c r="B327" s="32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</row>
    <row r="328" spans="1:16" ht="14.4" x14ac:dyDescent="0.3">
      <c r="A328" s="24"/>
      <c r="B328" s="32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</row>
    <row r="329" spans="1:16" ht="14.4" x14ac:dyDescent="0.3">
      <c r="A329" s="24"/>
      <c r="B329" s="32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</row>
    <row r="330" spans="1:16" ht="14.4" x14ac:dyDescent="0.3">
      <c r="A330" s="24"/>
      <c r="B330" s="32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</row>
    <row r="331" spans="1:16" ht="14.4" x14ac:dyDescent="0.3">
      <c r="A331" s="24"/>
      <c r="B331" s="32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</row>
    <row r="332" spans="1:16" ht="14.4" x14ac:dyDescent="0.3">
      <c r="A332" s="24"/>
      <c r="B332" s="32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</row>
    <row r="333" spans="1:16" ht="14.4" x14ac:dyDescent="0.3">
      <c r="A333" s="24"/>
      <c r="B333" s="32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</row>
    <row r="334" spans="1:16" ht="14.4" x14ac:dyDescent="0.3">
      <c r="A334" s="24"/>
      <c r="B334" s="32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</row>
    <row r="335" spans="1:16" ht="14.4" x14ac:dyDescent="0.3">
      <c r="A335" s="24"/>
      <c r="B335" s="32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</row>
    <row r="336" spans="1:16" ht="14.4" x14ac:dyDescent="0.3">
      <c r="A336" s="24"/>
      <c r="B336" s="32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</row>
    <row r="337" spans="1:16" ht="14.4" x14ac:dyDescent="0.3">
      <c r="A337" s="24"/>
      <c r="B337" s="32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</row>
    <row r="338" spans="1:16" ht="14.4" x14ac:dyDescent="0.3">
      <c r="A338" s="24"/>
      <c r="B338" s="32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</row>
    <row r="339" spans="1:16" ht="14.4" x14ac:dyDescent="0.3">
      <c r="A339" s="24"/>
      <c r="B339" s="32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</row>
    <row r="340" spans="1:16" ht="14.4" x14ac:dyDescent="0.3">
      <c r="A340" s="24"/>
      <c r="B340" s="32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</row>
    <row r="341" spans="1:16" ht="14.4" x14ac:dyDescent="0.3">
      <c r="A341" s="24"/>
      <c r="B341" s="32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</row>
    <row r="342" spans="1:16" ht="14.4" x14ac:dyDescent="0.3">
      <c r="A342" s="24"/>
      <c r="B342" s="32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</row>
    <row r="343" spans="1:16" ht="14.4" x14ac:dyDescent="0.3">
      <c r="A343" s="24"/>
      <c r="B343" s="32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</row>
    <row r="344" spans="1:16" ht="14.4" x14ac:dyDescent="0.3">
      <c r="A344" s="24"/>
      <c r="B344" s="32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</row>
    <row r="345" spans="1:16" ht="14.4" x14ac:dyDescent="0.3">
      <c r="A345" s="24"/>
      <c r="B345" s="32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</row>
    <row r="346" spans="1:16" ht="14.4" x14ac:dyDescent="0.3">
      <c r="A346" s="24"/>
      <c r="B346" s="32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</row>
    <row r="347" spans="1:16" ht="14.4" x14ac:dyDescent="0.3">
      <c r="A347" s="24"/>
      <c r="B347" s="32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</row>
    <row r="348" spans="1:16" ht="14.4" x14ac:dyDescent="0.3">
      <c r="A348" s="24"/>
      <c r="B348" s="32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</row>
    <row r="349" spans="1:16" ht="14.4" x14ac:dyDescent="0.3">
      <c r="A349" s="24"/>
      <c r="B349" s="32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</row>
    <row r="350" spans="1:16" ht="14.4" x14ac:dyDescent="0.3">
      <c r="A350" s="24"/>
      <c r="B350" s="32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</row>
    <row r="351" spans="1:16" ht="14.4" x14ac:dyDescent="0.3">
      <c r="A351" s="24"/>
      <c r="B351" s="32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</row>
    <row r="352" spans="1:16" ht="14.4" x14ac:dyDescent="0.3">
      <c r="A352" s="24"/>
      <c r="B352" s="32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</row>
    <row r="353" spans="1:16" ht="14.4" x14ac:dyDescent="0.3">
      <c r="A353" s="24"/>
      <c r="B353" s="32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</row>
    <row r="354" spans="1:16" ht="14.4" x14ac:dyDescent="0.3">
      <c r="A354" s="24"/>
      <c r="B354" s="32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</row>
    <row r="355" spans="1:16" ht="14.4" x14ac:dyDescent="0.3">
      <c r="A355" s="24"/>
      <c r="B355" s="32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</row>
    <row r="356" spans="1:16" ht="14.4" x14ac:dyDescent="0.3">
      <c r="A356" s="24"/>
      <c r="B356" s="32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</row>
    <row r="357" spans="1:16" ht="14.4" x14ac:dyDescent="0.3">
      <c r="A357" s="24"/>
      <c r="B357" s="32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</row>
    <row r="358" spans="1:16" ht="14.4" x14ac:dyDescent="0.3">
      <c r="A358" s="24"/>
      <c r="B358" s="32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</row>
    <row r="359" spans="1:16" ht="14.4" x14ac:dyDescent="0.3">
      <c r="A359" s="24"/>
      <c r="B359" s="32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</row>
    <row r="360" spans="1:16" ht="14.4" x14ac:dyDescent="0.3">
      <c r="A360" s="24"/>
      <c r="B360" s="32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</row>
    <row r="361" spans="1:16" ht="14.4" x14ac:dyDescent="0.3">
      <c r="A361" s="24"/>
      <c r="B361" s="32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</row>
    <row r="362" spans="1:16" ht="14.4" x14ac:dyDescent="0.3">
      <c r="A362" s="24"/>
      <c r="B362" s="32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</row>
    <row r="363" spans="1:16" ht="14.4" x14ac:dyDescent="0.3">
      <c r="A363" s="24"/>
      <c r="B363" s="32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</row>
    <row r="364" spans="1:16" ht="14.4" x14ac:dyDescent="0.3">
      <c r="A364" s="24"/>
      <c r="B364" s="32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</row>
    <row r="365" spans="1:16" ht="14.4" x14ac:dyDescent="0.3">
      <c r="A365" s="24"/>
      <c r="B365" s="32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</row>
    <row r="366" spans="1:16" ht="14.4" x14ac:dyDescent="0.3">
      <c r="A366" s="24"/>
      <c r="B366" s="32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</row>
    <row r="367" spans="1:16" ht="14.4" x14ac:dyDescent="0.3">
      <c r="A367" s="24"/>
      <c r="B367" s="32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</row>
    <row r="368" spans="1:16" ht="14.4" x14ac:dyDescent="0.3">
      <c r="A368" s="24"/>
      <c r="B368" s="32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</row>
    <row r="369" spans="1:16" ht="14.4" x14ac:dyDescent="0.3">
      <c r="A369" s="24"/>
      <c r="B369" s="32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</row>
    <row r="370" spans="1:16" ht="14.4" x14ac:dyDescent="0.3">
      <c r="A370" s="24"/>
      <c r="B370" s="32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</row>
    <row r="371" spans="1:16" ht="14.4" x14ac:dyDescent="0.3">
      <c r="A371" s="24"/>
      <c r="B371" s="32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</row>
    <row r="372" spans="1:16" ht="14.4" x14ac:dyDescent="0.3">
      <c r="A372" s="24"/>
      <c r="B372" s="32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</row>
    <row r="373" spans="1:16" ht="14.4" x14ac:dyDescent="0.3">
      <c r="A373" s="24"/>
      <c r="B373" s="32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</row>
    <row r="374" spans="1:16" ht="14.4" x14ac:dyDescent="0.3">
      <c r="A374" s="24"/>
      <c r="B374" s="32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</row>
    <row r="375" spans="1:16" ht="14.4" x14ac:dyDescent="0.3">
      <c r="A375" s="24"/>
      <c r="B375" s="32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</row>
    <row r="376" spans="1:16" ht="14.4" x14ac:dyDescent="0.3">
      <c r="A376" s="24"/>
      <c r="B376" s="32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</row>
    <row r="377" spans="1:16" ht="14.4" x14ac:dyDescent="0.3">
      <c r="A377" s="24"/>
      <c r="B377" s="32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</row>
    <row r="378" spans="1:16" ht="14.4" x14ac:dyDescent="0.3">
      <c r="A378" s="24"/>
      <c r="B378" s="32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</row>
    <row r="379" spans="1:16" ht="14.4" x14ac:dyDescent="0.3">
      <c r="A379" s="24"/>
      <c r="B379" s="32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</row>
    <row r="380" spans="1:16" ht="14.4" x14ac:dyDescent="0.3">
      <c r="A380" s="24"/>
      <c r="B380" s="32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</row>
    <row r="381" spans="1:16" ht="14.4" x14ac:dyDescent="0.3">
      <c r="A381" s="24"/>
      <c r="B381" s="32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</row>
    <row r="382" spans="1:16" ht="14.4" x14ac:dyDescent="0.3">
      <c r="A382" s="24"/>
      <c r="B382" s="32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</row>
    <row r="383" spans="1:16" ht="14.4" x14ac:dyDescent="0.3">
      <c r="A383" s="24"/>
      <c r="B383" s="32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</row>
    <row r="384" spans="1:16" ht="14.4" x14ac:dyDescent="0.3">
      <c r="A384" s="24"/>
      <c r="B384" s="32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</row>
    <row r="385" spans="1:16" ht="14.4" x14ac:dyDescent="0.3">
      <c r="A385" s="24"/>
      <c r="B385" s="32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</row>
    <row r="386" spans="1:16" ht="14.4" x14ac:dyDescent="0.3">
      <c r="A386" s="24"/>
      <c r="B386" s="32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</row>
    <row r="387" spans="1:16" ht="14.4" x14ac:dyDescent="0.3">
      <c r="A387" s="24"/>
      <c r="B387" s="32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</row>
    <row r="388" spans="1:16" ht="14.4" x14ac:dyDescent="0.3">
      <c r="A388" s="24"/>
      <c r="B388" s="32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</row>
    <row r="389" spans="1:16" ht="14.4" x14ac:dyDescent="0.3">
      <c r="A389" s="24"/>
      <c r="B389" s="32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</row>
    <row r="390" spans="1:16" ht="14.4" x14ac:dyDescent="0.3">
      <c r="A390" s="24"/>
      <c r="B390" s="32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</row>
    <row r="391" spans="1:16" ht="14.4" x14ac:dyDescent="0.3">
      <c r="A391" s="24"/>
      <c r="B391" s="32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</row>
    <row r="392" spans="1:16" ht="14.4" x14ac:dyDescent="0.3">
      <c r="A392" s="24"/>
      <c r="B392" s="32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</row>
    <row r="393" spans="1:16" ht="14.4" x14ac:dyDescent="0.3">
      <c r="A393" s="24"/>
      <c r="B393" s="32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</row>
    <row r="394" spans="1:16" ht="14.4" x14ac:dyDescent="0.3">
      <c r="A394" s="24"/>
      <c r="B394" s="32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</row>
    <row r="395" spans="1:16" ht="14.4" x14ac:dyDescent="0.3">
      <c r="A395" s="24"/>
      <c r="B395" s="32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</row>
    <row r="396" spans="1:16" ht="14.4" x14ac:dyDescent="0.3">
      <c r="A396" s="24"/>
      <c r="B396" s="32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</row>
    <row r="397" spans="1:16" ht="14.4" x14ac:dyDescent="0.3">
      <c r="A397" s="24"/>
      <c r="B397" s="32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</row>
    <row r="398" spans="1:16" ht="14.4" x14ac:dyDescent="0.3">
      <c r="A398" s="24"/>
      <c r="B398" s="32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</row>
    <row r="399" spans="1:16" ht="14.4" x14ac:dyDescent="0.3">
      <c r="A399" s="24"/>
      <c r="B399" s="32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</row>
    <row r="400" spans="1:16" ht="14.4" x14ac:dyDescent="0.3">
      <c r="A400" s="24"/>
      <c r="B400" s="32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</row>
    <row r="401" spans="1:16" ht="14.4" x14ac:dyDescent="0.3">
      <c r="A401" s="24"/>
      <c r="B401" s="32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</row>
    <row r="402" spans="1:16" ht="14.4" x14ac:dyDescent="0.3">
      <c r="A402" s="24"/>
      <c r="B402" s="32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</row>
    <row r="403" spans="1:16" ht="14.4" x14ac:dyDescent="0.3">
      <c r="A403" s="24"/>
      <c r="B403" s="32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</row>
    <row r="404" spans="1:16" ht="14.4" x14ac:dyDescent="0.3">
      <c r="A404" s="24"/>
      <c r="B404" s="32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</row>
    <row r="405" spans="1:16" ht="14.4" x14ac:dyDescent="0.3">
      <c r="A405" s="24"/>
      <c r="B405" s="32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</row>
    <row r="406" spans="1:16" ht="14.4" x14ac:dyDescent="0.3">
      <c r="A406" s="24"/>
      <c r="B406" s="32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</row>
    <row r="407" spans="1:16" ht="14.4" x14ac:dyDescent="0.3">
      <c r="A407" s="24"/>
      <c r="B407" s="32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</row>
    <row r="408" spans="1:16" ht="14.4" x14ac:dyDescent="0.3">
      <c r="A408" s="24"/>
      <c r="B408" s="32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</row>
    <row r="409" spans="1:16" ht="14.4" x14ac:dyDescent="0.3">
      <c r="A409" s="24"/>
      <c r="B409" s="32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</row>
    <row r="410" spans="1:16" ht="14.4" x14ac:dyDescent="0.3">
      <c r="A410" s="24"/>
      <c r="B410" s="32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</row>
    <row r="411" spans="1:16" ht="14.4" x14ac:dyDescent="0.3">
      <c r="A411" s="24"/>
      <c r="B411" s="32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</row>
    <row r="412" spans="1:16" ht="14.4" x14ac:dyDescent="0.3">
      <c r="A412" s="24"/>
      <c r="B412" s="32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</row>
    <row r="413" spans="1:16" ht="14.4" x14ac:dyDescent="0.3">
      <c r="A413" s="24"/>
      <c r="B413" s="32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</row>
    <row r="414" spans="1:16" ht="14.4" x14ac:dyDescent="0.3">
      <c r="A414" s="24"/>
      <c r="B414" s="32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</row>
    <row r="415" spans="1:16" ht="14.4" x14ac:dyDescent="0.3">
      <c r="A415" s="24"/>
      <c r="B415" s="32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</row>
    <row r="416" spans="1:16" ht="14.4" x14ac:dyDescent="0.3">
      <c r="A416" s="24"/>
      <c r="B416" s="32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</row>
    <row r="417" spans="1:16" ht="14.4" x14ac:dyDescent="0.3">
      <c r="A417" s="24"/>
      <c r="B417" s="32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</row>
    <row r="418" spans="1:16" ht="14.4" x14ac:dyDescent="0.3">
      <c r="A418" s="24"/>
      <c r="B418" s="32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</row>
    <row r="419" spans="1:16" ht="14.4" x14ac:dyDescent="0.3">
      <c r="A419" s="24"/>
      <c r="B419" s="32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</row>
    <row r="420" spans="1:16" ht="14.4" x14ac:dyDescent="0.3">
      <c r="A420" s="24"/>
      <c r="B420" s="32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</row>
    <row r="421" spans="1:16" ht="14.4" x14ac:dyDescent="0.3">
      <c r="A421" s="24"/>
      <c r="B421" s="32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</row>
    <row r="422" spans="1:16" ht="14.4" x14ac:dyDescent="0.3">
      <c r="A422" s="24"/>
      <c r="B422" s="32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</row>
    <row r="423" spans="1:16" ht="14.4" x14ac:dyDescent="0.3">
      <c r="A423" s="24"/>
      <c r="B423" s="32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</row>
    <row r="424" spans="1:16" ht="14.4" x14ac:dyDescent="0.3">
      <c r="A424" s="24"/>
      <c r="B424" s="32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</row>
    <row r="425" spans="1:16" ht="14.4" x14ac:dyDescent="0.3">
      <c r="A425" s="24"/>
      <c r="B425" s="32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</row>
    <row r="426" spans="1:16" ht="14.4" x14ac:dyDescent="0.3">
      <c r="A426" s="24"/>
      <c r="B426" s="32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</row>
    <row r="427" spans="1:16" ht="14.4" x14ac:dyDescent="0.3">
      <c r="A427" s="24"/>
      <c r="B427" s="32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</row>
    <row r="428" spans="1:16" ht="14.4" x14ac:dyDescent="0.3">
      <c r="A428" s="24"/>
      <c r="B428" s="32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</row>
    <row r="429" spans="1:16" ht="14.4" x14ac:dyDescent="0.3">
      <c r="A429" s="24"/>
      <c r="B429" s="32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</row>
    <row r="430" spans="1:16" ht="14.4" x14ac:dyDescent="0.3">
      <c r="A430" s="24"/>
      <c r="B430" s="32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</row>
    <row r="431" spans="1:16" ht="14.4" x14ac:dyDescent="0.3">
      <c r="A431" s="24"/>
      <c r="B431" s="32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</row>
    <row r="432" spans="1:16" ht="14.4" x14ac:dyDescent="0.3">
      <c r="A432" s="24"/>
      <c r="B432" s="32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</row>
    <row r="433" spans="1:16" ht="14.4" x14ac:dyDescent="0.3">
      <c r="A433" s="24"/>
      <c r="B433" s="32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</row>
    <row r="434" spans="1:16" ht="14.4" x14ac:dyDescent="0.3">
      <c r="A434" s="24"/>
      <c r="B434" s="32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</row>
    <row r="435" spans="1:16" ht="14.4" x14ac:dyDescent="0.3">
      <c r="A435" s="24"/>
      <c r="B435" s="32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</row>
    <row r="436" spans="1:16" ht="14.4" x14ac:dyDescent="0.3">
      <c r="A436" s="24"/>
      <c r="B436" s="32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</row>
    <row r="437" spans="1:16" ht="14.4" x14ac:dyDescent="0.3">
      <c r="A437" s="24"/>
      <c r="B437" s="32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</row>
    <row r="438" spans="1:16" ht="14.4" x14ac:dyDescent="0.3">
      <c r="A438" s="24"/>
      <c r="B438" s="32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</row>
    <row r="439" spans="1:16" ht="14.4" x14ac:dyDescent="0.3">
      <c r="A439" s="24"/>
      <c r="B439" s="32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</row>
    <row r="440" spans="1:16" ht="14.4" x14ac:dyDescent="0.3">
      <c r="A440" s="24"/>
      <c r="B440" s="32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</row>
    <row r="441" spans="1:16" ht="14.4" x14ac:dyDescent="0.3">
      <c r="A441" s="24"/>
      <c r="B441" s="32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</row>
    <row r="442" spans="1:16" ht="14.4" x14ac:dyDescent="0.3">
      <c r="A442" s="24"/>
      <c r="B442" s="32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</row>
    <row r="443" spans="1:16" ht="14.4" x14ac:dyDescent="0.3">
      <c r="A443" s="24"/>
      <c r="B443" s="32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</row>
    <row r="444" spans="1:16" ht="14.4" x14ac:dyDescent="0.3">
      <c r="A444" s="24"/>
      <c r="B444" s="32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</row>
    <row r="445" spans="1:16" ht="14.4" x14ac:dyDescent="0.3">
      <c r="A445" s="24"/>
      <c r="B445" s="32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</row>
    <row r="446" spans="1:16" ht="14.4" x14ac:dyDescent="0.3">
      <c r="A446" s="24"/>
      <c r="B446" s="32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</row>
    <row r="447" spans="1:16" ht="14.4" x14ac:dyDescent="0.3">
      <c r="A447" s="24"/>
      <c r="B447" s="32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</row>
    <row r="448" spans="1:16" ht="14.4" x14ac:dyDescent="0.3">
      <c r="A448" s="24"/>
      <c r="B448" s="32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</row>
    <row r="449" spans="1:16" ht="14.4" x14ac:dyDescent="0.3">
      <c r="A449" s="24"/>
      <c r="B449" s="32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</row>
    <row r="450" spans="1:16" ht="14.4" x14ac:dyDescent="0.3">
      <c r="A450" s="24"/>
      <c r="B450" s="32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</row>
    <row r="451" spans="1:16" ht="14.4" x14ac:dyDescent="0.3">
      <c r="A451" s="24"/>
      <c r="B451" s="32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</row>
    <row r="452" spans="1:16" ht="14.4" x14ac:dyDescent="0.3">
      <c r="A452" s="24"/>
      <c r="B452" s="32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</row>
    <row r="453" spans="1:16" ht="14.4" x14ac:dyDescent="0.3">
      <c r="A453" s="24"/>
      <c r="B453" s="32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</row>
    <row r="454" spans="1:16" ht="14.4" x14ac:dyDescent="0.3">
      <c r="A454" s="24"/>
      <c r="B454" s="32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</row>
    <row r="455" spans="1:16" ht="14.4" x14ac:dyDescent="0.3">
      <c r="A455" s="24"/>
      <c r="B455" s="32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</row>
    <row r="456" spans="1:16" ht="14.4" x14ac:dyDescent="0.3">
      <c r="A456" s="24"/>
      <c r="B456" s="32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</row>
    <row r="457" spans="1:16" ht="14.4" x14ac:dyDescent="0.3">
      <c r="A457" s="24"/>
      <c r="B457" s="32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</row>
    <row r="458" spans="1:16" ht="14.4" x14ac:dyDescent="0.3">
      <c r="A458" s="24"/>
      <c r="B458" s="32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</row>
    <row r="459" spans="1:16" ht="14.4" x14ac:dyDescent="0.3">
      <c r="A459" s="24"/>
      <c r="B459" s="32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</row>
    <row r="460" spans="1:16" ht="14.4" x14ac:dyDescent="0.3">
      <c r="A460" s="24"/>
      <c r="B460" s="32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</row>
    <row r="461" spans="1:16" ht="14.4" x14ac:dyDescent="0.3">
      <c r="A461" s="24"/>
      <c r="B461" s="32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</row>
    <row r="462" spans="1:16" ht="14.4" x14ac:dyDescent="0.3">
      <c r="A462" s="24"/>
      <c r="B462" s="32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</row>
    <row r="463" spans="1:16" ht="14.4" x14ac:dyDescent="0.3">
      <c r="A463" s="24"/>
      <c r="B463" s="32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</row>
    <row r="464" spans="1:16" ht="14.4" x14ac:dyDescent="0.3">
      <c r="A464" s="24"/>
      <c r="B464" s="32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</row>
    <row r="465" spans="1:16" ht="14.4" x14ac:dyDescent="0.3">
      <c r="A465" s="24"/>
      <c r="B465" s="32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</row>
    <row r="466" spans="1:16" ht="14.4" x14ac:dyDescent="0.3">
      <c r="A466" s="24"/>
      <c r="B466" s="32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</row>
    <row r="467" spans="1:16" ht="14.4" x14ac:dyDescent="0.3">
      <c r="A467" s="24"/>
      <c r="B467" s="32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</row>
    <row r="468" spans="1:16" ht="14.4" x14ac:dyDescent="0.3">
      <c r="A468" s="24"/>
      <c r="B468" s="32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</row>
    <row r="469" spans="1:16" ht="14.4" x14ac:dyDescent="0.3">
      <c r="A469" s="24"/>
      <c r="B469" s="32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</row>
    <row r="470" spans="1:16" ht="14.4" x14ac:dyDescent="0.3">
      <c r="A470" s="24"/>
      <c r="B470" s="32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</row>
    <row r="471" spans="1:16" ht="14.4" x14ac:dyDescent="0.3">
      <c r="A471" s="24"/>
      <c r="B471" s="32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</row>
    <row r="472" spans="1:16" ht="14.4" x14ac:dyDescent="0.3">
      <c r="A472" s="24"/>
      <c r="B472" s="32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</row>
    <row r="473" spans="1:16" ht="14.4" x14ac:dyDescent="0.3">
      <c r="A473" s="24"/>
      <c r="B473" s="32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</row>
    <row r="474" spans="1:16" ht="14.4" x14ac:dyDescent="0.3">
      <c r="A474" s="24"/>
      <c r="B474" s="32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</row>
    <row r="475" spans="1:16" ht="14.4" x14ac:dyDescent="0.3">
      <c r="A475" s="24"/>
      <c r="B475" s="32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</row>
    <row r="476" spans="1:16" ht="14.4" x14ac:dyDescent="0.3">
      <c r="A476" s="24"/>
      <c r="B476" s="32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</row>
    <row r="477" spans="1:16" ht="14.4" x14ac:dyDescent="0.3">
      <c r="A477" s="24"/>
      <c r="B477" s="32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</row>
    <row r="478" spans="1:16" ht="14.4" x14ac:dyDescent="0.3">
      <c r="A478" s="24"/>
      <c r="B478" s="32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</row>
    <row r="479" spans="1:16" ht="14.4" x14ac:dyDescent="0.3">
      <c r="A479" s="24"/>
      <c r="B479" s="32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</row>
    <row r="480" spans="1:16" ht="14.4" x14ac:dyDescent="0.3">
      <c r="A480" s="24"/>
      <c r="B480" s="32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</row>
    <row r="481" spans="1:16" ht="14.4" x14ac:dyDescent="0.3">
      <c r="A481" s="24"/>
      <c r="B481" s="32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</row>
    <row r="482" spans="1:16" ht="14.4" x14ac:dyDescent="0.3">
      <c r="A482" s="24"/>
      <c r="B482" s="32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</row>
    <row r="483" spans="1:16" ht="14.4" x14ac:dyDescent="0.3">
      <c r="A483" s="24"/>
      <c r="B483" s="32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</row>
    <row r="484" spans="1:16" ht="14.4" x14ac:dyDescent="0.3">
      <c r="A484" s="24"/>
      <c r="B484" s="32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</row>
    <row r="485" spans="1:16" ht="14.4" x14ac:dyDescent="0.3">
      <c r="A485" s="24"/>
      <c r="B485" s="32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</row>
    <row r="486" spans="1:16" ht="14.4" x14ac:dyDescent="0.3">
      <c r="A486" s="24"/>
      <c r="B486" s="32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</row>
    <row r="487" spans="1:16" ht="14.4" x14ac:dyDescent="0.3">
      <c r="A487" s="24"/>
      <c r="B487" s="32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</row>
    <row r="488" spans="1:16" ht="14.4" x14ac:dyDescent="0.3">
      <c r="A488" s="24"/>
      <c r="B488" s="32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</row>
    <row r="489" spans="1:16" ht="14.4" x14ac:dyDescent="0.3">
      <c r="A489" s="24"/>
      <c r="B489" s="32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</row>
    <row r="490" spans="1:16" ht="14.4" x14ac:dyDescent="0.3">
      <c r="A490" s="24"/>
      <c r="B490" s="32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</row>
    <row r="491" spans="1:16" ht="14.4" x14ac:dyDescent="0.3">
      <c r="A491" s="24"/>
      <c r="B491" s="32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</row>
    <row r="492" spans="1:16" ht="14.4" x14ac:dyDescent="0.3">
      <c r="A492" s="24"/>
      <c r="B492" s="32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</row>
    <row r="493" spans="1:16" ht="14.4" x14ac:dyDescent="0.3">
      <c r="A493" s="24"/>
      <c r="B493" s="32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</row>
    <row r="494" spans="1:16" ht="14.4" x14ac:dyDescent="0.3">
      <c r="A494" s="24"/>
      <c r="B494" s="32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</row>
    <row r="495" spans="1:16" ht="14.4" x14ac:dyDescent="0.3">
      <c r="A495" s="24"/>
      <c r="B495" s="32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</row>
    <row r="496" spans="1:16" ht="14.4" x14ac:dyDescent="0.3">
      <c r="A496" s="24"/>
      <c r="B496" s="32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</row>
    <row r="497" spans="1:16" ht="14.4" x14ac:dyDescent="0.3">
      <c r="A497" s="24"/>
      <c r="B497" s="32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</row>
    <row r="498" spans="1:16" ht="14.4" x14ac:dyDescent="0.3">
      <c r="A498" s="24"/>
      <c r="B498" s="32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</row>
    <row r="499" spans="1:16" ht="14.4" x14ac:dyDescent="0.3">
      <c r="A499" s="24"/>
      <c r="B499" s="32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</row>
    <row r="500" spans="1:16" ht="14.4" x14ac:dyDescent="0.3">
      <c r="A500" s="24"/>
      <c r="B500" s="32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</row>
    <row r="501" spans="1:16" ht="14.4" x14ac:dyDescent="0.3">
      <c r="A501" s="24"/>
      <c r="B501" s="32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</row>
    <row r="502" spans="1:16" ht="14.4" x14ac:dyDescent="0.3">
      <c r="A502" s="24"/>
      <c r="B502" s="32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</row>
    <row r="503" spans="1:16" ht="14.4" x14ac:dyDescent="0.3">
      <c r="A503" s="24"/>
      <c r="B503" s="32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</row>
    <row r="504" spans="1:16" ht="14.4" x14ac:dyDescent="0.3">
      <c r="A504" s="24"/>
      <c r="B504" s="32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</row>
    <row r="505" spans="1:16" ht="14.4" x14ac:dyDescent="0.3">
      <c r="A505" s="24"/>
      <c r="B505" s="32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</row>
    <row r="506" spans="1:16" ht="14.4" x14ac:dyDescent="0.3">
      <c r="A506" s="24"/>
      <c r="B506" s="32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</row>
    <row r="507" spans="1:16" ht="14.4" x14ac:dyDescent="0.3">
      <c r="A507" s="24"/>
      <c r="B507" s="32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</row>
    <row r="508" spans="1:16" ht="14.4" x14ac:dyDescent="0.3">
      <c r="A508" s="24"/>
      <c r="B508" s="32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</row>
    <row r="509" spans="1:16" ht="14.4" x14ac:dyDescent="0.3">
      <c r="A509" s="24"/>
      <c r="B509" s="32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</row>
    <row r="510" spans="1:16" ht="14.4" x14ac:dyDescent="0.3">
      <c r="A510" s="24"/>
      <c r="B510" s="32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</row>
    <row r="511" spans="1:16" ht="14.4" x14ac:dyDescent="0.3">
      <c r="A511" s="24"/>
      <c r="B511" s="32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</row>
    <row r="512" spans="1:16" ht="14.4" x14ac:dyDescent="0.3">
      <c r="A512" s="24"/>
      <c r="B512" s="32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</row>
    <row r="513" spans="1:16" ht="14.4" x14ac:dyDescent="0.3">
      <c r="A513" s="24"/>
      <c r="B513" s="32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</row>
    <row r="514" spans="1:16" ht="14.4" x14ac:dyDescent="0.3">
      <c r="A514" s="24"/>
      <c r="B514" s="32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</row>
    <row r="515" spans="1:16" ht="14.4" x14ac:dyDescent="0.3">
      <c r="A515" s="24"/>
      <c r="B515" s="32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</row>
    <row r="516" spans="1:16" ht="14.4" x14ac:dyDescent="0.3">
      <c r="A516" s="24"/>
      <c r="B516" s="32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</row>
    <row r="517" spans="1:16" ht="14.4" x14ac:dyDescent="0.3">
      <c r="A517" s="24"/>
      <c r="B517" s="32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</row>
    <row r="518" spans="1:16" ht="14.4" x14ac:dyDescent="0.3">
      <c r="A518" s="24"/>
      <c r="B518" s="32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</row>
    <row r="519" spans="1:16" ht="14.4" x14ac:dyDescent="0.3">
      <c r="A519" s="24"/>
      <c r="B519" s="32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</row>
    <row r="520" spans="1:16" ht="14.4" x14ac:dyDescent="0.3">
      <c r="A520" s="24"/>
      <c r="B520" s="32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</row>
    <row r="521" spans="1:16" ht="14.4" x14ac:dyDescent="0.3">
      <c r="A521" s="24"/>
      <c r="B521" s="32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</row>
    <row r="522" spans="1:16" ht="14.4" x14ac:dyDescent="0.3">
      <c r="A522" s="24"/>
      <c r="B522" s="32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</row>
    <row r="523" spans="1:16" ht="14.4" x14ac:dyDescent="0.3">
      <c r="A523" s="24"/>
      <c r="B523" s="32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</row>
    <row r="524" spans="1:16" ht="14.4" x14ac:dyDescent="0.3">
      <c r="A524" s="24"/>
      <c r="B524" s="32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</row>
    <row r="525" spans="1:16" ht="14.4" x14ac:dyDescent="0.3">
      <c r="A525" s="24"/>
      <c r="B525" s="32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</row>
    <row r="526" spans="1:16" ht="14.4" x14ac:dyDescent="0.3">
      <c r="A526" s="24"/>
      <c r="B526" s="32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</row>
    <row r="527" spans="1:16" ht="14.4" x14ac:dyDescent="0.3">
      <c r="A527" s="24"/>
      <c r="B527" s="32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</row>
    <row r="528" spans="1:16" ht="14.4" x14ac:dyDescent="0.3">
      <c r="A528" s="24"/>
      <c r="B528" s="32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</row>
    <row r="529" spans="1:16" ht="14.4" x14ac:dyDescent="0.3">
      <c r="A529" s="24"/>
      <c r="B529" s="32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</row>
    <row r="530" spans="1:16" ht="14.4" x14ac:dyDescent="0.3">
      <c r="A530" s="24"/>
      <c r="B530" s="32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</row>
    <row r="531" spans="1:16" ht="14.4" x14ac:dyDescent="0.3">
      <c r="A531" s="24"/>
      <c r="B531" s="32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</row>
    <row r="532" spans="1:16" ht="14.4" x14ac:dyDescent="0.3">
      <c r="A532" s="24"/>
      <c r="B532" s="32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</row>
    <row r="533" spans="1:16" ht="14.4" x14ac:dyDescent="0.3">
      <c r="A533" s="24"/>
      <c r="B533" s="32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</row>
    <row r="534" spans="1:16" ht="14.4" x14ac:dyDescent="0.3">
      <c r="A534" s="24"/>
      <c r="B534" s="32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</row>
    <row r="535" spans="1:16" ht="14.4" x14ac:dyDescent="0.3">
      <c r="A535" s="24"/>
      <c r="B535" s="32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</row>
    <row r="536" spans="1:16" ht="14.4" x14ac:dyDescent="0.3">
      <c r="A536" s="24"/>
      <c r="B536" s="32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</row>
    <row r="537" spans="1:16" ht="14.4" x14ac:dyDescent="0.3">
      <c r="A537" s="24"/>
      <c r="B537" s="32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</row>
    <row r="538" spans="1:16" ht="14.4" x14ac:dyDescent="0.3">
      <c r="A538" s="24"/>
      <c r="B538" s="32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</row>
    <row r="539" spans="1:16" ht="14.4" x14ac:dyDescent="0.3">
      <c r="A539" s="24"/>
      <c r="B539" s="32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</row>
    <row r="540" spans="1:16" ht="14.4" x14ac:dyDescent="0.3">
      <c r="A540" s="24"/>
      <c r="B540" s="32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</row>
    <row r="541" spans="1:16" ht="14.4" x14ac:dyDescent="0.3">
      <c r="A541" s="24"/>
      <c r="B541" s="32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</row>
    <row r="542" spans="1:16" ht="14.4" x14ac:dyDescent="0.3">
      <c r="A542" s="24"/>
      <c r="B542" s="32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</row>
    <row r="543" spans="1:16" ht="14.4" x14ac:dyDescent="0.3">
      <c r="A543" s="24"/>
      <c r="B543" s="32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</row>
    <row r="544" spans="1:16" ht="14.4" x14ac:dyDescent="0.3">
      <c r="A544" s="24"/>
      <c r="B544" s="32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</row>
    <row r="545" spans="1:16" ht="14.4" x14ac:dyDescent="0.3">
      <c r="A545" s="24"/>
      <c r="B545" s="32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</row>
    <row r="546" spans="1:16" ht="14.4" x14ac:dyDescent="0.3">
      <c r="A546" s="24"/>
      <c r="B546" s="32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</row>
    <row r="547" spans="1:16" ht="14.4" x14ac:dyDescent="0.3">
      <c r="A547" s="24"/>
      <c r="B547" s="32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</row>
    <row r="548" spans="1:16" ht="14.4" x14ac:dyDescent="0.3">
      <c r="A548" s="24"/>
      <c r="B548" s="32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</row>
    <row r="549" spans="1:16" ht="14.4" x14ac:dyDescent="0.3">
      <c r="A549" s="24"/>
      <c r="B549" s="32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</row>
    <row r="550" spans="1:16" ht="14.4" x14ac:dyDescent="0.3">
      <c r="A550" s="24"/>
      <c r="B550" s="32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</row>
    <row r="551" spans="1:16" ht="14.4" x14ac:dyDescent="0.3">
      <c r="A551" s="24"/>
      <c r="B551" s="32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</row>
    <row r="552" spans="1:16" ht="14.4" x14ac:dyDescent="0.3">
      <c r="A552" s="24"/>
      <c r="B552" s="32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</row>
    <row r="553" spans="1:16" ht="14.4" x14ac:dyDescent="0.3">
      <c r="A553" s="24"/>
      <c r="B553" s="32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</row>
    <row r="554" spans="1:16" ht="14.4" x14ac:dyDescent="0.3">
      <c r="A554" s="24"/>
      <c r="B554" s="32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</row>
    <row r="555" spans="1:16" ht="14.4" x14ac:dyDescent="0.3">
      <c r="A555" s="24"/>
      <c r="B555" s="32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</row>
    <row r="556" spans="1:16" ht="14.4" x14ac:dyDescent="0.3">
      <c r="A556" s="24"/>
      <c r="B556" s="32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</row>
    <row r="557" spans="1:16" ht="14.4" x14ac:dyDescent="0.3">
      <c r="A557" s="24"/>
      <c r="B557" s="32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</row>
    <row r="558" spans="1:16" ht="14.4" x14ac:dyDescent="0.3">
      <c r="A558" s="24"/>
      <c r="B558" s="32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</row>
    <row r="559" spans="1:16" ht="14.4" x14ac:dyDescent="0.3">
      <c r="A559" s="24"/>
      <c r="B559" s="32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</row>
    <row r="560" spans="1:16" ht="14.4" x14ac:dyDescent="0.3">
      <c r="A560" s="24"/>
      <c r="B560" s="32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</row>
    <row r="561" spans="1:16" ht="14.4" x14ac:dyDescent="0.3">
      <c r="A561" s="24"/>
      <c r="B561" s="32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</row>
    <row r="562" spans="1:16" ht="14.4" x14ac:dyDescent="0.3">
      <c r="A562" s="24"/>
      <c r="B562" s="32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</row>
    <row r="563" spans="1:16" ht="14.4" x14ac:dyDescent="0.3">
      <c r="A563" s="24"/>
      <c r="B563" s="32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</row>
    <row r="564" spans="1:16" ht="14.4" x14ac:dyDescent="0.3">
      <c r="A564" s="24"/>
      <c r="B564" s="32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</row>
    <row r="565" spans="1:16" ht="14.4" x14ac:dyDescent="0.3">
      <c r="A565" s="24"/>
      <c r="B565" s="32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</row>
    <row r="566" spans="1:16" ht="14.4" x14ac:dyDescent="0.3">
      <c r="A566" s="24"/>
      <c r="B566" s="32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</row>
    <row r="567" spans="1:16" ht="14.4" x14ac:dyDescent="0.3">
      <c r="A567" s="24"/>
      <c r="B567" s="32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</row>
    <row r="568" spans="1:16" ht="14.4" x14ac:dyDescent="0.3">
      <c r="A568" s="24"/>
      <c r="B568" s="32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</row>
    <row r="569" spans="1:16" ht="14.4" x14ac:dyDescent="0.3">
      <c r="A569" s="24"/>
      <c r="B569" s="32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</row>
    <row r="570" spans="1:16" ht="14.4" x14ac:dyDescent="0.3">
      <c r="A570" s="24"/>
      <c r="B570" s="32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</row>
    <row r="571" spans="1:16" ht="14.4" x14ac:dyDescent="0.3">
      <c r="A571" s="24"/>
      <c r="B571" s="32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</row>
    <row r="572" spans="1:16" ht="14.4" x14ac:dyDescent="0.3">
      <c r="A572" s="24"/>
      <c r="B572" s="32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</row>
    <row r="573" spans="1:16" ht="14.4" x14ac:dyDescent="0.3">
      <c r="A573" s="24"/>
      <c r="B573" s="32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</row>
    <row r="574" spans="1:16" ht="14.4" x14ac:dyDescent="0.3">
      <c r="A574" s="24"/>
      <c r="B574" s="32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</row>
    <row r="575" spans="1:16" ht="14.4" x14ac:dyDescent="0.3">
      <c r="A575" s="24"/>
      <c r="B575" s="32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</row>
    <row r="576" spans="1:16" ht="14.4" x14ac:dyDescent="0.3">
      <c r="A576" s="24"/>
      <c r="B576" s="32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</row>
    <row r="577" spans="1:16" ht="14.4" x14ac:dyDescent="0.3">
      <c r="A577" s="24"/>
      <c r="B577" s="32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</row>
    <row r="578" spans="1:16" ht="14.4" x14ac:dyDescent="0.3">
      <c r="A578" s="24"/>
      <c r="B578" s="32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</row>
    <row r="579" spans="1:16" ht="14.4" x14ac:dyDescent="0.3">
      <c r="A579" s="24"/>
      <c r="B579" s="32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</row>
    <row r="580" spans="1:16" ht="14.4" x14ac:dyDescent="0.3">
      <c r="A580" s="24"/>
      <c r="B580" s="32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</row>
    <row r="581" spans="1:16" ht="14.4" x14ac:dyDescent="0.3">
      <c r="A581" s="24"/>
      <c r="B581" s="32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</row>
    <row r="582" spans="1:16" ht="14.4" x14ac:dyDescent="0.3">
      <c r="A582" s="24"/>
      <c r="B582" s="32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</row>
    <row r="583" spans="1:16" ht="14.4" x14ac:dyDescent="0.3">
      <c r="A583" s="24"/>
      <c r="B583" s="32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</row>
    <row r="584" spans="1:16" ht="14.4" x14ac:dyDescent="0.3">
      <c r="A584" s="24"/>
      <c r="B584" s="32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</row>
    <row r="585" spans="1:16" ht="14.4" x14ac:dyDescent="0.3">
      <c r="A585" s="24"/>
      <c r="B585" s="32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</row>
    <row r="586" spans="1:16" ht="14.4" x14ac:dyDescent="0.3">
      <c r="A586" s="24"/>
      <c r="B586" s="32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</row>
    <row r="587" spans="1:16" ht="14.4" x14ac:dyDescent="0.3">
      <c r="A587" s="24"/>
      <c r="B587" s="32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</row>
    <row r="588" spans="1:16" ht="14.4" x14ac:dyDescent="0.3">
      <c r="A588" s="24"/>
      <c r="B588" s="32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</row>
    <row r="589" spans="1:16" ht="14.4" x14ac:dyDescent="0.3">
      <c r="A589" s="24"/>
      <c r="B589" s="32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</row>
    <row r="590" spans="1:16" ht="14.4" x14ac:dyDescent="0.3">
      <c r="A590" s="24"/>
      <c r="B590" s="32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</row>
    <row r="591" spans="1:16" ht="14.4" x14ac:dyDescent="0.3">
      <c r="A591" s="24"/>
      <c r="B591" s="32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</row>
    <row r="592" spans="1:16" ht="14.4" x14ac:dyDescent="0.3">
      <c r="A592" s="24"/>
      <c r="B592" s="32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</row>
    <row r="593" spans="1:16" ht="14.4" x14ac:dyDescent="0.3">
      <c r="A593" s="24"/>
      <c r="B593" s="32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</row>
    <row r="594" spans="1:16" ht="14.4" x14ac:dyDescent="0.3">
      <c r="A594" s="24"/>
      <c r="B594" s="32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</row>
    <row r="595" spans="1:16" ht="14.4" x14ac:dyDescent="0.3">
      <c r="A595" s="24"/>
      <c r="B595" s="32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</row>
    <row r="596" spans="1:16" ht="14.4" x14ac:dyDescent="0.3">
      <c r="A596" s="24"/>
      <c r="B596" s="32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</row>
    <row r="597" spans="1:16" ht="14.4" x14ac:dyDescent="0.3">
      <c r="A597" s="24"/>
      <c r="B597" s="32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</row>
    <row r="598" spans="1:16" ht="14.4" x14ac:dyDescent="0.3">
      <c r="A598" s="24"/>
      <c r="B598" s="32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</row>
    <row r="599" spans="1:16" ht="14.4" x14ac:dyDescent="0.3">
      <c r="A599" s="24"/>
      <c r="B599" s="32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</row>
    <row r="600" spans="1:16" ht="14.4" x14ac:dyDescent="0.3">
      <c r="A600" s="24"/>
      <c r="B600" s="32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</row>
    <row r="601" spans="1:16" ht="14.4" x14ac:dyDescent="0.3">
      <c r="A601" s="24"/>
      <c r="B601" s="32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</row>
    <row r="602" spans="1:16" ht="14.4" x14ac:dyDescent="0.3">
      <c r="A602" s="24"/>
      <c r="B602" s="32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</row>
    <row r="603" spans="1:16" ht="14.4" x14ac:dyDescent="0.3">
      <c r="A603" s="24"/>
      <c r="B603" s="32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</row>
    <row r="604" spans="1:16" ht="14.4" x14ac:dyDescent="0.3">
      <c r="A604" s="24"/>
      <c r="B604" s="32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</row>
    <row r="605" spans="1:16" ht="14.4" x14ac:dyDescent="0.3">
      <c r="A605" s="24"/>
      <c r="B605" s="32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</row>
    <row r="606" spans="1:16" ht="14.4" x14ac:dyDescent="0.3">
      <c r="A606" s="24"/>
      <c r="B606" s="32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</row>
    <row r="607" spans="1:16" ht="14.4" x14ac:dyDescent="0.3">
      <c r="A607" s="24"/>
      <c r="B607" s="32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</row>
    <row r="608" spans="1:16" ht="14.4" x14ac:dyDescent="0.3">
      <c r="A608" s="24"/>
      <c r="B608" s="32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</row>
    <row r="609" spans="1:16" ht="14.4" x14ac:dyDescent="0.3">
      <c r="A609" s="24"/>
      <c r="B609" s="32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</row>
    <row r="610" spans="1:16" ht="14.4" x14ac:dyDescent="0.3">
      <c r="A610" s="24"/>
      <c r="B610" s="32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</row>
    <row r="611" spans="1:16" ht="14.4" x14ac:dyDescent="0.3">
      <c r="A611" s="24"/>
      <c r="B611" s="32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</row>
    <row r="612" spans="1:16" ht="14.4" x14ac:dyDescent="0.3">
      <c r="A612" s="24"/>
      <c r="B612" s="32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</row>
    <row r="613" spans="1:16" ht="14.4" x14ac:dyDescent="0.3">
      <c r="A613" s="24"/>
      <c r="B613" s="32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</row>
    <row r="614" spans="1:16" ht="14.4" x14ac:dyDescent="0.3">
      <c r="A614" s="24"/>
      <c r="B614" s="32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</row>
    <row r="615" spans="1:16" ht="14.4" x14ac:dyDescent="0.3">
      <c r="A615" s="24"/>
      <c r="B615" s="32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</row>
    <row r="616" spans="1:16" ht="14.4" x14ac:dyDescent="0.3">
      <c r="A616" s="24"/>
      <c r="B616" s="32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</row>
    <row r="617" spans="1:16" ht="14.4" x14ac:dyDescent="0.3">
      <c r="A617" s="24"/>
      <c r="B617" s="32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</row>
    <row r="618" spans="1:16" ht="14.4" x14ac:dyDescent="0.3">
      <c r="A618" s="24"/>
      <c r="B618" s="32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</row>
    <row r="619" spans="1:16" ht="14.4" x14ac:dyDescent="0.3">
      <c r="A619" s="24"/>
      <c r="B619" s="32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</row>
    <row r="620" spans="1:16" ht="14.4" x14ac:dyDescent="0.3">
      <c r="A620" s="24"/>
      <c r="B620" s="32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</row>
    <row r="621" spans="1:16" ht="14.4" x14ac:dyDescent="0.3">
      <c r="A621" s="24"/>
      <c r="B621" s="32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</row>
    <row r="622" spans="1:16" ht="14.4" x14ac:dyDescent="0.3">
      <c r="A622" s="24"/>
      <c r="B622" s="32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</row>
    <row r="623" spans="1:16" ht="14.4" x14ac:dyDescent="0.3">
      <c r="A623" s="24"/>
      <c r="B623" s="32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</row>
    <row r="624" spans="1:16" ht="14.4" x14ac:dyDescent="0.3">
      <c r="A624" s="24"/>
      <c r="B624" s="32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</row>
    <row r="625" spans="1:16" ht="14.4" x14ac:dyDescent="0.3">
      <c r="A625" s="24"/>
      <c r="B625" s="32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</row>
    <row r="626" spans="1:16" ht="14.4" x14ac:dyDescent="0.3">
      <c r="A626" s="24"/>
      <c r="B626" s="32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</row>
    <row r="627" spans="1:16" ht="14.4" x14ac:dyDescent="0.3">
      <c r="A627" s="24"/>
      <c r="B627" s="32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</row>
    <row r="628" spans="1:16" ht="14.4" x14ac:dyDescent="0.3">
      <c r="A628" s="24"/>
      <c r="B628" s="32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</row>
    <row r="629" spans="1:16" ht="14.4" x14ac:dyDescent="0.3">
      <c r="A629" s="24"/>
      <c r="B629" s="32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</row>
    <row r="630" spans="1:16" ht="14.4" x14ac:dyDescent="0.3">
      <c r="A630" s="24"/>
      <c r="B630" s="32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</row>
    <row r="631" spans="1:16" ht="14.4" x14ac:dyDescent="0.3">
      <c r="A631" s="24"/>
      <c r="B631" s="32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</row>
    <row r="632" spans="1:16" ht="14.4" x14ac:dyDescent="0.3">
      <c r="A632" s="24"/>
      <c r="B632" s="32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</row>
    <row r="633" spans="1:16" ht="14.4" x14ac:dyDescent="0.3">
      <c r="A633" s="24"/>
      <c r="B633" s="32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</row>
    <row r="634" spans="1:16" ht="14.4" x14ac:dyDescent="0.3">
      <c r="A634" s="24"/>
      <c r="B634" s="32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</row>
    <row r="635" spans="1:16" ht="14.4" x14ac:dyDescent="0.3">
      <c r="A635" s="24"/>
      <c r="B635" s="32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</row>
    <row r="636" spans="1:16" ht="14.4" x14ac:dyDescent="0.3">
      <c r="A636" s="24"/>
      <c r="B636" s="32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</row>
    <row r="637" spans="1:16" ht="14.4" x14ac:dyDescent="0.3">
      <c r="A637" s="24"/>
      <c r="B637" s="32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</row>
    <row r="638" spans="1:16" ht="14.4" x14ac:dyDescent="0.3">
      <c r="A638" s="24"/>
      <c r="B638" s="32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</row>
    <row r="639" spans="1:16" ht="14.4" x14ac:dyDescent="0.3">
      <c r="A639" s="24"/>
      <c r="B639" s="32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</row>
    <row r="640" spans="1:16" ht="14.4" x14ac:dyDescent="0.3">
      <c r="A640" s="24"/>
      <c r="B640" s="32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</row>
    <row r="641" spans="1:16" ht="14.4" x14ac:dyDescent="0.3">
      <c r="A641" s="24"/>
      <c r="B641" s="32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</row>
    <row r="642" spans="1:16" ht="14.4" x14ac:dyDescent="0.3">
      <c r="A642" s="24"/>
      <c r="B642" s="32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</row>
    <row r="643" spans="1:16" ht="14.4" x14ac:dyDescent="0.3">
      <c r="A643" s="24"/>
      <c r="B643" s="32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</row>
    <row r="644" spans="1:16" ht="14.4" x14ac:dyDescent="0.3">
      <c r="A644" s="24"/>
      <c r="B644" s="32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</row>
    <row r="645" spans="1:16" ht="14.4" x14ac:dyDescent="0.3">
      <c r="A645" s="24"/>
      <c r="B645" s="32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</row>
    <row r="646" spans="1:16" ht="14.4" x14ac:dyDescent="0.3">
      <c r="A646" s="24"/>
      <c r="B646" s="32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</row>
    <row r="647" spans="1:16" ht="14.4" x14ac:dyDescent="0.3">
      <c r="A647" s="24"/>
      <c r="B647" s="32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</row>
    <row r="648" spans="1:16" ht="14.4" x14ac:dyDescent="0.3">
      <c r="A648" s="24"/>
      <c r="B648" s="32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</row>
    <row r="649" spans="1:16" ht="14.4" x14ac:dyDescent="0.3">
      <c r="A649" s="24"/>
      <c r="B649" s="32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</row>
    <row r="650" spans="1:16" ht="14.4" x14ac:dyDescent="0.3">
      <c r="A650" s="24"/>
      <c r="B650" s="32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</row>
    <row r="651" spans="1:16" ht="14.4" x14ac:dyDescent="0.3">
      <c r="A651" s="24"/>
      <c r="B651" s="32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</row>
    <row r="652" spans="1:16" ht="14.4" x14ac:dyDescent="0.3">
      <c r="A652" s="24"/>
      <c r="B652" s="32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</row>
    <row r="653" spans="1:16" ht="14.4" x14ac:dyDescent="0.3">
      <c r="A653" s="24"/>
      <c r="B653" s="32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</row>
    <row r="654" spans="1:16" ht="14.4" x14ac:dyDescent="0.3">
      <c r="A654" s="24"/>
      <c r="B654" s="32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</row>
    <row r="655" spans="1:16" ht="14.4" x14ac:dyDescent="0.3">
      <c r="A655" s="24"/>
      <c r="B655" s="32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</row>
    <row r="656" spans="1:16" ht="14.4" x14ac:dyDescent="0.3">
      <c r="A656" s="24"/>
      <c r="B656" s="32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</row>
    <row r="657" spans="1:16" ht="14.4" x14ac:dyDescent="0.3">
      <c r="A657" s="24"/>
      <c r="B657" s="32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</row>
    <row r="658" spans="1:16" ht="14.4" x14ac:dyDescent="0.3">
      <c r="A658" s="24"/>
      <c r="B658" s="32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</row>
    <row r="659" spans="1:16" ht="14.4" x14ac:dyDescent="0.3">
      <c r="A659" s="24"/>
      <c r="B659" s="32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</row>
    <row r="660" spans="1:16" ht="14.4" x14ac:dyDescent="0.3">
      <c r="A660" s="24"/>
      <c r="B660" s="32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</row>
    <row r="661" spans="1:16" ht="14.4" x14ac:dyDescent="0.3">
      <c r="A661" s="24"/>
      <c r="B661" s="32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</row>
    <row r="662" spans="1:16" ht="14.4" x14ac:dyDescent="0.3">
      <c r="A662" s="24"/>
      <c r="B662" s="32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</row>
    <row r="663" spans="1:16" ht="14.4" x14ac:dyDescent="0.3">
      <c r="A663" s="24"/>
      <c r="B663" s="32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</row>
    <row r="664" spans="1:16" ht="14.4" x14ac:dyDescent="0.3">
      <c r="A664" s="24"/>
      <c r="B664" s="32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</row>
    <row r="665" spans="1:16" ht="14.4" x14ac:dyDescent="0.3">
      <c r="A665" s="24"/>
      <c r="B665" s="32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</row>
    <row r="666" spans="1:16" ht="14.4" x14ac:dyDescent="0.3">
      <c r="A666" s="24"/>
      <c r="B666" s="32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</row>
    <row r="667" spans="1:16" ht="14.4" x14ac:dyDescent="0.3">
      <c r="A667" s="24"/>
      <c r="B667" s="32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</row>
    <row r="668" spans="1:16" ht="14.4" x14ac:dyDescent="0.3">
      <c r="A668" s="24"/>
      <c r="B668" s="32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</row>
    <row r="669" spans="1:16" ht="14.4" x14ac:dyDescent="0.3">
      <c r="A669" s="24"/>
      <c r="B669" s="32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</row>
    <row r="670" spans="1:16" ht="14.4" x14ac:dyDescent="0.3">
      <c r="A670" s="24"/>
      <c r="B670" s="32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</row>
    <row r="671" spans="1:16" ht="14.4" x14ac:dyDescent="0.3">
      <c r="A671" s="24"/>
      <c r="B671" s="32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</row>
    <row r="672" spans="1:16" ht="14.4" x14ac:dyDescent="0.3">
      <c r="A672" s="24"/>
      <c r="B672" s="32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</row>
    <row r="673" spans="1:16" ht="14.4" x14ac:dyDescent="0.3">
      <c r="A673" s="24"/>
      <c r="B673" s="32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</row>
    <row r="674" spans="1:16" ht="14.4" x14ac:dyDescent="0.3">
      <c r="A674" s="24"/>
      <c r="B674" s="32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</row>
    <row r="675" spans="1:16" ht="14.4" x14ac:dyDescent="0.3">
      <c r="A675" s="24"/>
      <c r="B675" s="32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</row>
    <row r="676" spans="1:16" ht="14.4" x14ac:dyDescent="0.3">
      <c r="A676" s="24"/>
      <c r="B676" s="32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</row>
    <row r="677" spans="1:16" ht="14.4" x14ac:dyDescent="0.3">
      <c r="A677" s="24"/>
      <c r="B677" s="32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</row>
    <row r="678" spans="1:16" ht="14.4" x14ac:dyDescent="0.3">
      <c r="A678" s="24"/>
      <c r="B678" s="32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</row>
    <row r="679" spans="1:16" ht="14.4" x14ac:dyDescent="0.3">
      <c r="A679" s="24"/>
      <c r="B679" s="32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</row>
    <row r="680" spans="1:16" ht="14.4" x14ac:dyDescent="0.3">
      <c r="A680" s="24"/>
      <c r="B680" s="32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</row>
    <row r="681" spans="1:16" ht="14.4" x14ac:dyDescent="0.3">
      <c r="A681" s="24"/>
      <c r="B681" s="32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</row>
    <row r="682" spans="1:16" ht="14.4" x14ac:dyDescent="0.3">
      <c r="A682" s="24"/>
      <c r="B682" s="32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</row>
    <row r="683" spans="1:16" ht="14.4" x14ac:dyDescent="0.3">
      <c r="A683" s="24"/>
      <c r="B683" s="32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</row>
    <row r="684" spans="1:16" ht="14.4" x14ac:dyDescent="0.3">
      <c r="A684" s="24"/>
      <c r="B684" s="32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</row>
    <row r="685" spans="1:16" ht="14.4" x14ac:dyDescent="0.3">
      <c r="A685" s="24"/>
      <c r="B685" s="32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</row>
    <row r="686" spans="1:16" ht="14.4" x14ac:dyDescent="0.3">
      <c r="A686" s="24"/>
      <c r="B686" s="32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</row>
    <row r="687" spans="1:16" ht="14.4" x14ac:dyDescent="0.3">
      <c r="A687" s="24"/>
      <c r="B687" s="32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</row>
    <row r="688" spans="1:16" ht="14.4" x14ac:dyDescent="0.3">
      <c r="A688" s="24"/>
      <c r="B688" s="32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</row>
    <row r="689" spans="1:16" ht="14.4" x14ac:dyDescent="0.3">
      <c r="A689" s="24"/>
      <c r="B689" s="32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</row>
    <row r="690" spans="1:16" ht="14.4" x14ac:dyDescent="0.3">
      <c r="A690" s="24"/>
      <c r="B690" s="32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</row>
    <row r="691" spans="1:16" ht="14.4" x14ac:dyDescent="0.3">
      <c r="A691" s="24"/>
      <c r="B691" s="32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</row>
    <row r="692" spans="1:16" ht="14.4" x14ac:dyDescent="0.3">
      <c r="A692" s="24"/>
      <c r="B692" s="32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</row>
    <row r="693" spans="1:16" ht="14.4" x14ac:dyDescent="0.3">
      <c r="A693" s="24"/>
      <c r="B693" s="32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</row>
    <row r="694" spans="1:16" ht="14.4" x14ac:dyDescent="0.3">
      <c r="A694" s="24"/>
      <c r="B694" s="32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</row>
    <row r="695" spans="1:16" ht="14.4" x14ac:dyDescent="0.3">
      <c r="A695" s="24"/>
      <c r="B695" s="32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</row>
    <row r="696" spans="1:16" ht="14.4" x14ac:dyDescent="0.3">
      <c r="A696" s="24"/>
      <c r="B696" s="32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</row>
    <row r="697" spans="1:16" ht="14.4" x14ac:dyDescent="0.3">
      <c r="A697" s="24"/>
      <c r="B697" s="32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</row>
    <row r="698" spans="1:16" ht="14.4" x14ac:dyDescent="0.3">
      <c r="A698" s="24"/>
      <c r="B698" s="32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</row>
    <row r="699" spans="1:16" ht="14.4" x14ac:dyDescent="0.3">
      <c r="A699" s="24"/>
      <c r="B699" s="32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</row>
    <row r="700" spans="1:16" ht="14.4" x14ac:dyDescent="0.3">
      <c r="A700" s="24"/>
      <c r="B700" s="32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</row>
    <row r="701" spans="1:16" ht="14.4" x14ac:dyDescent="0.3">
      <c r="A701" s="24"/>
      <c r="B701" s="32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</row>
    <row r="702" spans="1:16" ht="14.4" x14ac:dyDescent="0.3">
      <c r="A702" s="24"/>
      <c r="B702" s="32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</row>
    <row r="703" spans="1:16" ht="14.4" x14ac:dyDescent="0.3">
      <c r="A703" s="24"/>
      <c r="B703" s="32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</row>
    <row r="704" spans="1:16" ht="14.4" x14ac:dyDescent="0.3">
      <c r="A704" s="24"/>
      <c r="B704" s="32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</row>
    <row r="705" spans="1:16" ht="14.4" x14ac:dyDescent="0.3">
      <c r="A705" s="24"/>
      <c r="B705" s="32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</row>
    <row r="706" spans="1:16" ht="14.4" x14ac:dyDescent="0.3">
      <c r="A706" s="24"/>
      <c r="B706" s="32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</row>
    <row r="707" spans="1:16" ht="14.4" x14ac:dyDescent="0.3">
      <c r="A707" s="24"/>
      <c r="B707" s="32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</row>
    <row r="708" spans="1:16" ht="14.4" x14ac:dyDescent="0.3">
      <c r="A708" s="24"/>
      <c r="B708" s="32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</row>
    <row r="709" spans="1:16" ht="14.4" x14ac:dyDescent="0.3">
      <c r="A709" s="24"/>
      <c r="B709" s="32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</row>
    <row r="710" spans="1:16" ht="14.4" x14ac:dyDescent="0.3">
      <c r="A710" s="24"/>
      <c r="B710" s="32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</row>
    <row r="711" spans="1:16" ht="14.4" x14ac:dyDescent="0.3">
      <c r="A711" s="24"/>
      <c r="B711" s="32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</row>
    <row r="712" spans="1:16" ht="14.4" x14ac:dyDescent="0.3">
      <c r="A712" s="24"/>
      <c r="B712" s="32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</row>
    <row r="713" spans="1:16" ht="14.4" x14ac:dyDescent="0.3">
      <c r="A713" s="24"/>
      <c r="B713" s="32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</row>
    <row r="714" spans="1:16" ht="14.4" x14ac:dyDescent="0.3">
      <c r="A714" s="24"/>
      <c r="B714" s="32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</row>
    <row r="715" spans="1:16" ht="14.4" x14ac:dyDescent="0.3">
      <c r="A715" s="24"/>
      <c r="B715" s="32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</row>
    <row r="716" spans="1:16" ht="14.4" x14ac:dyDescent="0.3">
      <c r="A716" s="24"/>
      <c r="B716" s="32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</row>
    <row r="717" spans="1:16" ht="14.4" x14ac:dyDescent="0.3">
      <c r="A717" s="24"/>
      <c r="B717" s="32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</row>
    <row r="718" spans="1:16" ht="14.4" x14ac:dyDescent="0.3">
      <c r="A718" s="24"/>
      <c r="B718" s="32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</row>
    <row r="719" spans="1:16" ht="14.4" x14ac:dyDescent="0.3">
      <c r="A719" s="24"/>
      <c r="B719" s="32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</row>
    <row r="720" spans="1:16" ht="14.4" x14ac:dyDescent="0.3">
      <c r="A720" s="24"/>
      <c r="B720" s="32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</row>
    <row r="721" spans="1:16" ht="14.4" x14ac:dyDescent="0.3">
      <c r="A721" s="24"/>
      <c r="B721" s="32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</row>
    <row r="722" spans="1:16" ht="14.4" x14ac:dyDescent="0.3">
      <c r="A722" s="24"/>
      <c r="B722" s="32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</row>
    <row r="723" spans="1:16" ht="14.4" x14ac:dyDescent="0.3">
      <c r="A723" s="24"/>
      <c r="B723" s="32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</row>
    <row r="724" spans="1:16" ht="14.4" x14ac:dyDescent="0.3">
      <c r="A724" s="24"/>
      <c r="B724" s="32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</row>
    <row r="725" spans="1:16" ht="14.4" x14ac:dyDescent="0.3">
      <c r="A725" s="24"/>
      <c r="B725" s="32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</row>
    <row r="726" spans="1:16" ht="14.4" x14ac:dyDescent="0.3">
      <c r="A726" s="24"/>
      <c r="B726" s="32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</row>
    <row r="727" spans="1:16" ht="14.4" x14ac:dyDescent="0.3">
      <c r="A727" s="24"/>
      <c r="B727" s="32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</row>
    <row r="728" spans="1:16" ht="14.4" x14ac:dyDescent="0.3">
      <c r="A728" s="24"/>
      <c r="B728" s="32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</row>
    <row r="729" spans="1:16" ht="14.4" x14ac:dyDescent="0.3">
      <c r="A729" s="24"/>
      <c r="B729" s="32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</row>
    <row r="730" spans="1:16" ht="14.4" x14ac:dyDescent="0.3">
      <c r="A730" s="24"/>
      <c r="B730" s="32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</row>
    <row r="731" spans="1:16" ht="14.4" x14ac:dyDescent="0.3">
      <c r="A731" s="24"/>
      <c r="B731" s="32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</row>
    <row r="732" spans="1:16" ht="14.4" x14ac:dyDescent="0.3">
      <c r="A732" s="24"/>
      <c r="B732" s="32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</row>
    <row r="733" spans="1:16" ht="14.4" x14ac:dyDescent="0.3">
      <c r="A733" s="24"/>
      <c r="B733" s="32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</row>
    <row r="734" spans="1:16" ht="14.4" x14ac:dyDescent="0.3">
      <c r="A734" s="24"/>
      <c r="B734" s="32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</row>
    <row r="735" spans="1:16" ht="14.4" x14ac:dyDescent="0.3">
      <c r="A735" s="24"/>
      <c r="B735" s="32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</row>
    <row r="736" spans="1:16" ht="14.4" x14ac:dyDescent="0.3">
      <c r="A736" s="24"/>
      <c r="B736" s="32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</row>
    <row r="737" spans="1:16" ht="14.4" x14ac:dyDescent="0.3">
      <c r="A737" s="24"/>
      <c r="B737" s="32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</row>
    <row r="738" spans="1:16" ht="14.4" x14ac:dyDescent="0.3">
      <c r="A738" s="24"/>
      <c r="B738" s="32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</row>
    <row r="739" spans="1:16" ht="14.4" x14ac:dyDescent="0.3">
      <c r="A739" s="24"/>
      <c r="B739" s="32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</row>
    <row r="740" spans="1:16" ht="14.4" x14ac:dyDescent="0.3">
      <c r="A740" s="24"/>
      <c r="B740" s="32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</row>
    <row r="741" spans="1:16" ht="14.4" x14ac:dyDescent="0.3">
      <c r="A741" s="24"/>
      <c r="B741" s="32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</row>
    <row r="742" spans="1:16" ht="14.4" x14ac:dyDescent="0.3">
      <c r="A742" s="24"/>
      <c r="B742" s="32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</row>
    <row r="743" spans="1:16" ht="14.4" x14ac:dyDescent="0.3">
      <c r="A743" s="24"/>
      <c r="B743" s="32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</row>
    <row r="744" spans="1:16" ht="14.4" x14ac:dyDescent="0.3">
      <c r="A744" s="24"/>
      <c r="B744" s="32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</row>
    <row r="745" spans="1:16" ht="14.4" x14ac:dyDescent="0.3">
      <c r="A745" s="24"/>
      <c r="B745" s="32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</row>
    <row r="746" spans="1:16" ht="14.4" x14ac:dyDescent="0.3">
      <c r="A746" s="24"/>
      <c r="B746" s="32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</row>
    <row r="747" spans="1:16" ht="14.4" x14ac:dyDescent="0.3">
      <c r="A747" s="24"/>
      <c r="B747" s="32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</row>
    <row r="748" spans="1:16" ht="14.4" x14ac:dyDescent="0.3">
      <c r="A748" s="24"/>
      <c r="B748" s="32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</row>
    <row r="749" spans="1:16" ht="14.4" x14ac:dyDescent="0.3">
      <c r="A749" s="24"/>
      <c r="B749" s="32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</row>
    <row r="750" spans="1:16" ht="14.4" x14ac:dyDescent="0.3">
      <c r="A750" s="24"/>
      <c r="B750" s="32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</row>
    <row r="751" spans="1:16" ht="14.4" x14ac:dyDescent="0.3">
      <c r="A751" s="24"/>
      <c r="B751" s="32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</row>
    <row r="752" spans="1:16" ht="14.4" x14ac:dyDescent="0.3">
      <c r="A752" s="24"/>
      <c r="B752" s="32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</row>
    <row r="753" spans="1:16" ht="14.4" x14ac:dyDescent="0.3">
      <c r="A753" s="24"/>
      <c r="B753" s="32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</row>
    <row r="754" spans="1:16" ht="14.4" x14ac:dyDescent="0.3">
      <c r="A754" s="24"/>
      <c r="B754" s="32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</row>
    <row r="755" spans="1:16" ht="14.4" x14ac:dyDescent="0.3">
      <c r="A755" s="24"/>
      <c r="B755" s="32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</row>
    <row r="756" spans="1:16" ht="14.4" x14ac:dyDescent="0.3">
      <c r="A756" s="24"/>
      <c r="B756" s="32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</row>
    <row r="757" spans="1:16" ht="14.4" x14ac:dyDescent="0.3">
      <c r="A757" s="24"/>
      <c r="B757" s="32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</row>
    <row r="758" spans="1:16" ht="14.4" x14ac:dyDescent="0.3">
      <c r="A758" s="24"/>
      <c r="B758" s="32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</row>
    <row r="759" spans="1:16" ht="14.4" x14ac:dyDescent="0.3">
      <c r="A759" s="24"/>
      <c r="B759" s="32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</row>
    <row r="760" spans="1:16" ht="14.4" x14ac:dyDescent="0.3">
      <c r="A760" s="24"/>
      <c r="B760" s="32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</row>
    <row r="761" spans="1:16" ht="14.4" x14ac:dyDescent="0.3">
      <c r="A761" s="24"/>
      <c r="B761" s="32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</row>
    <row r="762" spans="1:16" ht="14.4" x14ac:dyDescent="0.3">
      <c r="A762" s="24"/>
      <c r="B762" s="32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</row>
    <row r="763" spans="1:16" ht="14.4" x14ac:dyDescent="0.3">
      <c r="A763" s="24"/>
      <c r="B763" s="32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</row>
    <row r="764" spans="1:16" ht="14.4" x14ac:dyDescent="0.3">
      <c r="A764" s="24"/>
      <c r="B764" s="32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</row>
    <row r="765" spans="1:16" ht="14.4" x14ac:dyDescent="0.3">
      <c r="A765" s="24"/>
      <c r="B765" s="32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</row>
    <row r="766" spans="1:16" ht="14.4" x14ac:dyDescent="0.3">
      <c r="A766" s="24"/>
      <c r="B766" s="32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</row>
    <row r="767" spans="1:16" ht="14.4" x14ac:dyDescent="0.3">
      <c r="A767" s="24"/>
      <c r="B767" s="32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</row>
    <row r="768" spans="1:16" ht="14.4" x14ac:dyDescent="0.3">
      <c r="A768" s="24"/>
      <c r="B768" s="32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</row>
    <row r="769" spans="1:16" ht="14.4" x14ac:dyDescent="0.3">
      <c r="A769" s="24"/>
      <c r="B769" s="32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</row>
    <row r="770" spans="1:16" ht="14.4" x14ac:dyDescent="0.3">
      <c r="A770" s="24"/>
      <c r="B770" s="32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</row>
    <row r="771" spans="1:16" ht="14.4" x14ac:dyDescent="0.3">
      <c r="A771" s="24"/>
      <c r="B771" s="32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</row>
    <row r="772" spans="1:16" ht="14.4" x14ac:dyDescent="0.3">
      <c r="A772" s="24"/>
      <c r="B772" s="32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</row>
    <row r="773" spans="1:16" ht="14.4" x14ac:dyDescent="0.3">
      <c r="A773" s="24"/>
      <c r="B773" s="32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</row>
    <row r="774" spans="1:16" ht="14.4" x14ac:dyDescent="0.3">
      <c r="A774" s="24"/>
      <c r="B774" s="32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</row>
    <row r="775" spans="1:16" ht="14.4" x14ac:dyDescent="0.3">
      <c r="A775" s="24"/>
      <c r="B775" s="32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</row>
    <row r="776" spans="1:16" ht="14.4" x14ac:dyDescent="0.3">
      <c r="A776" s="24"/>
      <c r="B776" s="32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</row>
    <row r="777" spans="1:16" ht="14.4" x14ac:dyDescent="0.3">
      <c r="A777" s="24"/>
      <c r="B777" s="32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</row>
    <row r="778" spans="1:16" ht="14.4" x14ac:dyDescent="0.3">
      <c r="A778" s="24"/>
      <c r="B778" s="32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</row>
    <row r="779" spans="1:16" ht="14.4" x14ac:dyDescent="0.3">
      <c r="A779" s="24"/>
      <c r="B779" s="32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</row>
    <row r="780" spans="1:16" ht="14.4" x14ac:dyDescent="0.3">
      <c r="A780" s="24"/>
      <c r="B780" s="32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</row>
    <row r="781" spans="1:16" ht="14.4" x14ac:dyDescent="0.3">
      <c r="A781" s="24"/>
      <c r="B781" s="32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</row>
    <row r="782" spans="1:16" ht="14.4" x14ac:dyDescent="0.3">
      <c r="A782" s="24"/>
      <c r="B782" s="32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</row>
    <row r="783" spans="1:16" ht="14.4" x14ac:dyDescent="0.3">
      <c r="A783" s="24"/>
      <c r="B783" s="32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</row>
    <row r="784" spans="1:16" ht="14.4" x14ac:dyDescent="0.3">
      <c r="A784" s="24"/>
      <c r="B784" s="32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</row>
    <row r="785" spans="1:16" ht="14.4" x14ac:dyDescent="0.3">
      <c r="A785" s="24"/>
      <c r="B785" s="32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</row>
    <row r="786" spans="1:16" ht="14.4" x14ac:dyDescent="0.3">
      <c r="A786" s="24"/>
      <c r="B786" s="32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</row>
    <row r="787" spans="1:16" ht="14.4" x14ac:dyDescent="0.3">
      <c r="A787" s="24"/>
      <c r="B787" s="32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</row>
    <row r="788" spans="1:16" ht="14.4" x14ac:dyDescent="0.3">
      <c r="A788" s="24"/>
      <c r="B788" s="32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</row>
    <row r="789" spans="1:16" ht="14.4" x14ac:dyDescent="0.3">
      <c r="A789" s="24"/>
      <c r="B789" s="32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</row>
    <row r="790" spans="1:16" ht="14.4" x14ac:dyDescent="0.3">
      <c r="A790" s="24"/>
      <c r="B790" s="32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</row>
    <row r="791" spans="1:16" ht="14.4" x14ac:dyDescent="0.3">
      <c r="A791" s="24"/>
      <c r="B791" s="32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</row>
    <row r="792" spans="1:16" ht="14.4" x14ac:dyDescent="0.3">
      <c r="A792" s="24"/>
      <c r="B792" s="32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</row>
    <row r="793" spans="1:16" ht="14.4" x14ac:dyDescent="0.3">
      <c r="A793" s="24"/>
      <c r="B793" s="32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</row>
    <row r="794" spans="1:16" ht="14.4" x14ac:dyDescent="0.3">
      <c r="A794" s="24"/>
      <c r="B794" s="32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</row>
    <row r="795" spans="1:16" ht="14.4" x14ac:dyDescent="0.3">
      <c r="A795" s="24"/>
      <c r="B795" s="32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</row>
    <row r="796" spans="1:16" ht="14.4" x14ac:dyDescent="0.3">
      <c r="A796" s="24"/>
      <c r="B796" s="32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</row>
    <row r="797" spans="1:16" ht="14.4" x14ac:dyDescent="0.3">
      <c r="A797" s="24"/>
      <c r="B797" s="32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</row>
    <row r="798" spans="1:16" ht="14.4" x14ac:dyDescent="0.3">
      <c r="A798" s="24"/>
      <c r="B798" s="32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</row>
    <row r="799" spans="1:16" ht="14.4" x14ac:dyDescent="0.3">
      <c r="A799" s="24"/>
      <c r="B799" s="32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</row>
    <row r="800" spans="1:16" ht="14.4" x14ac:dyDescent="0.3">
      <c r="A800" s="24"/>
      <c r="B800" s="32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</row>
    <row r="801" spans="1:16" ht="14.4" x14ac:dyDescent="0.3">
      <c r="A801" s="24"/>
      <c r="B801" s="32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</row>
    <row r="802" spans="1:16" ht="14.4" x14ac:dyDescent="0.3">
      <c r="A802" s="24"/>
      <c r="B802" s="32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</row>
    <row r="803" spans="1:16" ht="14.4" x14ac:dyDescent="0.3">
      <c r="A803" s="24"/>
      <c r="B803" s="32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</row>
    <row r="804" spans="1:16" ht="14.4" x14ac:dyDescent="0.3">
      <c r="A804" s="24"/>
      <c r="B804" s="32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</row>
    <row r="805" spans="1:16" ht="14.4" x14ac:dyDescent="0.3">
      <c r="A805" s="24"/>
      <c r="B805" s="32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</row>
    <row r="806" spans="1:16" ht="14.4" x14ac:dyDescent="0.3">
      <c r="A806" s="24"/>
      <c r="B806" s="32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</row>
    <row r="807" spans="1:16" ht="14.4" x14ac:dyDescent="0.3">
      <c r="A807" s="24"/>
      <c r="B807" s="32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</row>
    <row r="808" spans="1:16" ht="14.4" x14ac:dyDescent="0.3">
      <c r="A808" s="24"/>
      <c r="B808" s="32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</row>
    <row r="809" spans="1:16" ht="14.4" x14ac:dyDescent="0.3">
      <c r="A809" s="24"/>
      <c r="B809" s="32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</row>
    <row r="810" spans="1:16" ht="14.4" x14ac:dyDescent="0.3">
      <c r="A810" s="24"/>
      <c r="B810" s="32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</row>
    <row r="811" spans="1:16" ht="14.4" x14ac:dyDescent="0.3">
      <c r="A811" s="24"/>
      <c r="B811" s="32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</row>
    <row r="812" spans="1:16" ht="14.4" x14ac:dyDescent="0.3">
      <c r="A812" s="24"/>
      <c r="B812" s="32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</row>
    <row r="813" spans="1:16" ht="14.4" x14ac:dyDescent="0.3">
      <c r="A813" s="24"/>
      <c r="B813" s="32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</row>
    <row r="814" spans="1:16" ht="14.4" x14ac:dyDescent="0.3">
      <c r="A814" s="24"/>
      <c r="B814" s="32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</row>
    <row r="815" spans="1:16" ht="14.4" x14ac:dyDescent="0.3">
      <c r="A815" s="24"/>
      <c r="B815" s="32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</row>
    <row r="816" spans="1:16" ht="14.4" x14ac:dyDescent="0.3">
      <c r="A816" s="24"/>
      <c r="B816" s="32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</row>
    <row r="817" spans="1:16" ht="14.4" x14ac:dyDescent="0.3">
      <c r="A817" s="24"/>
      <c r="B817" s="32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</row>
    <row r="818" spans="1:16" ht="14.4" x14ac:dyDescent="0.3">
      <c r="A818" s="24"/>
      <c r="B818" s="32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</row>
    <row r="819" spans="1:16" ht="14.4" x14ac:dyDescent="0.3">
      <c r="A819" s="24"/>
      <c r="B819" s="32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</row>
    <row r="820" spans="1:16" ht="14.4" x14ac:dyDescent="0.3">
      <c r="A820" s="24"/>
      <c r="B820" s="32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</row>
    <row r="821" spans="1:16" ht="14.4" x14ac:dyDescent="0.3">
      <c r="A821" s="24"/>
      <c r="B821" s="32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</row>
    <row r="822" spans="1:16" ht="14.4" x14ac:dyDescent="0.3">
      <c r="A822" s="24"/>
      <c r="B822" s="32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</row>
    <row r="823" spans="1:16" ht="14.4" x14ac:dyDescent="0.3">
      <c r="A823" s="24"/>
      <c r="B823" s="32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</row>
    <row r="824" spans="1:16" ht="14.4" x14ac:dyDescent="0.3">
      <c r="A824" s="24"/>
      <c r="B824" s="32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</row>
    <row r="825" spans="1:16" ht="14.4" x14ac:dyDescent="0.3">
      <c r="A825" s="24"/>
      <c r="B825" s="32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</row>
    <row r="826" spans="1:16" ht="14.4" x14ac:dyDescent="0.3">
      <c r="A826" s="24"/>
      <c r="B826" s="32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</row>
    <row r="827" spans="1:16" ht="14.4" x14ac:dyDescent="0.3">
      <c r="A827" s="24"/>
      <c r="B827" s="32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</row>
    <row r="828" spans="1:16" ht="14.4" x14ac:dyDescent="0.3">
      <c r="A828" s="24"/>
      <c r="B828" s="32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</row>
    <row r="829" spans="1:16" ht="14.4" x14ac:dyDescent="0.3">
      <c r="A829" s="24"/>
      <c r="B829" s="32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</row>
    <row r="830" spans="1:16" ht="14.4" x14ac:dyDescent="0.3">
      <c r="A830" s="24"/>
      <c r="B830" s="32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</row>
    <row r="831" spans="1:16" ht="14.4" x14ac:dyDescent="0.3">
      <c r="A831" s="24"/>
      <c r="B831" s="32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</row>
    <row r="832" spans="1:16" ht="14.4" x14ac:dyDescent="0.3">
      <c r="A832" s="24"/>
      <c r="B832" s="32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</row>
    <row r="833" spans="1:16" ht="14.4" x14ac:dyDescent="0.3">
      <c r="A833" s="24"/>
      <c r="B833" s="32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</row>
    <row r="834" spans="1:16" ht="14.4" x14ac:dyDescent="0.3">
      <c r="A834" s="24"/>
      <c r="B834" s="32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</row>
    <row r="835" spans="1:16" ht="14.4" x14ac:dyDescent="0.3">
      <c r="A835" s="24"/>
      <c r="B835" s="32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</row>
    <row r="836" spans="1:16" ht="14.4" x14ac:dyDescent="0.3">
      <c r="A836" s="24"/>
      <c r="B836" s="32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</row>
    <row r="837" spans="1:16" ht="14.4" x14ac:dyDescent="0.3">
      <c r="A837" s="24"/>
      <c r="B837" s="32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</row>
    <row r="838" spans="1:16" ht="14.4" x14ac:dyDescent="0.3">
      <c r="A838" s="24"/>
      <c r="B838" s="32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</row>
    <row r="839" spans="1:16" ht="14.4" x14ac:dyDescent="0.3">
      <c r="A839" s="24"/>
      <c r="B839" s="32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</row>
    <row r="840" spans="1:16" ht="14.4" x14ac:dyDescent="0.3">
      <c r="A840" s="24"/>
      <c r="B840" s="32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</row>
    <row r="841" spans="1:16" ht="14.4" x14ac:dyDescent="0.3">
      <c r="A841" s="24"/>
      <c r="B841" s="32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</row>
    <row r="842" spans="1:16" ht="14.4" x14ac:dyDescent="0.3">
      <c r="A842" s="24"/>
      <c r="B842" s="32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</row>
    <row r="843" spans="1:16" ht="14.4" x14ac:dyDescent="0.3">
      <c r="A843" s="24"/>
      <c r="B843" s="32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</row>
    <row r="844" spans="1:16" ht="14.4" x14ac:dyDescent="0.3">
      <c r="A844" s="24"/>
      <c r="B844" s="32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</row>
    <row r="845" spans="1:16" ht="14.4" x14ac:dyDescent="0.3">
      <c r="A845" s="24"/>
      <c r="B845" s="32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</row>
    <row r="846" spans="1:16" ht="14.4" x14ac:dyDescent="0.3">
      <c r="A846" s="24"/>
      <c r="B846" s="32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</row>
    <row r="847" spans="1:16" ht="14.4" x14ac:dyDescent="0.3">
      <c r="A847" s="24"/>
      <c r="B847" s="32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</row>
    <row r="848" spans="1:16" ht="14.4" x14ac:dyDescent="0.3">
      <c r="A848" s="24"/>
      <c r="B848" s="32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</row>
    <row r="849" spans="1:16" ht="14.4" x14ac:dyDescent="0.3">
      <c r="A849" s="24"/>
      <c r="B849" s="32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</row>
    <row r="850" spans="1:16" ht="14.4" x14ac:dyDescent="0.3">
      <c r="A850" s="24"/>
      <c r="B850" s="32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</row>
    <row r="851" spans="1:16" ht="14.4" x14ac:dyDescent="0.3">
      <c r="A851" s="24"/>
      <c r="B851" s="32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</row>
    <row r="852" spans="1:16" ht="14.4" x14ac:dyDescent="0.3">
      <c r="A852" s="24"/>
      <c r="B852" s="32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</row>
    <row r="853" spans="1:16" ht="14.4" x14ac:dyDescent="0.3">
      <c r="A853" s="24"/>
      <c r="B853" s="32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</row>
    <row r="854" spans="1:16" ht="14.4" x14ac:dyDescent="0.3">
      <c r="A854" s="24"/>
      <c r="B854" s="32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</row>
    <row r="855" spans="1:16" ht="14.4" x14ac:dyDescent="0.3">
      <c r="A855" s="24"/>
      <c r="B855" s="32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</row>
    <row r="856" spans="1:16" ht="14.4" x14ac:dyDescent="0.3">
      <c r="A856" s="24"/>
      <c r="B856" s="32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</row>
    <row r="857" spans="1:16" ht="14.4" x14ac:dyDescent="0.3">
      <c r="A857" s="24"/>
      <c r="B857" s="32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</row>
    <row r="858" spans="1:16" ht="14.4" x14ac:dyDescent="0.3">
      <c r="A858" s="24"/>
      <c r="B858" s="32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</row>
    <row r="859" spans="1:16" ht="14.4" x14ac:dyDescent="0.3">
      <c r="A859" s="24"/>
      <c r="B859" s="32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</row>
    <row r="860" spans="1:16" ht="14.4" x14ac:dyDescent="0.3">
      <c r="A860" s="24"/>
      <c r="B860" s="32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</row>
    <row r="861" spans="1:16" ht="14.4" x14ac:dyDescent="0.3">
      <c r="A861" s="24"/>
      <c r="B861" s="32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</row>
    <row r="862" spans="1:16" ht="14.4" x14ac:dyDescent="0.3">
      <c r="A862" s="24"/>
      <c r="B862" s="32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</row>
    <row r="863" spans="1:16" ht="14.4" x14ac:dyDescent="0.3">
      <c r="A863" s="24"/>
      <c r="B863" s="32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</row>
    <row r="864" spans="1:16" ht="14.4" x14ac:dyDescent="0.3">
      <c r="A864" s="24"/>
      <c r="B864" s="32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</row>
    <row r="865" spans="1:16" ht="14.4" x14ac:dyDescent="0.3">
      <c r="A865" s="24"/>
      <c r="B865" s="32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</row>
    <row r="866" spans="1:16" ht="14.4" x14ac:dyDescent="0.3">
      <c r="A866" s="24"/>
      <c r="B866" s="32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</row>
    <row r="867" spans="1:16" ht="14.4" x14ac:dyDescent="0.3">
      <c r="A867" s="24"/>
      <c r="B867" s="32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</row>
    <row r="868" spans="1:16" ht="14.4" x14ac:dyDescent="0.3">
      <c r="A868" s="24"/>
      <c r="B868" s="32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</row>
    <row r="869" spans="1:16" ht="14.4" x14ac:dyDescent="0.3">
      <c r="A869" s="24"/>
      <c r="B869" s="32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</row>
    <row r="870" spans="1:16" ht="14.4" x14ac:dyDescent="0.3">
      <c r="A870" s="24"/>
      <c r="B870" s="32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</row>
    <row r="871" spans="1:16" ht="14.4" x14ac:dyDescent="0.3">
      <c r="A871" s="24"/>
      <c r="B871" s="32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</row>
    <row r="872" spans="1:16" ht="14.4" x14ac:dyDescent="0.3">
      <c r="A872" s="24"/>
      <c r="B872" s="32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</row>
    <row r="873" spans="1:16" ht="14.4" x14ac:dyDescent="0.3">
      <c r="A873" s="24"/>
      <c r="B873" s="32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</row>
    <row r="874" spans="1:16" ht="14.4" x14ac:dyDescent="0.3">
      <c r="A874" s="24"/>
      <c r="B874" s="32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</row>
    <row r="875" spans="1:16" ht="14.4" x14ac:dyDescent="0.3">
      <c r="A875" s="24"/>
      <c r="B875" s="32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</row>
    <row r="876" spans="1:16" ht="14.4" x14ac:dyDescent="0.3">
      <c r="A876" s="24"/>
      <c r="B876" s="32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</row>
    <row r="877" spans="1:16" ht="14.4" x14ac:dyDescent="0.3">
      <c r="A877" s="24"/>
      <c r="B877" s="32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</row>
    <row r="878" spans="1:16" ht="14.4" x14ac:dyDescent="0.3">
      <c r="A878" s="24"/>
      <c r="B878" s="32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</row>
    <row r="879" spans="1:16" ht="14.4" x14ac:dyDescent="0.3">
      <c r="A879" s="24"/>
      <c r="B879" s="32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</row>
    <row r="880" spans="1:16" ht="14.4" x14ac:dyDescent="0.3">
      <c r="A880" s="24"/>
      <c r="B880" s="32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</row>
    <row r="881" spans="1:16" ht="14.4" x14ac:dyDescent="0.3">
      <c r="A881" s="24"/>
      <c r="B881" s="32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</row>
    <row r="882" spans="1:16" ht="14.4" x14ac:dyDescent="0.3">
      <c r="A882" s="24"/>
      <c r="B882" s="32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</row>
    <row r="883" spans="1:16" ht="14.4" x14ac:dyDescent="0.3">
      <c r="A883" s="24"/>
      <c r="B883" s="32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</row>
    <row r="884" spans="1:16" ht="14.4" x14ac:dyDescent="0.3">
      <c r="A884" s="24"/>
      <c r="B884" s="32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</row>
    <row r="885" spans="1:16" ht="14.4" x14ac:dyDescent="0.3">
      <c r="A885" s="24"/>
      <c r="B885" s="32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</row>
    <row r="886" spans="1:16" ht="14.4" x14ac:dyDescent="0.3">
      <c r="A886" s="24"/>
      <c r="B886" s="32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</row>
    <row r="887" spans="1:16" ht="14.4" x14ac:dyDescent="0.3">
      <c r="A887" s="24"/>
      <c r="B887" s="32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</row>
    <row r="888" spans="1:16" ht="14.4" x14ac:dyDescent="0.3">
      <c r="A888" s="24"/>
      <c r="B888" s="32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</row>
    <row r="889" spans="1:16" ht="14.4" x14ac:dyDescent="0.3">
      <c r="A889" s="24"/>
      <c r="B889" s="32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</row>
    <row r="890" spans="1:16" ht="14.4" x14ac:dyDescent="0.3">
      <c r="A890" s="24"/>
      <c r="B890" s="32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</row>
    <row r="891" spans="1:16" ht="14.4" x14ac:dyDescent="0.3">
      <c r="A891" s="24"/>
      <c r="B891" s="32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</row>
    <row r="892" spans="1:16" ht="14.4" x14ac:dyDescent="0.3">
      <c r="A892" s="24"/>
      <c r="B892" s="32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</row>
    <row r="893" spans="1:16" ht="14.4" x14ac:dyDescent="0.3">
      <c r="A893" s="24"/>
      <c r="B893" s="32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</row>
    <row r="894" spans="1:16" ht="14.4" x14ac:dyDescent="0.3">
      <c r="A894" s="24"/>
      <c r="B894" s="32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</row>
    <row r="895" spans="1:16" ht="14.4" x14ac:dyDescent="0.3">
      <c r="A895" s="24"/>
      <c r="B895" s="32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</row>
    <row r="896" spans="1:16" ht="14.4" x14ac:dyDescent="0.3">
      <c r="A896" s="24"/>
      <c r="B896" s="32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</row>
    <row r="897" spans="1:16" ht="14.4" x14ac:dyDescent="0.3">
      <c r="A897" s="24"/>
      <c r="B897" s="32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</row>
    <row r="898" spans="1:16" ht="14.4" x14ac:dyDescent="0.3">
      <c r="A898" s="24"/>
      <c r="B898" s="32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</row>
    <row r="899" spans="1:16" ht="14.4" x14ac:dyDescent="0.3">
      <c r="A899" s="24"/>
      <c r="B899" s="32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</row>
    <row r="900" spans="1:16" ht="14.4" x14ac:dyDescent="0.3">
      <c r="A900" s="24"/>
      <c r="B900" s="32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</row>
    <row r="901" spans="1:16" ht="14.4" x14ac:dyDescent="0.3">
      <c r="A901" s="24"/>
      <c r="B901" s="32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</row>
    <row r="902" spans="1:16" ht="14.4" x14ac:dyDescent="0.3">
      <c r="A902" s="24"/>
      <c r="B902" s="32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</row>
    <row r="903" spans="1:16" ht="14.4" x14ac:dyDescent="0.3">
      <c r="A903" s="24"/>
      <c r="B903" s="32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</row>
    <row r="904" spans="1:16" ht="14.4" x14ac:dyDescent="0.3">
      <c r="A904" s="24"/>
      <c r="B904" s="32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</row>
    <row r="905" spans="1:16" ht="14.4" x14ac:dyDescent="0.3">
      <c r="A905" s="24"/>
      <c r="B905" s="32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</row>
    <row r="906" spans="1:16" ht="14.4" x14ac:dyDescent="0.3">
      <c r="A906" s="24"/>
      <c r="B906" s="32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</row>
    <row r="907" spans="1:16" ht="14.4" x14ac:dyDescent="0.3">
      <c r="A907" s="24"/>
      <c r="B907" s="32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</row>
    <row r="908" spans="1:16" ht="14.4" x14ac:dyDescent="0.3">
      <c r="A908" s="24"/>
      <c r="B908" s="32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</row>
    <row r="909" spans="1:16" ht="14.4" x14ac:dyDescent="0.3">
      <c r="A909" s="24"/>
      <c r="B909" s="32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</row>
    <row r="910" spans="1:16" ht="14.4" x14ac:dyDescent="0.3">
      <c r="A910" s="24"/>
      <c r="B910" s="32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</row>
    <row r="911" spans="1:16" ht="14.4" x14ac:dyDescent="0.3">
      <c r="A911" s="24"/>
      <c r="B911" s="32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</row>
    <row r="912" spans="1:16" ht="14.4" x14ac:dyDescent="0.3">
      <c r="A912" s="24"/>
      <c r="B912" s="32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</row>
    <row r="913" spans="1:16" ht="14.4" x14ac:dyDescent="0.3">
      <c r="A913" s="24"/>
      <c r="B913" s="32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</row>
    <row r="914" spans="1:16" ht="14.4" x14ac:dyDescent="0.3">
      <c r="A914" s="24"/>
      <c r="B914" s="32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</row>
    <row r="915" spans="1:16" ht="14.4" x14ac:dyDescent="0.3">
      <c r="A915" s="24"/>
      <c r="B915" s="32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</row>
    <row r="916" spans="1:16" ht="14.4" x14ac:dyDescent="0.3">
      <c r="A916" s="24"/>
      <c r="B916" s="32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</row>
    <row r="917" spans="1:16" ht="14.4" x14ac:dyDescent="0.3">
      <c r="A917" s="24"/>
      <c r="B917" s="32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</row>
    <row r="918" spans="1:16" ht="14.4" x14ac:dyDescent="0.3">
      <c r="A918" s="24"/>
      <c r="B918" s="32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</row>
    <row r="919" spans="1:16" ht="14.4" x14ac:dyDescent="0.3">
      <c r="A919" s="24"/>
      <c r="B919" s="32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</row>
    <row r="920" spans="1:16" ht="14.4" x14ac:dyDescent="0.3">
      <c r="A920" s="24"/>
      <c r="B920" s="32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</row>
    <row r="921" spans="1:16" ht="14.4" x14ac:dyDescent="0.3">
      <c r="A921" s="24"/>
      <c r="B921" s="32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</row>
    <row r="922" spans="1:16" ht="14.4" x14ac:dyDescent="0.3">
      <c r="A922" s="24"/>
      <c r="B922" s="32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</row>
    <row r="923" spans="1:16" ht="14.4" x14ac:dyDescent="0.3">
      <c r="A923" s="24"/>
      <c r="B923" s="32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</row>
    <row r="924" spans="1:16" ht="14.4" x14ac:dyDescent="0.3">
      <c r="A924" s="24"/>
      <c r="B924" s="32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</row>
    <row r="925" spans="1:16" ht="14.4" x14ac:dyDescent="0.3">
      <c r="A925" s="24"/>
      <c r="B925" s="32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</row>
    <row r="926" spans="1:16" ht="14.4" x14ac:dyDescent="0.3">
      <c r="A926" s="24"/>
      <c r="B926" s="32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</row>
    <row r="927" spans="1:16" ht="14.4" x14ac:dyDescent="0.3">
      <c r="A927" s="24"/>
      <c r="B927" s="32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</row>
    <row r="928" spans="1:16" ht="14.4" x14ac:dyDescent="0.3">
      <c r="A928" s="24"/>
      <c r="B928" s="32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</row>
    <row r="929" spans="1:16" ht="14.4" x14ac:dyDescent="0.3">
      <c r="A929" s="24"/>
      <c r="B929" s="32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</row>
    <row r="930" spans="1:16" ht="14.4" x14ac:dyDescent="0.3">
      <c r="A930" s="24"/>
      <c r="B930" s="32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</row>
    <row r="931" spans="1:16" ht="14.4" x14ac:dyDescent="0.3">
      <c r="A931" s="24"/>
      <c r="B931" s="32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</row>
    <row r="932" spans="1:16" ht="14.4" x14ac:dyDescent="0.3">
      <c r="A932" s="24"/>
      <c r="B932" s="32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</row>
    <row r="933" spans="1:16" ht="14.4" x14ac:dyDescent="0.3">
      <c r="A933" s="24"/>
      <c r="B933" s="32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</row>
    <row r="934" spans="1:16" ht="14.4" x14ac:dyDescent="0.3">
      <c r="A934" s="24"/>
      <c r="B934" s="32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</row>
    <row r="935" spans="1:16" ht="14.4" x14ac:dyDescent="0.3">
      <c r="A935" s="24"/>
      <c r="B935" s="32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</row>
    <row r="936" spans="1:16" ht="14.4" x14ac:dyDescent="0.3">
      <c r="A936" s="24"/>
      <c r="B936" s="32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</row>
    <row r="937" spans="1:16" ht="14.4" x14ac:dyDescent="0.3">
      <c r="A937" s="24"/>
      <c r="B937" s="32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</row>
    <row r="938" spans="1:16" ht="14.4" x14ac:dyDescent="0.3">
      <c r="A938" s="24"/>
      <c r="B938" s="32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</row>
    <row r="939" spans="1:16" ht="14.4" x14ac:dyDescent="0.3">
      <c r="A939" s="24"/>
      <c r="B939" s="32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</row>
    <row r="940" spans="1:16" ht="14.4" x14ac:dyDescent="0.3">
      <c r="A940" s="24"/>
      <c r="B940" s="32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</row>
    <row r="941" spans="1:16" ht="14.4" x14ac:dyDescent="0.3">
      <c r="A941" s="24"/>
      <c r="B941" s="32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</row>
    <row r="942" spans="1:16" ht="14.4" x14ac:dyDescent="0.3">
      <c r="A942" s="24"/>
      <c r="B942" s="32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</row>
    <row r="943" spans="1:16" ht="14.4" x14ac:dyDescent="0.3">
      <c r="A943" s="24"/>
      <c r="B943" s="32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</row>
    <row r="944" spans="1:16" ht="14.4" x14ac:dyDescent="0.3">
      <c r="A944" s="24"/>
      <c r="B944" s="32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</row>
    <row r="945" spans="1:16" ht="14.4" x14ac:dyDescent="0.3">
      <c r="A945" s="24"/>
      <c r="B945" s="32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</row>
    <row r="946" spans="1:16" ht="14.4" x14ac:dyDescent="0.3">
      <c r="A946" s="24"/>
      <c r="B946" s="32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</row>
    <row r="947" spans="1:16" ht="14.4" x14ac:dyDescent="0.3">
      <c r="A947" s="24"/>
      <c r="B947" s="32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</row>
    <row r="948" spans="1:16" ht="14.4" x14ac:dyDescent="0.3">
      <c r="A948" s="24"/>
      <c r="B948" s="32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</row>
    <row r="949" spans="1:16" ht="14.4" x14ac:dyDescent="0.3">
      <c r="A949" s="24"/>
      <c r="B949" s="32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</row>
    <row r="950" spans="1:16" ht="14.4" x14ac:dyDescent="0.3">
      <c r="A950" s="24"/>
      <c r="B950" s="32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</row>
    <row r="951" spans="1:16" ht="14.4" x14ac:dyDescent="0.3">
      <c r="A951" s="24"/>
      <c r="B951" s="32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</row>
    <row r="952" spans="1:16" ht="14.4" x14ac:dyDescent="0.3">
      <c r="A952" s="24"/>
      <c r="B952" s="32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</row>
    <row r="953" spans="1:16" ht="14.4" x14ac:dyDescent="0.3">
      <c r="A953" s="24"/>
      <c r="B953" s="32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</row>
    <row r="954" spans="1:16" ht="14.4" x14ac:dyDescent="0.3">
      <c r="A954" s="24"/>
      <c r="B954" s="32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</row>
    <row r="955" spans="1:16" ht="14.4" x14ac:dyDescent="0.3">
      <c r="A955" s="24"/>
      <c r="B955" s="32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</row>
    <row r="956" spans="1:16" ht="14.4" x14ac:dyDescent="0.3">
      <c r="A956" s="24"/>
      <c r="B956" s="32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</row>
    <row r="957" spans="1:16" ht="14.4" x14ac:dyDescent="0.3">
      <c r="A957" s="24"/>
      <c r="B957" s="32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</row>
    <row r="958" spans="1:16" ht="14.4" x14ac:dyDescent="0.3">
      <c r="A958" s="24"/>
      <c r="B958" s="32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</row>
    <row r="959" spans="1:16" ht="14.4" x14ac:dyDescent="0.3">
      <c r="A959" s="24"/>
      <c r="B959" s="32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</row>
    <row r="960" spans="1:16" ht="14.4" x14ac:dyDescent="0.3">
      <c r="A960" s="24"/>
      <c r="B960" s="32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</row>
    <row r="961" spans="1:16" ht="14.4" x14ac:dyDescent="0.3">
      <c r="A961" s="24"/>
      <c r="B961" s="32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</row>
    <row r="962" spans="1:16" ht="14.4" x14ac:dyDescent="0.3">
      <c r="A962" s="24"/>
      <c r="B962" s="32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</row>
    <row r="963" spans="1:16" ht="14.4" x14ac:dyDescent="0.3">
      <c r="A963" s="24"/>
      <c r="B963" s="32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</row>
    <row r="964" spans="1:16" ht="14.4" x14ac:dyDescent="0.3">
      <c r="A964" s="24"/>
      <c r="B964" s="32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</row>
    <row r="965" spans="1:16" ht="14.4" x14ac:dyDescent="0.3">
      <c r="A965" s="24"/>
      <c r="B965" s="32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</row>
    <row r="966" spans="1:16" ht="14.4" x14ac:dyDescent="0.3">
      <c r="A966" s="24"/>
      <c r="B966" s="32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</row>
    <row r="967" spans="1:16" ht="14.4" x14ac:dyDescent="0.3">
      <c r="A967" s="24"/>
      <c r="B967" s="32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</row>
    <row r="968" spans="1:16" ht="14.4" x14ac:dyDescent="0.3">
      <c r="A968" s="24"/>
      <c r="B968" s="32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</row>
    <row r="969" spans="1:16" ht="14.4" x14ac:dyDescent="0.3">
      <c r="A969" s="24"/>
      <c r="B969" s="32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</row>
    <row r="970" spans="1:16" ht="14.4" x14ac:dyDescent="0.3">
      <c r="A970" s="24"/>
      <c r="B970" s="32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</row>
    <row r="971" spans="1:16" ht="14.4" x14ac:dyDescent="0.3">
      <c r="A971" s="24"/>
      <c r="B971" s="32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</row>
    <row r="972" spans="1:16" ht="14.4" x14ac:dyDescent="0.3">
      <c r="A972" s="24"/>
      <c r="B972" s="32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</row>
    <row r="973" spans="1:16" ht="14.4" x14ac:dyDescent="0.3">
      <c r="A973" s="24"/>
      <c r="B973" s="32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</row>
    <row r="974" spans="1:16" ht="14.4" x14ac:dyDescent="0.3">
      <c r="A974" s="24"/>
      <c r="B974" s="32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</row>
    <row r="975" spans="1:16" ht="14.4" x14ac:dyDescent="0.3">
      <c r="A975" s="24"/>
      <c r="B975" s="32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</row>
    <row r="976" spans="1:16" ht="14.4" x14ac:dyDescent="0.3">
      <c r="A976" s="24"/>
      <c r="B976" s="32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</row>
    <row r="977" spans="1:16" ht="14.4" x14ac:dyDescent="0.3">
      <c r="A977" s="24"/>
      <c r="B977" s="32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</row>
    <row r="978" spans="1:16" ht="14.4" x14ac:dyDescent="0.3">
      <c r="A978" s="24"/>
      <c r="B978" s="32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</row>
    <row r="979" spans="1:16" ht="14.4" x14ac:dyDescent="0.3">
      <c r="A979" s="24"/>
      <c r="B979" s="32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</row>
    <row r="980" spans="1:16" ht="14.4" x14ac:dyDescent="0.3">
      <c r="A980" s="24"/>
      <c r="B980" s="32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</row>
    <row r="981" spans="1:16" ht="14.4" x14ac:dyDescent="0.3">
      <c r="A981" s="24"/>
      <c r="B981" s="32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</row>
    <row r="982" spans="1:16" ht="14.4" x14ac:dyDescent="0.3">
      <c r="A982" s="24"/>
      <c r="B982" s="32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</row>
    <row r="983" spans="1:16" ht="14.4" x14ac:dyDescent="0.3">
      <c r="A983" s="24"/>
      <c r="B983" s="32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</row>
    <row r="984" spans="1:16" ht="14.4" x14ac:dyDescent="0.3">
      <c r="A984" s="24"/>
      <c r="B984" s="32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</row>
    <row r="985" spans="1:16" ht="14.4" x14ac:dyDescent="0.3">
      <c r="A985" s="24"/>
      <c r="B985" s="32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</row>
    <row r="986" spans="1:16" ht="14.4" x14ac:dyDescent="0.3">
      <c r="A986" s="24"/>
      <c r="B986" s="32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</row>
    <row r="987" spans="1:16" ht="14.4" x14ac:dyDescent="0.3">
      <c r="A987" s="24"/>
      <c r="B987" s="32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</row>
    <row r="988" spans="1:16" ht="14.4" x14ac:dyDescent="0.3">
      <c r="A988" s="24"/>
      <c r="B988" s="32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</row>
    <row r="989" spans="1:16" ht="14.4" x14ac:dyDescent="0.3">
      <c r="A989" s="24"/>
      <c r="B989" s="32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</row>
    <row r="990" spans="1:16" ht="14.4" x14ac:dyDescent="0.3">
      <c r="A990" s="24"/>
      <c r="B990" s="32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</row>
    <row r="991" spans="1:16" ht="14.4" x14ac:dyDescent="0.3">
      <c r="A991" s="24"/>
      <c r="B991" s="32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</row>
    <row r="992" spans="1:16" ht="14.4" x14ac:dyDescent="0.3">
      <c r="A992" s="24"/>
      <c r="B992" s="32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</row>
    <row r="993" spans="1:16" ht="14.4" x14ac:dyDescent="0.3">
      <c r="A993" s="24"/>
      <c r="B993" s="32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</row>
    <row r="994" spans="1:16" ht="14.4" x14ac:dyDescent="0.3">
      <c r="A994" s="24"/>
      <c r="B994" s="32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</row>
    <row r="995" spans="1:16" ht="14.4" x14ac:dyDescent="0.3">
      <c r="A995" s="24"/>
      <c r="B995" s="32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</row>
    <row r="996" spans="1:16" ht="14.4" x14ac:dyDescent="0.3">
      <c r="A996" s="24"/>
      <c r="B996" s="32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</row>
    <row r="997" spans="1:16" ht="14.4" x14ac:dyDescent="0.3">
      <c r="A997" s="24"/>
      <c r="B997" s="32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</row>
    <row r="998" spans="1:16" ht="14.4" x14ac:dyDescent="0.3">
      <c r="A998" s="24"/>
      <c r="B998" s="32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</row>
    <row r="999" spans="1:16" ht="14.4" x14ac:dyDescent="0.3">
      <c r="A999" s="24"/>
      <c r="B999" s="32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</row>
    <row r="1000" spans="1:16" ht="14.4" x14ac:dyDescent="0.3">
      <c r="B1000" s="33"/>
    </row>
  </sheetData>
  <autoFilter ref="A2:P44" xr:uid="{00000000-0009-0000-0000-000001000000}"/>
  <mergeCells count="1">
    <mergeCell ref="B1:D1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workbookViewId="0">
      <selection activeCell="C18" sqref="C18"/>
    </sheetView>
  </sheetViews>
  <sheetFormatPr baseColWidth="10" defaultColWidth="14.44140625" defaultRowHeight="15" customHeight="1" x14ac:dyDescent="0.3"/>
  <cols>
    <col min="1" max="1" width="13.33203125" style="104" customWidth="1"/>
    <col min="2" max="2" width="34.109375" style="104" customWidth="1"/>
    <col min="3" max="3" width="28.33203125" style="104" customWidth="1"/>
    <col min="4" max="4" width="26.6640625" style="104" customWidth="1"/>
    <col min="5" max="5" width="4.109375" style="104" customWidth="1"/>
    <col min="6" max="6" width="13" style="104" customWidth="1"/>
    <col min="7" max="7" width="27.6640625" style="104" customWidth="1"/>
    <col min="8" max="8" width="9.5546875" style="104" customWidth="1"/>
    <col min="9" max="9" width="16.109375" style="104" customWidth="1"/>
    <col min="10" max="10" width="10" style="104" customWidth="1"/>
    <col min="11" max="12" width="10.6640625" style="104" customWidth="1"/>
    <col min="13" max="13" width="17.88671875" style="104" customWidth="1"/>
    <col min="14" max="14" width="14.44140625" style="104"/>
    <col min="15" max="15" width="14.5546875" style="104" customWidth="1"/>
    <col min="16" max="16384" width="14.44140625" style="104"/>
  </cols>
  <sheetData>
    <row r="1" spans="1:16" ht="14.4" x14ac:dyDescent="0.3">
      <c r="A1" s="103" t="s">
        <v>410</v>
      </c>
      <c r="B1" s="183" t="str">
        <f>'Formato Cronograma'!C5</f>
        <v>Gestión del Conocimiento y Buenas Prácticas Institucionales</v>
      </c>
      <c r="C1" s="184"/>
      <c r="D1" s="184"/>
    </row>
    <row r="2" spans="1:16" ht="14.4" x14ac:dyDescent="0.3">
      <c r="A2" s="103" t="s">
        <v>411</v>
      </c>
      <c r="B2" s="105" t="s">
        <v>412</v>
      </c>
      <c r="C2" s="106" t="s">
        <v>413</v>
      </c>
      <c r="D2" s="107" t="s">
        <v>414</v>
      </c>
      <c r="E2" s="108"/>
      <c r="F2" s="109"/>
      <c r="G2" s="109"/>
      <c r="H2" s="109"/>
      <c r="I2" s="109"/>
      <c r="J2" s="109"/>
      <c r="K2" s="109"/>
      <c r="L2" s="109"/>
      <c r="M2" s="109"/>
      <c r="N2" s="108"/>
      <c r="O2" s="108"/>
      <c r="P2" s="108"/>
    </row>
    <row r="3" spans="1:16" ht="14.4" x14ac:dyDescent="0.3">
      <c r="A3" s="110">
        <v>1</v>
      </c>
      <c r="B3" s="111">
        <f>VLOOKUP((MATCH(A3,'Formato Cronograma'!$N$5:$LJ$5,0)),Datos!A:D,4,FALSE)</f>
        <v>46237</v>
      </c>
      <c r="C3" s="110" t="s">
        <v>415</v>
      </c>
      <c r="D3" s="110" t="s">
        <v>416</v>
      </c>
      <c r="E3" s="108"/>
      <c r="H3" s="109"/>
      <c r="N3" s="108"/>
      <c r="O3" s="108"/>
      <c r="P3" s="108"/>
    </row>
    <row r="4" spans="1:16" ht="14.4" x14ac:dyDescent="0.3">
      <c r="A4" s="110">
        <v>2</v>
      </c>
      <c r="B4" s="111">
        <f>VLOOKUP((MATCH(A4,'Formato Cronograma'!$N$5:$LJ$5,0)),Datos!A:D,4,FALSE)</f>
        <v>46244</v>
      </c>
      <c r="C4" s="110" t="s">
        <v>417</v>
      </c>
      <c r="D4" s="110" t="s">
        <v>418</v>
      </c>
      <c r="E4" s="108"/>
      <c r="F4" s="112"/>
      <c r="G4" s="113"/>
      <c r="H4" s="112"/>
      <c r="I4" s="112"/>
      <c r="J4" s="112"/>
      <c r="K4" s="114"/>
      <c r="L4" s="114"/>
      <c r="M4" s="112"/>
      <c r="N4" s="108"/>
      <c r="O4" s="108"/>
      <c r="P4" s="108"/>
    </row>
    <row r="5" spans="1:16" ht="14.4" x14ac:dyDescent="0.3">
      <c r="A5" s="110">
        <v>3</v>
      </c>
      <c r="B5" s="111">
        <f>VLOOKUP((MATCH(A5,'Formato Cronograma'!$N$5:$LJ$5,0)),Datos!A:D,4,FALSE)</f>
        <v>46255</v>
      </c>
      <c r="C5" s="110" t="s">
        <v>417</v>
      </c>
      <c r="D5" s="110" t="s">
        <v>418</v>
      </c>
      <c r="E5" s="108"/>
      <c r="F5" s="112"/>
      <c r="G5" s="113"/>
      <c r="H5" s="112"/>
      <c r="I5" s="112"/>
      <c r="J5" s="112"/>
      <c r="K5" s="114"/>
      <c r="L5" s="114"/>
      <c r="M5" s="112"/>
      <c r="N5" s="108"/>
      <c r="O5" s="108"/>
      <c r="P5" s="108"/>
    </row>
    <row r="6" spans="1:16" ht="14.4" x14ac:dyDescent="0.3">
      <c r="A6" s="110">
        <v>4</v>
      </c>
      <c r="B6" s="111">
        <f>VLOOKUP((MATCH(A6,'Formato Cronograma'!$N$5:$LJ$5,0)),Datos!A:D,4,FALSE)</f>
        <v>46258</v>
      </c>
      <c r="C6" s="110" t="s">
        <v>417</v>
      </c>
      <c r="D6" s="110" t="s">
        <v>418</v>
      </c>
      <c r="E6" s="108"/>
      <c r="F6" s="112"/>
      <c r="G6" s="113"/>
      <c r="H6" s="112"/>
      <c r="I6" s="112"/>
      <c r="J6" s="112"/>
      <c r="K6" s="114"/>
      <c r="L6" s="114"/>
      <c r="M6" s="112"/>
      <c r="N6" s="108"/>
      <c r="O6" s="108"/>
      <c r="P6" s="108"/>
    </row>
    <row r="7" spans="1:16" ht="14.4" x14ac:dyDescent="0.3">
      <c r="A7" s="110">
        <v>5</v>
      </c>
      <c r="B7" s="111">
        <f>VLOOKUP((MATCH(A7,'Formato Cronograma'!$N$5:$LJ$5,0)),Datos!A:D,4,FALSE)</f>
        <v>46265</v>
      </c>
      <c r="C7" s="110" t="s">
        <v>415</v>
      </c>
      <c r="D7" s="110" t="s">
        <v>416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</row>
    <row r="8" spans="1:16" ht="14.4" x14ac:dyDescent="0.3">
      <c r="A8" s="110">
        <v>6</v>
      </c>
      <c r="B8" s="111">
        <f>VLOOKUP((MATCH(A8,'Formato Cronograma'!$N$5:$LJ$5,0)),Datos!A:D,4,FALSE)</f>
        <v>46272</v>
      </c>
      <c r="C8" s="110" t="s">
        <v>417</v>
      </c>
      <c r="D8" s="110" t="s">
        <v>418</v>
      </c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</row>
    <row r="9" spans="1:16" ht="14.4" x14ac:dyDescent="0.3">
      <c r="A9" s="110">
        <v>7</v>
      </c>
      <c r="B9" s="111">
        <f>VLOOKUP((MATCH(A9,'Formato Cronograma'!$N$5:$LJ$5,0)),Datos!A:D,4,FALSE)</f>
        <v>46279</v>
      </c>
      <c r="C9" s="110" t="s">
        <v>415</v>
      </c>
      <c r="D9" s="110" t="s">
        <v>416</v>
      </c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</row>
    <row r="10" spans="1:16" ht="14.4" x14ac:dyDescent="0.3">
      <c r="A10" s="110">
        <v>8</v>
      </c>
      <c r="B10" s="111">
        <f>VLOOKUP((MATCH(A10,'Formato Cronograma'!$N$5:$LJ$5,0)),Datos!A:D,4,FALSE)</f>
        <v>46293</v>
      </c>
      <c r="C10" s="110" t="s">
        <v>415</v>
      </c>
      <c r="D10" s="110" t="s">
        <v>416</v>
      </c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</row>
    <row r="11" spans="1:16" ht="14.4" x14ac:dyDescent="0.3">
      <c r="A11" s="110">
        <v>9</v>
      </c>
      <c r="B11" s="111">
        <f>VLOOKUP((MATCH(A11,'Formato Cronograma'!$N$5:$LJ$5,0)),Datos!A:D,4,FALSE)</f>
        <v>46311</v>
      </c>
      <c r="C11" s="110" t="s">
        <v>417</v>
      </c>
      <c r="D11" s="110" t="s">
        <v>418</v>
      </c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</row>
    <row r="12" spans="1:16" ht="14.4" x14ac:dyDescent="0.3">
      <c r="A12" s="110">
        <v>10</v>
      </c>
      <c r="B12" s="111">
        <f>VLOOKUP((MATCH(A12,'Formato Cronograma'!$N$5:$LJ$5,0)),Datos!A:D,4,FALSE)</f>
        <v>46314</v>
      </c>
      <c r="C12" s="110" t="s">
        <v>417</v>
      </c>
      <c r="D12" s="110" t="s">
        <v>418</v>
      </c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</row>
    <row r="13" spans="1:16" ht="14.4" x14ac:dyDescent="0.3">
      <c r="A13" s="110">
        <v>11</v>
      </c>
      <c r="B13" s="111">
        <f>VLOOKUP((MATCH(A13,'Formato Cronograma'!$N$5:$LJ$5,0)),Datos!A:D,4,FALSE)</f>
        <v>46321</v>
      </c>
      <c r="C13" s="110" t="s">
        <v>417</v>
      </c>
      <c r="D13" s="110" t="s">
        <v>418</v>
      </c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</row>
    <row r="14" spans="1:16" ht="14.4" x14ac:dyDescent="0.3">
      <c r="A14" s="110">
        <v>12</v>
      </c>
      <c r="B14" s="111">
        <f>VLOOKUP((MATCH(A14,'Formato Cronograma'!$N$5:$LJ$5,0)),Datos!A:D,4,FALSE)</f>
        <v>46332</v>
      </c>
      <c r="C14" s="110" t="s">
        <v>417</v>
      </c>
      <c r="D14" s="110" t="s">
        <v>418</v>
      </c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</row>
    <row r="15" spans="1:16" ht="14.4" x14ac:dyDescent="0.3">
      <c r="A15" s="110">
        <v>13</v>
      </c>
      <c r="B15" s="111">
        <f>VLOOKUP((MATCH(A15,'Formato Cronograma'!$N$5:$LJ$5,0)),Datos!A:D,4,FALSE)</f>
        <v>46335</v>
      </c>
      <c r="C15" s="110" t="s">
        <v>415</v>
      </c>
      <c r="D15" s="110" t="s">
        <v>416</v>
      </c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</row>
    <row r="16" spans="1:16" ht="14.4" x14ac:dyDescent="0.3">
      <c r="A16" s="108"/>
      <c r="B16" s="115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</row>
    <row r="17" spans="1:16" ht="14.4" x14ac:dyDescent="0.3">
      <c r="A17" s="108"/>
      <c r="B17" s="115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</row>
    <row r="18" spans="1:16" ht="14.4" x14ac:dyDescent="0.3">
      <c r="A18" s="108"/>
      <c r="B18" s="115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</row>
    <row r="19" spans="1:16" ht="14.4" x14ac:dyDescent="0.3">
      <c r="A19" s="108"/>
      <c r="B19" s="115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</row>
    <row r="20" spans="1:16" ht="14.4" x14ac:dyDescent="0.3">
      <c r="A20" s="108"/>
      <c r="B20" s="115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</row>
    <row r="21" spans="1:16" ht="15.75" customHeight="1" x14ac:dyDescent="0.3">
      <c r="A21" s="108"/>
      <c r="B21" s="115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</row>
    <row r="22" spans="1:16" ht="15.75" customHeight="1" x14ac:dyDescent="0.3">
      <c r="A22" s="108"/>
      <c r="B22" s="115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</row>
    <row r="23" spans="1:16" ht="15.75" customHeight="1" x14ac:dyDescent="0.3">
      <c r="A23" s="108"/>
      <c r="B23" s="115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</row>
    <row r="24" spans="1:16" ht="15.75" customHeight="1" x14ac:dyDescent="0.3">
      <c r="A24" s="108"/>
      <c r="B24" s="115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</row>
    <row r="25" spans="1:16" ht="15.75" customHeight="1" x14ac:dyDescent="0.3">
      <c r="A25" s="108"/>
      <c r="B25" s="115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</row>
    <row r="26" spans="1:16" ht="15.75" customHeight="1" x14ac:dyDescent="0.3">
      <c r="A26" s="108"/>
      <c r="B26" s="115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</row>
    <row r="27" spans="1:16" ht="15.75" customHeight="1" x14ac:dyDescent="0.3">
      <c r="A27" s="108"/>
      <c r="B27" s="115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</row>
    <row r="28" spans="1:16" ht="15.75" customHeight="1" x14ac:dyDescent="0.3">
      <c r="A28" s="108"/>
      <c r="B28" s="115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</row>
    <row r="29" spans="1:16" ht="15.75" customHeight="1" x14ac:dyDescent="0.3">
      <c r="A29" s="108"/>
      <c r="B29" s="115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</row>
    <row r="30" spans="1:16" ht="15.75" customHeight="1" x14ac:dyDescent="0.3">
      <c r="A30" s="108"/>
      <c r="B30" s="115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</row>
    <row r="31" spans="1:16" ht="15.75" customHeight="1" x14ac:dyDescent="0.3">
      <c r="A31" s="108"/>
      <c r="B31" s="115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</row>
    <row r="32" spans="1:16" ht="15.75" customHeight="1" x14ac:dyDescent="0.3">
      <c r="A32" s="108"/>
      <c r="B32" s="115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</row>
    <row r="33" spans="1:16" ht="15.75" customHeight="1" x14ac:dyDescent="0.3">
      <c r="A33" s="108"/>
      <c r="B33" s="115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</row>
    <row r="34" spans="1:16" ht="15.75" customHeight="1" x14ac:dyDescent="0.3">
      <c r="A34" s="108"/>
      <c r="B34" s="115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</row>
    <row r="35" spans="1:16" ht="15.75" customHeight="1" x14ac:dyDescent="0.3">
      <c r="A35" s="108"/>
      <c r="B35" s="115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</row>
    <row r="36" spans="1:16" ht="15.75" customHeight="1" x14ac:dyDescent="0.3">
      <c r="A36" s="108"/>
      <c r="B36" s="115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</row>
    <row r="37" spans="1:16" ht="15.75" customHeight="1" x14ac:dyDescent="0.3">
      <c r="A37" s="108"/>
      <c r="B37" s="115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</row>
    <row r="38" spans="1:16" ht="15.75" customHeight="1" x14ac:dyDescent="0.3">
      <c r="A38" s="108"/>
      <c r="B38" s="115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</row>
    <row r="39" spans="1:16" ht="15.75" customHeight="1" x14ac:dyDescent="0.3">
      <c r="A39" s="108"/>
      <c r="B39" s="115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</row>
    <row r="40" spans="1:16" ht="15.75" customHeight="1" x14ac:dyDescent="0.3">
      <c r="A40" s="108"/>
      <c r="B40" s="115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</row>
    <row r="41" spans="1:16" ht="15.75" customHeight="1" x14ac:dyDescent="0.3">
      <c r="A41" s="108"/>
      <c r="B41" s="115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</row>
    <row r="42" spans="1:16" ht="15.75" customHeight="1" x14ac:dyDescent="0.3">
      <c r="A42" s="108"/>
      <c r="B42" s="115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</row>
    <row r="43" spans="1:16" ht="15.75" customHeight="1" x14ac:dyDescent="0.3">
      <c r="A43" s="108"/>
      <c r="B43" s="115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</row>
    <row r="44" spans="1:16" ht="15.75" customHeight="1" x14ac:dyDescent="0.3">
      <c r="A44" s="108"/>
      <c r="B44" s="115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</row>
    <row r="45" spans="1:16" ht="15.75" customHeight="1" x14ac:dyDescent="0.3">
      <c r="A45" s="108"/>
      <c r="B45" s="115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</row>
    <row r="46" spans="1:16" ht="15.75" customHeight="1" x14ac:dyDescent="0.3">
      <c r="A46" s="108"/>
      <c r="B46" s="115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</row>
    <row r="47" spans="1:16" ht="15.75" customHeight="1" x14ac:dyDescent="0.3">
      <c r="A47" s="108"/>
      <c r="B47" s="115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</row>
    <row r="48" spans="1:16" ht="15.75" customHeight="1" x14ac:dyDescent="0.3">
      <c r="A48" s="108"/>
      <c r="B48" s="115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</row>
    <row r="49" spans="1:16" ht="15.75" customHeight="1" x14ac:dyDescent="0.3">
      <c r="A49" s="108"/>
      <c r="B49" s="115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</row>
    <row r="50" spans="1:16" ht="15.75" customHeight="1" x14ac:dyDescent="0.3">
      <c r="A50" s="108"/>
      <c r="B50" s="115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</row>
    <row r="51" spans="1:16" ht="15.75" customHeight="1" x14ac:dyDescent="0.3">
      <c r="A51" s="108"/>
      <c r="B51" s="115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</row>
    <row r="52" spans="1:16" ht="15.75" customHeight="1" x14ac:dyDescent="0.3">
      <c r="A52" s="108"/>
      <c r="B52" s="115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</row>
    <row r="53" spans="1:16" ht="15.75" customHeight="1" x14ac:dyDescent="0.3">
      <c r="A53" s="108"/>
      <c r="B53" s="115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</row>
    <row r="54" spans="1:16" ht="15.75" customHeight="1" x14ac:dyDescent="0.3">
      <c r="A54" s="108"/>
      <c r="B54" s="115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</row>
    <row r="55" spans="1:16" ht="15.75" customHeight="1" x14ac:dyDescent="0.3">
      <c r="A55" s="108"/>
      <c r="B55" s="115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</row>
    <row r="56" spans="1:16" ht="15.75" customHeight="1" x14ac:dyDescent="0.3">
      <c r="A56" s="108"/>
      <c r="B56" s="115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</row>
    <row r="57" spans="1:16" ht="15.75" customHeight="1" x14ac:dyDescent="0.3">
      <c r="A57" s="108"/>
      <c r="B57" s="115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</row>
    <row r="58" spans="1:16" ht="15.75" customHeight="1" x14ac:dyDescent="0.3">
      <c r="A58" s="108"/>
      <c r="B58" s="115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</row>
    <row r="59" spans="1:16" ht="15.75" customHeight="1" x14ac:dyDescent="0.3">
      <c r="A59" s="108"/>
      <c r="B59" s="115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</row>
    <row r="60" spans="1:16" ht="15.75" customHeight="1" x14ac:dyDescent="0.3">
      <c r="A60" s="108"/>
      <c r="B60" s="115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</row>
    <row r="61" spans="1:16" ht="15.75" customHeight="1" x14ac:dyDescent="0.3">
      <c r="A61" s="108"/>
      <c r="B61" s="115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</row>
    <row r="62" spans="1:16" ht="15.75" customHeight="1" x14ac:dyDescent="0.3">
      <c r="A62" s="108"/>
      <c r="B62" s="115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</row>
    <row r="63" spans="1:16" ht="15.75" customHeight="1" x14ac:dyDescent="0.3">
      <c r="A63" s="108"/>
      <c r="B63" s="115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</row>
    <row r="64" spans="1:16" ht="15.75" customHeight="1" x14ac:dyDescent="0.3">
      <c r="A64" s="108"/>
      <c r="B64" s="115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</row>
    <row r="65" spans="1:16" ht="15.75" customHeight="1" x14ac:dyDescent="0.3">
      <c r="A65" s="108"/>
      <c r="B65" s="115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</row>
    <row r="66" spans="1:16" ht="15.75" customHeight="1" x14ac:dyDescent="0.3">
      <c r="A66" s="108"/>
      <c r="B66" s="115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</row>
    <row r="67" spans="1:16" ht="15.75" customHeight="1" x14ac:dyDescent="0.3">
      <c r="A67" s="108"/>
      <c r="B67" s="115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</row>
    <row r="68" spans="1:16" ht="15.75" customHeight="1" x14ac:dyDescent="0.3">
      <c r="A68" s="108"/>
      <c r="B68" s="115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</row>
    <row r="69" spans="1:16" ht="15.75" customHeight="1" x14ac:dyDescent="0.3">
      <c r="A69" s="108"/>
      <c r="B69" s="115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</row>
    <row r="70" spans="1:16" ht="15.75" customHeight="1" x14ac:dyDescent="0.3">
      <c r="A70" s="108"/>
      <c r="B70" s="115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</row>
    <row r="71" spans="1:16" ht="15.75" customHeight="1" x14ac:dyDescent="0.3">
      <c r="A71" s="108"/>
      <c r="B71" s="115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</row>
    <row r="72" spans="1:16" ht="15.75" customHeight="1" x14ac:dyDescent="0.3">
      <c r="A72" s="108"/>
      <c r="B72" s="115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</row>
    <row r="73" spans="1:16" ht="15.75" customHeight="1" x14ac:dyDescent="0.3">
      <c r="A73" s="108"/>
      <c r="B73" s="115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</row>
    <row r="74" spans="1:16" ht="15.75" customHeight="1" x14ac:dyDescent="0.3">
      <c r="A74" s="108"/>
      <c r="B74" s="115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</row>
    <row r="75" spans="1:16" ht="15.75" customHeight="1" x14ac:dyDescent="0.3">
      <c r="A75" s="108"/>
      <c r="B75" s="115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</row>
    <row r="76" spans="1:16" ht="15.75" customHeight="1" x14ac:dyDescent="0.3">
      <c r="A76" s="108"/>
      <c r="B76" s="115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</row>
    <row r="77" spans="1:16" ht="15.75" customHeight="1" x14ac:dyDescent="0.3">
      <c r="A77" s="108"/>
      <c r="B77" s="115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</row>
    <row r="78" spans="1:16" ht="15.75" customHeight="1" x14ac:dyDescent="0.3">
      <c r="A78" s="108"/>
      <c r="B78" s="115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</row>
    <row r="79" spans="1:16" ht="15.75" customHeight="1" x14ac:dyDescent="0.3">
      <c r="A79" s="108"/>
      <c r="B79" s="115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</row>
    <row r="80" spans="1:16" ht="15.75" customHeight="1" x14ac:dyDescent="0.3">
      <c r="A80" s="108"/>
      <c r="B80" s="115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</row>
    <row r="81" spans="1:16" ht="15.75" customHeight="1" x14ac:dyDescent="0.3">
      <c r="A81" s="108"/>
      <c r="B81" s="115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</row>
    <row r="82" spans="1:16" ht="15.75" customHeight="1" x14ac:dyDescent="0.3">
      <c r="A82" s="108"/>
      <c r="B82" s="115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</row>
    <row r="83" spans="1:16" ht="15.75" customHeight="1" x14ac:dyDescent="0.3">
      <c r="A83" s="108"/>
      <c r="B83" s="115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</row>
    <row r="84" spans="1:16" ht="15.75" customHeight="1" x14ac:dyDescent="0.3">
      <c r="A84" s="108"/>
      <c r="B84" s="115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</row>
    <row r="85" spans="1:16" ht="15.75" customHeight="1" x14ac:dyDescent="0.3">
      <c r="A85" s="108"/>
      <c r="B85" s="115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</row>
    <row r="86" spans="1:16" ht="15.75" customHeight="1" x14ac:dyDescent="0.3">
      <c r="A86" s="108"/>
      <c r="B86" s="115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</row>
    <row r="87" spans="1:16" ht="15.75" customHeight="1" x14ac:dyDescent="0.3">
      <c r="A87" s="108"/>
      <c r="B87" s="115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</row>
    <row r="88" spans="1:16" ht="15.75" customHeight="1" x14ac:dyDescent="0.3">
      <c r="A88" s="108"/>
      <c r="B88" s="115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</row>
    <row r="89" spans="1:16" ht="15.75" customHeight="1" x14ac:dyDescent="0.3">
      <c r="A89" s="108"/>
      <c r="B89" s="115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</row>
    <row r="90" spans="1:16" ht="15.75" customHeight="1" x14ac:dyDescent="0.3">
      <c r="A90" s="108"/>
      <c r="B90" s="115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</row>
    <row r="91" spans="1:16" ht="15.75" customHeight="1" x14ac:dyDescent="0.3">
      <c r="A91" s="108"/>
      <c r="B91" s="115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</row>
    <row r="92" spans="1:16" ht="15.75" customHeight="1" x14ac:dyDescent="0.3">
      <c r="A92" s="108"/>
      <c r="B92" s="115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</row>
    <row r="93" spans="1:16" ht="15.75" customHeight="1" x14ac:dyDescent="0.3">
      <c r="A93" s="108"/>
      <c r="B93" s="115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</row>
    <row r="94" spans="1:16" ht="15.75" customHeight="1" x14ac:dyDescent="0.3">
      <c r="A94" s="108"/>
      <c r="B94" s="115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</row>
    <row r="95" spans="1:16" ht="15.75" customHeight="1" x14ac:dyDescent="0.3">
      <c r="A95" s="108"/>
      <c r="B95" s="115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</row>
    <row r="96" spans="1:16" ht="15.75" customHeight="1" x14ac:dyDescent="0.3">
      <c r="A96" s="108"/>
      <c r="B96" s="115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</row>
    <row r="97" spans="1:16" ht="15.75" customHeight="1" x14ac:dyDescent="0.3">
      <c r="A97" s="108"/>
      <c r="B97" s="115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</row>
    <row r="98" spans="1:16" ht="15.75" customHeight="1" x14ac:dyDescent="0.3">
      <c r="A98" s="108"/>
      <c r="B98" s="115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</row>
    <row r="99" spans="1:16" ht="15.75" customHeight="1" x14ac:dyDescent="0.3">
      <c r="A99" s="108"/>
      <c r="B99" s="115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</row>
    <row r="100" spans="1:16" ht="15.75" customHeight="1" x14ac:dyDescent="0.3">
      <c r="A100" s="108"/>
      <c r="B100" s="115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</row>
    <row r="101" spans="1:16" ht="15.75" customHeight="1" x14ac:dyDescent="0.3">
      <c r="A101" s="108"/>
      <c r="B101" s="115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</row>
    <row r="102" spans="1:16" ht="15.75" customHeight="1" x14ac:dyDescent="0.3">
      <c r="A102" s="108"/>
      <c r="B102" s="115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</row>
    <row r="103" spans="1:16" ht="15.75" customHeight="1" x14ac:dyDescent="0.3">
      <c r="A103" s="108"/>
      <c r="B103" s="115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</row>
    <row r="104" spans="1:16" ht="15.75" customHeight="1" x14ac:dyDescent="0.3">
      <c r="A104" s="108"/>
      <c r="B104" s="115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</row>
    <row r="105" spans="1:16" ht="15.75" customHeight="1" x14ac:dyDescent="0.3">
      <c r="A105" s="108"/>
      <c r="B105" s="115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</row>
    <row r="106" spans="1:16" ht="15.75" customHeight="1" x14ac:dyDescent="0.3">
      <c r="A106" s="108"/>
      <c r="B106" s="115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</row>
    <row r="107" spans="1:16" ht="15.75" customHeight="1" x14ac:dyDescent="0.3">
      <c r="A107" s="108"/>
      <c r="B107" s="115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</row>
    <row r="108" spans="1:16" ht="15.75" customHeight="1" x14ac:dyDescent="0.3">
      <c r="A108" s="108"/>
      <c r="B108" s="115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</row>
    <row r="109" spans="1:16" ht="15.75" customHeight="1" x14ac:dyDescent="0.3">
      <c r="A109" s="108"/>
      <c r="B109" s="115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</row>
    <row r="110" spans="1:16" ht="15.75" customHeight="1" x14ac:dyDescent="0.3">
      <c r="A110" s="108"/>
      <c r="B110" s="115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</row>
    <row r="111" spans="1:16" ht="15.75" customHeight="1" x14ac:dyDescent="0.3">
      <c r="A111" s="108"/>
      <c r="B111" s="115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</row>
    <row r="112" spans="1:16" ht="15.75" customHeight="1" x14ac:dyDescent="0.3">
      <c r="A112" s="108"/>
      <c r="B112" s="115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</row>
    <row r="113" spans="1:16" ht="15.75" customHeight="1" x14ac:dyDescent="0.3">
      <c r="A113" s="108"/>
      <c r="B113" s="115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</row>
    <row r="114" spans="1:16" ht="15.75" customHeight="1" x14ac:dyDescent="0.3">
      <c r="A114" s="108"/>
      <c r="B114" s="115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</row>
    <row r="115" spans="1:16" ht="15.75" customHeight="1" x14ac:dyDescent="0.3">
      <c r="A115" s="108"/>
      <c r="B115" s="115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</row>
    <row r="116" spans="1:16" ht="15.75" customHeight="1" x14ac:dyDescent="0.3">
      <c r="A116" s="108"/>
      <c r="B116" s="115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</row>
    <row r="117" spans="1:16" ht="15.75" customHeight="1" x14ac:dyDescent="0.3">
      <c r="A117" s="108"/>
      <c r="B117" s="115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</row>
    <row r="118" spans="1:16" ht="15.75" customHeight="1" x14ac:dyDescent="0.3">
      <c r="A118" s="108"/>
      <c r="B118" s="115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</row>
    <row r="119" spans="1:16" ht="15.75" customHeight="1" x14ac:dyDescent="0.3">
      <c r="A119" s="108"/>
      <c r="B119" s="115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</row>
    <row r="120" spans="1:16" ht="15.75" customHeight="1" x14ac:dyDescent="0.3">
      <c r="A120" s="108"/>
      <c r="B120" s="115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</row>
    <row r="121" spans="1:16" ht="15.75" customHeight="1" x14ac:dyDescent="0.3">
      <c r="A121" s="108"/>
      <c r="B121" s="115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</row>
    <row r="122" spans="1:16" ht="15.75" customHeight="1" x14ac:dyDescent="0.3">
      <c r="A122" s="108"/>
      <c r="B122" s="115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</row>
    <row r="123" spans="1:16" ht="15.75" customHeight="1" x14ac:dyDescent="0.3">
      <c r="A123" s="108"/>
      <c r="B123" s="115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</row>
    <row r="124" spans="1:16" ht="15.75" customHeight="1" x14ac:dyDescent="0.3">
      <c r="A124" s="108"/>
      <c r="B124" s="115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</row>
    <row r="125" spans="1:16" ht="15.75" customHeight="1" x14ac:dyDescent="0.3">
      <c r="A125" s="108"/>
      <c r="B125" s="115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</row>
    <row r="126" spans="1:16" ht="15.75" customHeight="1" x14ac:dyDescent="0.3">
      <c r="A126" s="108"/>
      <c r="B126" s="115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</row>
    <row r="127" spans="1:16" ht="15.75" customHeight="1" x14ac:dyDescent="0.3">
      <c r="A127" s="108"/>
      <c r="B127" s="115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</row>
    <row r="128" spans="1:16" ht="15.75" customHeight="1" x14ac:dyDescent="0.3">
      <c r="A128" s="108"/>
      <c r="B128" s="115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</row>
    <row r="129" spans="1:16" ht="15.75" customHeight="1" x14ac:dyDescent="0.3">
      <c r="A129" s="108"/>
      <c r="B129" s="115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</row>
    <row r="130" spans="1:16" ht="15.75" customHeight="1" x14ac:dyDescent="0.3">
      <c r="A130" s="108"/>
      <c r="B130" s="115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</row>
    <row r="131" spans="1:16" ht="15.75" customHeight="1" x14ac:dyDescent="0.3">
      <c r="A131" s="108"/>
      <c r="B131" s="115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</row>
    <row r="132" spans="1:16" ht="15.75" customHeight="1" x14ac:dyDescent="0.3">
      <c r="A132" s="108"/>
      <c r="B132" s="115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</row>
    <row r="133" spans="1:16" ht="15.75" customHeight="1" x14ac:dyDescent="0.3">
      <c r="A133" s="108"/>
      <c r="B133" s="115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</row>
    <row r="134" spans="1:16" ht="15.75" customHeight="1" x14ac:dyDescent="0.3">
      <c r="A134" s="108"/>
      <c r="B134" s="115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</row>
    <row r="135" spans="1:16" ht="15.75" customHeight="1" x14ac:dyDescent="0.3">
      <c r="A135" s="108"/>
      <c r="B135" s="115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</row>
    <row r="136" spans="1:16" ht="15.75" customHeight="1" x14ac:dyDescent="0.3">
      <c r="A136" s="108"/>
      <c r="B136" s="115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</row>
    <row r="137" spans="1:16" ht="15.75" customHeight="1" x14ac:dyDescent="0.3">
      <c r="A137" s="108"/>
      <c r="B137" s="115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</row>
    <row r="138" spans="1:16" ht="15.75" customHeight="1" x14ac:dyDescent="0.3">
      <c r="A138" s="108"/>
      <c r="B138" s="115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</row>
    <row r="139" spans="1:16" ht="15.75" customHeight="1" x14ac:dyDescent="0.3">
      <c r="A139" s="108"/>
      <c r="B139" s="115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</row>
    <row r="140" spans="1:16" ht="15.75" customHeight="1" x14ac:dyDescent="0.3">
      <c r="A140" s="108"/>
      <c r="B140" s="115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</row>
    <row r="141" spans="1:16" ht="15.75" customHeight="1" x14ac:dyDescent="0.3">
      <c r="A141" s="108"/>
      <c r="B141" s="115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</row>
    <row r="142" spans="1:16" ht="15.75" customHeight="1" x14ac:dyDescent="0.3">
      <c r="A142" s="108"/>
      <c r="B142" s="115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</row>
    <row r="143" spans="1:16" ht="15.75" customHeight="1" x14ac:dyDescent="0.3">
      <c r="A143" s="108"/>
      <c r="B143" s="115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</row>
    <row r="144" spans="1:16" ht="15.75" customHeight="1" x14ac:dyDescent="0.3">
      <c r="A144" s="108"/>
      <c r="B144" s="115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</row>
    <row r="145" spans="1:16" ht="15.75" customHeight="1" x14ac:dyDescent="0.3">
      <c r="A145" s="108"/>
      <c r="B145" s="115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</row>
    <row r="146" spans="1:16" ht="15.75" customHeight="1" x14ac:dyDescent="0.3">
      <c r="A146" s="108"/>
      <c r="B146" s="115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</row>
    <row r="147" spans="1:16" ht="15.75" customHeight="1" x14ac:dyDescent="0.3">
      <c r="A147" s="108"/>
      <c r="B147" s="115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</row>
    <row r="148" spans="1:16" ht="15.75" customHeight="1" x14ac:dyDescent="0.3">
      <c r="A148" s="108"/>
      <c r="B148" s="115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</row>
    <row r="149" spans="1:16" ht="15.75" customHeight="1" x14ac:dyDescent="0.3">
      <c r="A149" s="108"/>
      <c r="B149" s="115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</row>
    <row r="150" spans="1:16" ht="15.75" customHeight="1" x14ac:dyDescent="0.3">
      <c r="A150" s="108"/>
      <c r="B150" s="115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</row>
    <row r="151" spans="1:16" ht="15.75" customHeight="1" x14ac:dyDescent="0.3">
      <c r="A151" s="108"/>
      <c r="B151" s="115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</row>
    <row r="152" spans="1:16" ht="15.75" customHeight="1" x14ac:dyDescent="0.3">
      <c r="A152" s="108"/>
      <c r="B152" s="115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</row>
    <row r="153" spans="1:16" ht="15.75" customHeight="1" x14ac:dyDescent="0.3">
      <c r="A153" s="108"/>
      <c r="B153" s="115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</row>
    <row r="154" spans="1:16" ht="15.75" customHeight="1" x14ac:dyDescent="0.3">
      <c r="A154" s="108"/>
      <c r="B154" s="115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</row>
    <row r="155" spans="1:16" ht="15.75" customHeight="1" x14ac:dyDescent="0.3">
      <c r="A155" s="108"/>
      <c r="B155" s="115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</row>
    <row r="156" spans="1:16" ht="15.75" customHeight="1" x14ac:dyDescent="0.3">
      <c r="A156" s="108"/>
      <c r="B156" s="115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</row>
    <row r="157" spans="1:16" ht="15.75" customHeight="1" x14ac:dyDescent="0.3">
      <c r="A157" s="108"/>
      <c r="B157" s="115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</row>
    <row r="158" spans="1:16" ht="15.75" customHeight="1" x14ac:dyDescent="0.3">
      <c r="A158" s="108"/>
      <c r="B158" s="115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</row>
    <row r="159" spans="1:16" ht="15.75" customHeight="1" x14ac:dyDescent="0.3">
      <c r="A159" s="108"/>
      <c r="B159" s="115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</row>
    <row r="160" spans="1:16" ht="15.75" customHeight="1" x14ac:dyDescent="0.3">
      <c r="A160" s="108"/>
      <c r="B160" s="115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</row>
    <row r="161" spans="1:16" ht="15.75" customHeight="1" x14ac:dyDescent="0.3">
      <c r="A161" s="108"/>
      <c r="B161" s="115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</row>
    <row r="162" spans="1:16" ht="15.75" customHeight="1" x14ac:dyDescent="0.3">
      <c r="A162" s="108"/>
      <c r="B162" s="115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</row>
    <row r="163" spans="1:16" ht="15.75" customHeight="1" x14ac:dyDescent="0.3">
      <c r="A163" s="108"/>
      <c r="B163" s="115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</row>
    <row r="164" spans="1:16" ht="15.75" customHeight="1" x14ac:dyDescent="0.3">
      <c r="A164" s="108"/>
      <c r="B164" s="115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</row>
    <row r="165" spans="1:16" ht="15.75" customHeight="1" x14ac:dyDescent="0.3">
      <c r="A165" s="108"/>
      <c r="B165" s="115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</row>
    <row r="166" spans="1:16" ht="15.75" customHeight="1" x14ac:dyDescent="0.3">
      <c r="A166" s="108"/>
      <c r="B166" s="115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</row>
    <row r="167" spans="1:16" ht="15.75" customHeight="1" x14ac:dyDescent="0.3">
      <c r="A167" s="108"/>
      <c r="B167" s="115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</row>
    <row r="168" spans="1:16" ht="15.75" customHeight="1" x14ac:dyDescent="0.3">
      <c r="A168" s="108"/>
      <c r="B168" s="115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</row>
    <row r="169" spans="1:16" ht="15.75" customHeight="1" x14ac:dyDescent="0.3">
      <c r="A169" s="108"/>
      <c r="B169" s="115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</row>
    <row r="170" spans="1:16" ht="15.75" customHeight="1" x14ac:dyDescent="0.3">
      <c r="A170" s="108"/>
      <c r="B170" s="115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</row>
    <row r="171" spans="1:16" ht="15.75" customHeight="1" x14ac:dyDescent="0.3">
      <c r="A171" s="108"/>
      <c r="B171" s="115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</row>
    <row r="172" spans="1:16" ht="15.75" customHeight="1" x14ac:dyDescent="0.3">
      <c r="A172" s="108"/>
      <c r="B172" s="115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</row>
    <row r="173" spans="1:16" ht="15.75" customHeight="1" x14ac:dyDescent="0.3">
      <c r="A173" s="108"/>
      <c r="B173" s="115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</row>
    <row r="174" spans="1:16" ht="15.75" customHeight="1" x14ac:dyDescent="0.3">
      <c r="A174" s="108"/>
      <c r="B174" s="115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</row>
    <row r="175" spans="1:16" ht="15.75" customHeight="1" x14ac:dyDescent="0.3">
      <c r="A175" s="108"/>
      <c r="B175" s="115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</row>
    <row r="176" spans="1:16" ht="15.75" customHeight="1" x14ac:dyDescent="0.3">
      <c r="A176" s="108"/>
      <c r="B176" s="115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</row>
    <row r="177" spans="1:16" ht="15.75" customHeight="1" x14ac:dyDescent="0.3">
      <c r="A177" s="108"/>
      <c r="B177" s="115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</row>
    <row r="178" spans="1:16" ht="15.75" customHeight="1" x14ac:dyDescent="0.3">
      <c r="A178" s="108"/>
      <c r="B178" s="115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</row>
    <row r="179" spans="1:16" ht="15.75" customHeight="1" x14ac:dyDescent="0.3">
      <c r="A179" s="108"/>
      <c r="B179" s="115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</row>
    <row r="180" spans="1:16" ht="15.75" customHeight="1" x14ac:dyDescent="0.3">
      <c r="A180" s="108"/>
      <c r="B180" s="115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</row>
    <row r="181" spans="1:16" ht="15.75" customHeight="1" x14ac:dyDescent="0.3">
      <c r="A181" s="108"/>
      <c r="B181" s="115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</row>
    <row r="182" spans="1:16" ht="15.75" customHeight="1" x14ac:dyDescent="0.3">
      <c r="A182" s="108"/>
      <c r="B182" s="115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</row>
    <row r="183" spans="1:16" ht="15.75" customHeight="1" x14ac:dyDescent="0.3">
      <c r="A183" s="108"/>
      <c r="B183" s="115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</row>
    <row r="184" spans="1:16" ht="15.75" customHeight="1" x14ac:dyDescent="0.3">
      <c r="A184" s="108"/>
      <c r="B184" s="115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</row>
    <row r="185" spans="1:16" ht="15.75" customHeight="1" x14ac:dyDescent="0.3">
      <c r="A185" s="108"/>
      <c r="B185" s="115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</row>
    <row r="186" spans="1:16" ht="15.75" customHeight="1" x14ac:dyDescent="0.3">
      <c r="A186" s="108"/>
      <c r="B186" s="115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</row>
    <row r="187" spans="1:16" ht="15.75" customHeight="1" x14ac:dyDescent="0.3">
      <c r="A187" s="108"/>
      <c r="B187" s="115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</row>
    <row r="188" spans="1:16" ht="15.75" customHeight="1" x14ac:dyDescent="0.3">
      <c r="A188" s="108"/>
      <c r="B188" s="115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</row>
    <row r="189" spans="1:16" ht="15.75" customHeight="1" x14ac:dyDescent="0.3">
      <c r="A189" s="108"/>
      <c r="B189" s="115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</row>
    <row r="190" spans="1:16" ht="15.75" customHeight="1" x14ac:dyDescent="0.3">
      <c r="A190" s="108"/>
      <c r="B190" s="115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</row>
    <row r="191" spans="1:16" ht="15.75" customHeight="1" x14ac:dyDescent="0.3">
      <c r="A191" s="108"/>
      <c r="B191" s="115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</row>
    <row r="192" spans="1:16" ht="15.75" customHeight="1" x14ac:dyDescent="0.3">
      <c r="A192" s="108"/>
      <c r="B192" s="115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</row>
    <row r="193" spans="1:16" ht="15.75" customHeight="1" x14ac:dyDescent="0.3">
      <c r="A193" s="108"/>
      <c r="B193" s="115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</row>
    <row r="194" spans="1:16" ht="15.75" customHeight="1" x14ac:dyDescent="0.3">
      <c r="A194" s="108"/>
      <c r="B194" s="115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</row>
    <row r="195" spans="1:16" ht="15.75" customHeight="1" x14ac:dyDescent="0.3">
      <c r="A195" s="108"/>
      <c r="B195" s="115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</row>
    <row r="196" spans="1:16" ht="15.75" customHeight="1" x14ac:dyDescent="0.3">
      <c r="A196" s="108"/>
      <c r="B196" s="115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</row>
    <row r="197" spans="1:16" ht="15.75" customHeight="1" x14ac:dyDescent="0.3">
      <c r="A197" s="108"/>
      <c r="B197" s="115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</row>
    <row r="198" spans="1:16" ht="15.75" customHeight="1" x14ac:dyDescent="0.3">
      <c r="A198" s="108"/>
      <c r="B198" s="115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</row>
    <row r="199" spans="1:16" ht="15.75" customHeight="1" x14ac:dyDescent="0.3">
      <c r="A199" s="108"/>
      <c r="B199" s="115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</row>
    <row r="200" spans="1:16" ht="15.75" customHeight="1" x14ac:dyDescent="0.3">
      <c r="A200" s="108"/>
      <c r="B200" s="115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</row>
    <row r="201" spans="1:16" ht="15.75" customHeight="1" x14ac:dyDescent="0.3">
      <c r="A201" s="108"/>
      <c r="B201" s="115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</row>
    <row r="202" spans="1:16" ht="15.75" customHeight="1" x14ac:dyDescent="0.3">
      <c r="A202" s="108"/>
      <c r="B202" s="115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</row>
    <row r="203" spans="1:16" ht="15.75" customHeight="1" x14ac:dyDescent="0.3">
      <c r="A203" s="108"/>
      <c r="B203" s="115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</row>
    <row r="204" spans="1:16" ht="15.75" customHeight="1" x14ac:dyDescent="0.3">
      <c r="A204" s="108"/>
      <c r="B204" s="115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</row>
    <row r="205" spans="1:16" ht="15.75" customHeight="1" x14ac:dyDescent="0.3">
      <c r="A205" s="108"/>
      <c r="B205" s="115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</row>
    <row r="206" spans="1:16" ht="15.75" customHeight="1" x14ac:dyDescent="0.3">
      <c r="A206" s="108"/>
      <c r="B206" s="115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</row>
    <row r="207" spans="1:16" ht="15.75" customHeight="1" x14ac:dyDescent="0.3">
      <c r="A207" s="108"/>
      <c r="B207" s="115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</row>
    <row r="208" spans="1:16" ht="15.75" customHeight="1" x14ac:dyDescent="0.3">
      <c r="A208" s="108"/>
      <c r="B208" s="115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</row>
    <row r="209" spans="1:16" ht="15.75" customHeight="1" x14ac:dyDescent="0.3">
      <c r="A209" s="108"/>
      <c r="B209" s="115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</row>
    <row r="210" spans="1:16" ht="15.75" customHeight="1" x14ac:dyDescent="0.3">
      <c r="A210" s="108"/>
      <c r="B210" s="115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</row>
    <row r="211" spans="1:16" ht="15.75" customHeight="1" x14ac:dyDescent="0.3">
      <c r="A211" s="108"/>
      <c r="B211" s="115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</row>
    <row r="212" spans="1:16" ht="15.75" customHeight="1" x14ac:dyDescent="0.3">
      <c r="A212" s="108"/>
      <c r="B212" s="115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</row>
    <row r="213" spans="1:16" ht="15.75" customHeight="1" x14ac:dyDescent="0.3">
      <c r="A213" s="108"/>
      <c r="B213" s="115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</row>
    <row r="214" spans="1:16" ht="15.75" customHeight="1" x14ac:dyDescent="0.3">
      <c r="A214" s="108"/>
      <c r="B214" s="115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</row>
    <row r="215" spans="1:16" ht="15.75" customHeight="1" x14ac:dyDescent="0.3">
      <c r="A215" s="108"/>
      <c r="B215" s="115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</row>
    <row r="216" spans="1:16" ht="15.75" customHeight="1" x14ac:dyDescent="0.3">
      <c r="A216" s="108"/>
      <c r="B216" s="115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</row>
    <row r="217" spans="1:16" ht="15.75" customHeight="1" x14ac:dyDescent="0.3">
      <c r="A217" s="108"/>
      <c r="B217" s="115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</row>
    <row r="218" spans="1:16" ht="15.75" customHeight="1" x14ac:dyDescent="0.3">
      <c r="A218" s="108"/>
      <c r="B218" s="115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</row>
    <row r="219" spans="1:16" ht="15.75" customHeight="1" x14ac:dyDescent="0.3">
      <c r="A219" s="108"/>
      <c r="B219" s="115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</row>
    <row r="220" spans="1:16" ht="15.75" customHeight="1" x14ac:dyDescent="0.3">
      <c r="A220" s="108"/>
      <c r="B220" s="115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</row>
    <row r="221" spans="1:16" ht="15.75" customHeight="1" x14ac:dyDescent="0.3">
      <c r="B221" s="116"/>
    </row>
    <row r="222" spans="1:16" ht="15.75" customHeight="1" x14ac:dyDescent="0.3">
      <c r="B222" s="116"/>
    </row>
    <row r="223" spans="1:16" ht="15.75" customHeight="1" x14ac:dyDescent="0.3">
      <c r="B223" s="116"/>
    </row>
    <row r="224" spans="1:16" ht="15.75" customHeight="1" x14ac:dyDescent="0.3">
      <c r="B224" s="116"/>
    </row>
    <row r="225" spans="2:2" ht="15.75" customHeight="1" x14ac:dyDescent="0.3">
      <c r="B225" s="116"/>
    </row>
    <row r="226" spans="2:2" ht="15.75" customHeight="1" x14ac:dyDescent="0.3">
      <c r="B226" s="116"/>
    </row>
    <row r="227" spans="2:2" ht="15.75" customHeight="1" x14ac:dyDescent="0.3">
      <c r="B227" s="116"/>
    </row>
    <row r="228" spans="2:2" ht="15.75" customHeight="1" x14ac:dyDescent="0.3">
      <c r="B228" s="116"/>
    </row>
    <row r="229" spans="2:2" ht="15.75" customHeight="1" x14ac:dyDescent="0.3">
      <c r="B229" s="116"/>
    </row>
    <row r="230" spans="2:2" ht="15.75" customHeight="1" x14ac:dyDescent="0.3">
      <c r="B230" s="116"/>
    </row>
    <row r="231" spans="2:2" ht="15.75" customHeight="1" x14ac:dyDescent="0.3">
      <c r="B231" s="116"/>
    </row>
    <row r="232" spans="2:2" ht="15.75" customHeight="1" x14ac:dyDescent="0.3">
      <c r="B232" s="116"/>
    </row>
    <row r="233" spans="2:2" ht="15.75" customHeight="1" x14ac:dyDescent="0.3">
      <c r="B233" s="116"/>
    </row>
    <row r="234" spans="2:2" ht="15.75" customHeight="1" x14ac:dyDescent="0.3">
      <c r="B234" s="116"/>
    </row>
    <row r="235" spans="2:2" ht="15.75" customHeight="1" x14ac:dyDescent="0.3">
      <c r="B235" s="116"/>
    </row>
    <row r="236" spans="2:2" ht="15.75" customHeight="1" x14ac:dyDescent="0.3">
      <c r="B236" s="116"/>
    </row>
    <row r="237" spans="2:2" ht="15.75" customHeight="1" x14ac:dyDescent="0.3">
      <c r="B237" s="116"/>
    </row>
    <row r="238" spans="2:2" ht="15.75" customHeight="1" x14ac:dyDescent="0.3">
      <c r="B238" s="116"/>
    </row>
    <row r="239" spans="2:2" ht="15.75" customHeight="1" x14ac:dyDescent="0.3">
      <c r="B239" s="116"/>
    </row>
    <row r="240" spans="2:2" ht="15.75" customHeight="1" x14ac:dyDescent="0.3">
      <c r="B240" s="116"/>
    </row>
    <row r="241" spans="2:2" ht="15.75" customHeight="1" x14ac:dyDescent="0.3">
      <c r="B241" s="116"/>
    </row>
    <row r="242" spans="2:2" ht="15.75" customHeight="1" x14ac:dyDescent="0.3">
      <c r="B242" s="116"/>
    </row>
    <row r="243" spans="2:2" ht="15.75" customHeight="1" x14ac:dyDescent="0.3">
      <c r="B243" s="116"/>
    </row>
    <row r="244" spans="2:2" ht="15.75" customHeight="1" x14ac:dyDescent="0.3">
      <c r="B244" s="116"/>
    </row>
    <row r="245" spans="2:2" ht="15.75" customHeight="1" x14ac:dyDescent="0.3">
      <c r="B245" s="116"/>
    </row>
    <row r="246" spans="2:2" ht="15.75" customHeight="1" x14ac:dyDescent="0.3">
      <c r="B246" s="116"/>
    </row>
    <row r="247" spans="2:2" ht="15.75" customHeight="1" x14ac:dyDescent="0.3">
      <c r="B247" s="116"/>
    </row>
    <row r="248" spans="2:2" ht="15.75" customHeight="1" x14ac:dyDescent="0.3">
      <c r="B248" s="116"/>
    </row>
    <row r="249" spans="2:2" ht="15.75" customHeight="1" x14ac:dyDescent="0.3">
      <c r="B249" s="116"/>
    </row>
    <row r="250" spans="2:2" ht="15.75" customHeight="1" x14ac:dyDescent="0.3">
      <c r="B250" s="116"/>
    </row>
    <row r="251" spans="2:2" ht="15.75" customHeight="1" x14ac:dyDescent="0.3">
      <c r="B251" s="116"/>
    </row>
    <row r="252" spans="2:2" ht="15.75" customHeight="1" x14ac:dyDescent="0.3">
      <c r="B252" s="116"/>
    </row>
    <row r="253" spans="2:2" ht="15.75" customHeight="1" x14ac:dyDescent="0.3">
      <c r="B253" s="116"/>
    </row>
    <row r="254" spans="2:2" ht="15.75" customHeight="1" x14ac:dyDescent="0.3">
      <c r="B254" s="116"/>
    </row>
    <row r="255" spans="2:2" ht="15.75" customHeight="1" x14ac:dyDescent="0.3">
      <c r="B255" s="116"/>
    </row>
    <row r="256" spans="2:2" ht="15.75" customHeight="1" x14ac:dyDescent="0.3">
      <c r="B256" s="116"/>
    </row>
    <row r="257" spans="2:2" ht="15.75" customHeight="1" x14ac:dyDescent="0.3">
      <c r="B257" s="116"/>
    </row>
    <row r="258" spans="2:2" ht="15.75" customHeight="1" x14ac:dyDescent="0.3">
      <c r="B258" s="116"/>
    </row>
    <row r="259" spans="2:2" ht="15.75" customHeight="1" x14ac:dyDescent="0.3">
      <c r="B259" s="116"/>
    </row>
    <row r="260" spans="2:2" ht="15.75" customHeight="1" x14ac:dyDescent="0.3">
      <c r="B260" s="116"/>
    </row>
    <row r="261" spans="2:2" ht="15.75" customHeight="1" x14ac:dyDescent="0.3">
      <c r="B261" s="116"/>
    </row>
    <row r="262" spans="2:2" ht="15.75" customHeight="1" x14ac:dyDescent="0.3">
      <c r="B262" s="116"/>
    </row>
    <row r="263" spans="2:2" ht="15.75" customHeight="1" x14ac:dyDescent="0.3">
      <c r="B263" s="116"/>
    </row>
    <row r="264" spans="2:2" ht="15.75" customHeight="1" x14ac:dyDescent="0.3">
      <c r="B264" s="116"/>
    </row>
    <row r="265" spans="2:2" ht="15.75" customHeight="1" x14ac:dyDescent="0.3">
      <c r="B265" s="116"/>
    </row>
    <row r="266" spans="2:2" ht="15.75" customHeight="1" x14ac:dyDescent="0.3">
      <c r="B266" s="116"/>
    </row>
    <row r="267" spans="2:2" ht="15.75" customHeight="1" x14ac:dyDescent="0.3">
      <c r="B267" s="116"/>
    </row>
    <row r="268" spans="2:2" ht="15.75" customHeight="1" x14ac:dyDescent="0.3">
      <c r="B268" s="116"/>
    </row>
    <row r="269" spans="2:2" ht="15.75" customHeight="1" x14ac:dyDescent="0.3">
      <c r="B269" s="116"/>
    </row>
    <row r="270" spans="2:2" ht="15.75" customHeight="1" x14ac:dyDescent="0.3">
      <c r="B270" s="116"/>
    </row>
    <row r="271" spans="2:2" ht="15.75" customHeight="1" x14ac:dyDescent="0.3">
      <c r="B271" s="116"/>
    </row>
    <row r="272" spans="2:2" ht="15.75" customHeight="1" x14ac:dyDescent="0.3">
      <c r="B272" s="116"/>
    </row>
    <row r="273" spans="2:2" ht="15.75" customHeight="1" x14ac:dyDescent="0.3">
      <c r="B273" s="116"/>
    </row>
    <row r="274" spans="2:2" ht="15.75" customHeight="1" x14ac:dyDescent="0.3">
      <c r="B274" s="116"/>
    </row>
    <row r="275" spans="2:2" ht="15.75" customHeight="1" x14ac:dyDescent="0.3">
      <c r="B275" s="116"/>
    </row>
    <row r="276" spans="2:2" ht="15.75" customHeight="1" x14ac:dyDescent="0.3">
      <c r="B276" s="116"/>
    </row>
    <row r="277" spans="2:2" ht="15.75" customHeight="1" x14ac:dyDescent="0.3">
      <c r="B277" s="116"/>
    </row>
    <row r="278" spans="2:2" ht="15.75" customHeight="1" x14ac:dyDescent="0.3">
      <c r="B278" s="116"/>
    </row>
    <row r="279" spans="2:2" ht="15.75" customHeight="1" x14ac:dyDescent="0.3">
      <c r="B279" s="116"/>
    </row>
    <row r="280" spans="2:2" ht="15.75" customHeight="1" x14ac:dyDescent="0.3">
      <c r="B280" s="116"/>
    </row>
    <row r="281" spans="2:2" ht="15.75" customHeight="1" x14ac:dyDescent="0.3">
      <c r="B281" s="116"/>
    </row>
    <row r="282" spans="2:2" ht="15.75" customHeight="1" x14ac:dyDescent="0.3">
      <c r="B282" s="116"/>
    </row>
    <row r="283" spans="2:2" ht="15.75" customHeight="1" x14ac:dyDescent="0.3">
      <c r="B283" s="116"/>
    </row>
    <row r="284" spans="2:2" ht="15.75" customHeight="1" x14ac:dyDescent="0.3">
      <c r="B284" s="116"/>
    </row>
    <row r="285" spans="2:2" ht="15.75" customHeight="1" x14ac:dyDescent="0.3">
      <c r="B285" s="116"/>
    </row>
    <row r="286" spans="2:2" ht="15.75" customHeight="1" x14ac:dyDescent="0.3">
      <c r="B286" s="116"/>
    </row>
    <row r="287" spans="2:2" ht="15.75" customHeight="1" x14ac:dyDescent="0.3">
      <c r="B287" s="116"/>
    </row>
    <row r="288" spans="2:2" ht="15.75" customHeight="1" x14ac:dyDescent="0.3">
      <c r="B288" s="116"/>
    </row>
    <row r="289" spans="2:2" ht="15.75" customHeight="1" x14ac:dyDescent="0.3">
      <c r="B289" s="116"/>
    </row>
    <row r="290" spans="2:2" ht="15.75" customHeight="1" x14ac:dyDescent="0.3">
      <c r="B290" s="116"/>
    </row>
    <row r="291" spans="2:2" ht="15.75" customHeight="1" x14ac:dyDescent="0.3">
      <c r="B291" s="116"/>
    </row>
    <row r="292" spans="2:2" ht="15.75" customHeight="1" x14ac:dyDescent="0.3">
      <c r="B292" s="116"/>
    </row>
    <row r="293" spans="2:2" ht="15.75" customHeight="1" x14ac:dyDescent="0.3">
      <c r="B293" s="116"/>
    </row>
    <row r="294" spans="2:2" ht="15.75" customHeight="1" x14ac:dyDescent="0.3">
      <c r="B294" s="116"/>
    </row>
    <row r="295" spans="2:2" ht="15.75" customHeight="1" x14ac:dyDescent="0.3">
      <c r="B295" s="116"/>
    </row>
    <row r="296" spans="2:2" ht="15.75" customHeight="1" x14ac:dyDescent="0.3">
      <c r="B296" s="116"/>
    </row>
    <row r="297" spans="2:2" ht="15.75" customHeight="1" x14ac:dyDescent="0.3">
      <c r="B297" s="116"/>
    </row>
    <row r="298" spans="2:2" ht="15.75" customHeight="1" x14ac:dyDescent="0.3">
      <c r="B298" s="116"/>
    </row>
    <row r="299" spans="2:2" ht="15.75" customHeight="1" x14ac:dyDescent="0.3">
      <c r="B299" s="116"/>
    </row>
    <row r="300" spans="2:2" ht="15.75" customHeight="1" x14ac:dyDescent="0.3">
      <c r="B300" s="116"/>
    </row>
    <row r="301" spans="2:2" ht="15.75" customHeight="1" x14ac:dyDescent="0.3">
      <c r="B301" s="116"/>
    </row>
    <row r="302" spans="2:2" ht="15.75" customHeight="1" x14ac:dyDescent="0.3">
      <c r="B302" s="116"/>
    </row>
    <row r="303" spans="2:2" ht="15.75" customHeight="1" x14ac:dyDescent="0.3">
      <c r="B303" s="116"/>
    </row>
    <row r="304" spans="2:2" ht="15.75" customHeight="1" x14ac:dyDescent="0.3">
      <c r="B304" s="116"/>
    </row>
    <row r="305" spans="2:2" ht="15.75" customHeight="1" x14ac:dyDescent="0.3">
      <c r="B305" s="116"/>
    </row>
    <row r="306" spans="2:2" ht="15.75" customHeight="1" x14ac:dyDescent="0.3">
      <c r="B306" s="116"/>
    </row>
    <row r="307" spans="2:2" ht="15.75" customHeight="1" x14ac:dyDescent="0.3">
      <c r="B307" s="116"/>
    </row>
    <row r="308" spans="2:2" ht="15.75" customHeight="1" x14ac:dyDescent="0.3">
      <c r="B308" s="116"/>
    </row>
    <row r="309" spans="2:2" ht="15.75" customHeight="1" x14ac:dyDescent="0.3">
      <c r="B309" s="116"/>
    </row>
    <row r="310" spans="2:2" ht="15.75" customHeight="1" x14ac:dyDescent="0.3">
      <c r="B310" s="116"/>
    </row>
    <row r="311" spans="2:2" ht="15.75" customHeight="1" x14ac:dyDescent="0.3">
      <c r="B311" s="116"/>
    </row>
    <row r="312" spans="2:2" ht="15.75" customHeight="1" x14ac:dyDescent="0.3">
      <c r="B312" s="116"/>
    </row>
    <row r="313" spans="2:2" ht="15.75" customHeight="1" x14ac:dyDescent="0.3">
      <c r="B313" s="116"/>
    </row>
    <row r="314" spans="2:2" ht="15.75" customHeight="1" x14ac:dyDescent="0.3">
      <c r="B314" s="116"/>
    </row>
    <row r="315" spans="2:2" ht="15.75" customHeight="1" x14ac:dyDescent="0.3">
      <c r="B315" s="116"/>
    </row>
    <row r="316" spans="2:2" ht="15.75" customHeight="1" x14ac:dyDescent="0.3">
      <c r="B316" s="116"/>
    </row>
    <row r="317" spans="2:2" ht="15.75" customHeight="1" x14ac:dyDescent="0.3">
      <c r="B317" s="116"/>
    </row>
    <row r="318" spans="2:2" ht="15.75" customHeight="1" x14ac:dyDescent="0.3">
      <c r="B318" s="116"/>
    </row>
    <row r="319" spans="2:2" ht="15.75" customHeight="1" x14ac:dyDescent="0.3">
      <c r="B319" s="116"/>
    </row>
    <row r="320" spans="2:2" ht="15.75" customHeight="1" x14ac:dyDescent="0.3">
      <c r="B320" s="116"/>
    </row>
    <row r="321" spans="2:2" ht="15.75" customHeight="1" x14ac:dyDescent="0.3">
      <c r="B321" s="116"/>
    </row>
    <row r="322" spans="2:2" ht="15.75" customHeight="1" x14ac:dyDescent="0.3">
      <c r="B322" s="116"/>
    </row>
    <row r="323" spans="2:2" ht="15.75" customHeight="1" x14ac:dyDescent="0.3">
      <c r="B323" s="116"/>
    </row>
    <row r="324" spans="2:2" ht="15.75" customHeight="1" x14ac:dyDescent="0.3">
      <c r="B324" s="116"/>
    </row>
    <row r="325" spans="2:2" ht="15.75" customHeight="1" x14ac:dyDescent="0.3">
      <c r="B325" s="116"/>
    </row>
    <row r="326" spans="2:2" ht="15.75" customHeight="1" x14ac:dyDescent="0.3">
      <c r="B326" s="116"/>
    </row>
    <row r="327" spans="2:2" ht="15.75" customHeight="1" x14ac:dyDescent="0.3">
      <c r="B327" s="116"/>
    </row>
    <row r="328" spans="2:2" ht="15.75" customHeight="1" x14ac:dyDescent="0.3">
      <c r="B328" s="116"/>
    </row>
    <row r="329" spans="2:2" ht="15.75" customHeight="1" x14ac:dyDescent="0.3">
      <c r="B329" s="116"/>
    </row>
    <row r="330" spans="2:2" ht="15.75" customHeight="1" x14ac:dyDescent="0.3">
      <c r="B330" s="116"/>
    </row>
    <row r="331" spans="2:2" ht="15.75" customHeight="1" x14ac:dyDescent="0.3">
      <c r="B331" s="116"/>
    </row>
    <row r="332" spans="2:2" ht="15.75" customHeight="1" x14ac:dyDescent="0.3">
      <c r="B332" s="116"/>
    </row>
    <row r="333" spans="2:2" ht="15.75" customHeight="1" x14ac:dyDescent="0.3">
      <c r="B333" s="116"/>
    </row>
    <row r="334" spans="2:2" ht="15.75" customHeight="1" x14ac:dyDescent="0.3">
      <c r="B334" s="116"/>
    </row>
    <row r="335" spans="2:2" ht="15.75" customHeight="1" x14ac:dyDescent="0.3">
      <c r="B335" s="116"/>
    </row>
    <row r="336" spans="2:2" ht="15.75" customHeight="1" x14ac:dyDescent="0.3">
      <c r="B336" s="116"/>
    </row>
    <row r="337" spans="2:2" ht="15.75" customHeight="1" x14ac:dyDescent="0.3">
      <c r="B337" s="116"/>
    </row>
    <row r="338" spans="2:2" ht="15.75" customHeight="1" x14ac:dyDescent="0.3">
      <c r="B338" s="116"/>
    </row>
    <row r="339" spans="2:2" ht="15.75" customHeight="1" x14ac:dyDescent="0.3">
      <c r="B339" s="116"/>
    </row>
    <row r="340" spans="2:2" ht="15.75" customHeight="1" x14ac:dyDescent="0.3">
      <c r="B340" s="116"/>
    </row>
    <row r="341" spans="2:2" ht="15.75" customHeight="1" x14ac:dyDescent="0.3">
      <c r="B341" s="116"/>
    </row>
    <row r="342" spans="2:2" ht="15.75" customHeight="1" x14ac:dyDescent="0.3">
      <c r="B342" s="116"/>
    </row>
    <row r="343" spans="2:2" ht="15.75" customHeight="1" x14ac:dyDescent="0.3">
      <c r="B343" s="116"/>
    </row>
    <row r="344" spans="2:2" ht="15.75" customHeight="1" x14ac:dyDescent="0.3">
      <c r="B344" s="116"/>
    </row>
    <row r="345" spans="2:2" ht="15.75" customHeight="1" x14ac:dyDescent="0.3">
      <c r="B345" s="116"/>
    </row>
    <row r="346" spans="2:2" ht="15.75" customHeight="1" x14ac:dyDescent="0.3">
      <c r="B346" s="116"/>
    </row>
    <row r="347" spans="2:2" ht="15.75" customHeight="1" x14ac:dyDescent="0.3">
      <c r="B347" s="116"/>
    </row>
    <row r="348" spans="2:2" ht="15.75" customHeight="1" x14ac:dyDescent="0.3">
      <c r="B348" s="116"/>
    </row>
    <row r="349" spans="2:2" ht="15.75" customHeight="1" x14ac:dyDescent="0.3">
      <c r="B349" s="116"/>
    </row>
    <row r="350" spans="2:2" ht="15.75" customHeight="1" x14ac:dyDescent="0.3">
      <c r="B350" s="116"/>
    </row>
    <row r="351" spans="2:2" ht="15.75" customHeight="1" x14ac:dyDescent="0.3">
      <c r="B351" s="116"/>
    </row>
    <row r="352" spans="2:2" ht="15.75" customHeight="1" x14ac:dyDescent="0.3">
      <c r="B352" s="116"/>
    </row>
    <row r="353" spans="2:2" ht="15.75" customHeight="1" x14ac:dyDescent="0.3">
      <c r="B353" s="116"/>
    </row>
    <row r="354" spans="2:2" ht="15.75" customHeight="1" x14ac:dyDescent="0.3">
      <c r="B354" s="116"/>
    </row>
    <row r="355" spans="2:2" ht="15.75" customHeight="1" x14ac:dyDescent="0.3">
      <c r="B355" s="116"/>
    </row>
    <row r="356" spans="2:2" ht="15.75" customHeight="1" x14ac:dyDescent="0.3">
      <c r="B356" s="116"/>
    </row>
    <row r="357" spans="2:2" ht="15.75" customHeight="1" x14ac:dyDescent="0.3">
      <c r="B357" s="116"/>
    </row>
    <row r="358" spans="2:2" ht="15.75" customHeight="1" x14ac:dyDescent="0.3">
      <c r="B358" s="116"/>
    </row>
    <row r="359" spans="2:2" ht="15.75" customHeight="1" x14ac:dyDescent="0.3">
      <c r="B359" s="116"/>
    </row>
    <row r="360" spans="2:2" ht="15.75" customHeight="1" x14ac:dyDescent="0.3">
      <c r="B360" s="116"/>
    </row>
    <row r="361" spans="2:2" ht="15.75" customHeight="1" x14ac:dyDescent="0.3">
      <c r="B361" s="116"/>
    </row>
    <row r="362" spans="2:2" ht="15.75" customHeight="1" x14ac:dyDescent="0.3">
      <c r="B362" s="116"/>
    </row>
    <row r="363" spans="2:2" ht="15.75" customHeight="1" x14ac:dyDescent="0.3">
      <c r="B363" s="116"/>
    </row>
    <row r="364" spans="2:2" ht="15.75" customHeight="1" x14ac:dyDescent="0.3">
      <c r="B364" s="116"/>
    </row>
    <row r="365" spans="2:2" ht="15.75" customHeight="1" x14ac:dyDescent="0.3">
      <c r="B365" s="116"/>
    </row>
    <row r="366" spans="2:2" ht="15.75" customHeight="1" x14ac:dyDescent="0.3">
      <c r="B366" s="116"/>
    </row>
    <row r="367" spans="2:2" ht="15.75" customHeight="1" x14ac:dyDescent="0.3">
      <c r="B367" s="116"/>
    </row>
    <row r="368" spans="2:2" ht="15.75" customHeight="1" x14ac:dyDescent="0.3">
      <c r="B368" s="116"/>
    </row>
    <row r="369" spans="2:2" ht="15.75" customHeight="1" x14ac:dyDescent="0.3">
      <c r="B369" s="116"/>
    </row>
    <row r="370" spans="2:2" ht="15.75" customHeight="1" x14ac:dyDescent="0.3">
      <c r="B370" s="116"/>
    </row>
    <row r="371" spans="2:2" ht="15.75" customHeight="1" x14ac:dyDescent="0.3">
      <c r="B371" s="116"/>
    </row>
    <row r="372" spans="2:2" ht="15.75" customHeight="1" x14ac:dyDescent="0.3">
      <c r="B372" s="116"/>
    </row>
    <row r="373" spans="2:2" ht="15.75" customHeight="1" x14ac:dyDescent="0.3">
      <c r="B373" s="116"/>
    </row>
    <row r="374" spans="2:2" ht="15.75" customHeight="1" x14ac:dyDescent="0.3">
      <c r="B374" s="116"/>
    </row>
    <row r="375" spans="2:2" ht="15.75" customHeight="1" x14ac:dyDescent="0.3">
      <c r="B375" s="116"/>
    </row>
    <row r="376" spans="2:2" ht="15.75" customHeight="1" x14ac:dyDescent="0.3">
      <c r="B376" s="116"/>
    </row>
    <row r="377" spans="2:2" ht="15.75" customHeight="1" x14ac:dyDescent="0.3">
      <c r="B377" s="116"/>
    </row>
    <row r="378" spans="2:2" ht="15.75" customHeight="1" x14ac:dyDescent="0.3">
      <c r="B378" s="116"/>
    </row>
    <row r="379" spans="2:2" ht="15.75" customHeight="1" x14ac:dyDescent="0.3">
      <c r="B379" s="116"/>
    </row>
    <row r="380" spans="2:2" ht="15.75" customHeight="1" x14ac:dyDescent="0.3">
      <c r="B380" s="116"/>
    </row>
    <row r="381" spans="2:2" ht="15.75" customHeight="1" x14ac:dyDescent="0.3">
      <c r="B381" s="116"/>
    </row>
    <row r="382" spans="2:2" ht="15.75" customHeight="1" x14ac:dyDescent="0.3">
      <c r="B382" s="116"/>
    </row>
    <row r="383" spans="2:2" ht="15.75" customHeight="1" x14ac:dyDescent="0.3">
      <c r="B383" s="116"/>
    </row>
    <row r="384" spans="2:2" ht="15.75" customHeight="1" x14ac:dyDescent="0.3">
      <c r="B384" s="116"/>
    </row>
    <row r="385" spans="2:2" ht="15.75" customHeight="1" x14ac:dyDescent="0.3">
      <c r="B385" s="116"/>
    </row>
    <row r="386" spans="2:2" ht="15.75" customHeight="1" x14ac:dyDescent="0.3">
      <c r="B386" s="116"/>
    </row>
    <row r="387" spans="2:2" ht="15.75" customHeight="1" x14ac:dyDescent="0.3">
      <c r="B387" s="116"/>
    </row>
    <row r="388" spans="2:2" ht="15.75" customHeight="1" x14ac:dyDescent="0.3">
      <c r="B388" s="116"/>
    </row>
    <row r="389" spans="2:2" ht="15.75" customHeight="1" x14ac:dyDescent="0.3">
      <c r="B389" s="116"/>
    </row>
    <row r="390" spans="2:2" ht="15.75" customHeight="1" x14ac:dyDescent="0.3">
      <c r="B390" s="116"/>
    </row>
    <row r="391" spans="2:2" ht="15.75" customHeight="1" x14ac:dyDescent="0.3">
      <c r="B391" s="116"/>
    </row>
    <row r="392" spans="2:2" ht="15.75" customHeight="1" x14ac:dyDescent="0.3">
      <c r="B392" s="116"/>
    </row>
    <row r="393" spans="2:2" ht="15.75" customHeight="1" x14ac:dyDescent="0.3">
      <c r="B393" s="116"/>
    </row>
    <row r="394" spans="2:2" ht="15.75" customHeight="1" x14ac:dyDescent="0.3">
      <c r="B394" s="116"/>
    </row>
    <row r="395" spans="2:2" ht="15.75" customHeight="1" x14ac:dyDescent="0.3">
      <c r="B395" s="116"/>
    </row>
    <row r="396" spans="2:2" ht="15.75" customHeight="1" x14ac:dyDescent="0.3">
      <c r="B396" s="116"/>
    </row>
    <row r="397" spans="2:2" ht="15.75" customHeight="1" x14ac:dyDescent="0.3">
      <c r="B397" s="116"/>
    </row>
    <row r="398" spans="2:2" ht="15.75" customHeight="1" x14ac:dyDescent="0.3">
      <c r="B398" s="116"/>
    </row>
    <row r="399" spans="2:2" ht="15.75" customHeight="1" x14ac:dyDescent="0.3">
      <c r="B399" s="116"/>
    </row>
    <row r="400" spans="2:2" ht="15.75" customHeight="1" x14ac:dyDescent="0.3">
      <c r="B400" s="116"/>
    </row>
    <row r="401" spans="2:2" ht="15.75" customHeight="1" x14ac:dyDescent="0.3">
      <c r="B401" s="116"/>
    </row>
    <row r="402" spans="2:2" ht="15.75" customHeight="1" x14ac:dyDescent="0.3">
      <c r="B402" s="116"/>
    </row>
    <row r="403" spans="2:2" ht="15.75" customHeight="1" x14ac:dyDescent="0.3">
      <c r="B403" s="116"/>
    </row>
    <row r="404" spans="2:2" ht="15.75" customHeight="1" x14ac:dyDescent="0.3">
      <c r="B404" s="116"/>
    </row>
    <row r="405" spans="2:2" ht="15.75" customHeight="1" x14ac:dyDescent="0.3">
      <c r="B405" s="116"/>
    </row>
    <row r="406" spans="2:2" ht="15.75" customHeight="1" x14ac:dyDescent="0.3">
      <c r="B406" s="116"/>
    </row>
    <row r="407" spans="2:2" ht="15.75" customHeight="1" x14ac:dyDescent="0.3">
      <c r="B407" s="116"/>
    </row>
    <row r="408" spans="2:2" ht="15.75" customHeight="1" x14ac:dyDescent="0.3">
      <c r="B408" s="116"/>
    </row>
    <row r="409" spans="2:2" ht="15.75" customHeight="1" x14ac:dyDescent="0.3">
      <c r="B409" s="116"/>
    </row>
    <row r="410" spans="2:2" ht="15.75" customHeight="1" x14ac:dyDescent="0.3">
      <c r="B410" s="116"/>
    </row>
    <row r="411" spans="2:2" ht="15.75" customHeight="1" x14ac:dyDescent="0.3">
      <c r="B411" s="116"/>
    </row>
    <row r="412" spans="2:2" ht="15.75" customHeight="1" x14ac:dyDescent="0.3">
      <c r="B412" s="116"/>
    </row>
    <row r="413" spans="2:2" ht="15.75" customHeight="1" x14ac:dyDescent="0.3">
      <c r="B413" s="116"/>
    </row>
    <row r="414" spans="2:2" ht="15.75" customHeight="1" x14ac:dyDescent="0.3">
      <c r="B414" s="116"/>
    </row>
    <row r="415" spans="2:2" ht="15.75" customHeight="1" x14ac:dyDescent="0.3">
      <c r="B415" s="116"/>
    </row>
    <row r="416" spans="2:2" ht="15.75" customHeight="1" x14ac:dyDescent="0.3">
      <c r="B416" s="116"/>
    </row>
    <row r="417" spans="2:2" ht="15.75" customHeight="1" x14ac:dyDescent="0.3">
      <c r="B417" s="116"/>
    </row>
    <row r="418" spans="2:2" ht="15.75" customHeight="1" x14ac:dyDescent="0.3">
      <c r="B418" s="116"/>
    </row>
    <row r="419" spans="2:2" ht="15.75" customHeight="1" x14ac:dyDescent="0.3">
      <c r="B419" s="116"/>
    </row>
    <row r="420" spans="2:2" ht="15.75" customHeight="1" x14ac:dyDescent="0.3">
      <c r="B420" s="116"/>
    </row>
    <row r="421" spans="2:2" ht="15.75" customHeight="1" x14ac:dyDescent="0.3">
      <c r="B421" s="116"/>
    </row>
    <row r="422" spans="2:2" ht="15.75" customHeight="1" x14ac:dyDescent="0.3">
      <c r="B422" s="116"/>
    </row>
    <row r="423" spans="2:2" ht="15.75" customHeight="1" x14ac:dyDescent="0.3">
      <c r="B423" s="116"/>
    </row>
    <row r="424" spans="2:2" ht="15.75" customHeight="1" x14ac:dyDescent="0.3">
      <c r="B424" s="116"/>
    </row>
    <row r="425" spans="2:2" ht="15.75" customHeight="1" x14ac:dyDescent="0.3">
      <c r="B425" s="116"/>
    </row>
    <row r="426" spans="2:2" ht="15.75" customHeight="1" x14ac:dyDescent="0.3">
      <c r="B426" s="116"/>
    </row>
    <row r="427" spans="2:2" ht="15.75" customHeight="1" x14ac:dyDescent="0.3">
      <c r="B427" s="116"/>
    </row>
    <row r="428" spans="2:2" ht="15.75" customHeight="1" x14ac:dyDescent="0.3">
      <c r="B428" s="116"/>
    </row>
    <row r="429" spans="2:2" ht="15.75" customHeight="1" x14ac:dyDescent="0.3">
      <c r="B429" s="116"/>
    </row>
    <row r="430" spans="2:2" ht="15.75" customHeight="1" x14ac:dyDescent="0.3">
      <c r="B430" s="116"/>
    </row>
    <row r="431" spans="2:2" ht="15.75" customHeight="1" x14ac:dyDescent="0.3">
      <c r="B431" s="116"/>
    </row>
    <row r="432" spans="2:2" ht="15.75" customHeight="1" x14ac:dyDescent="0.3">
      <c r="B432" s="116"/>
    </row>
    <row r="433" spans="2:2" ht="15.75" customHeight="1" x14ac:dyDescent="0.3">
      <c r="B433" s="116"/>
    </row>
    <row r="434" spans="2:2" ht="15.75" customHeight="1" x14ac:dyDescent="0.3">
      <c r="B434" s="116"/>
    </row>
    <row r="435" spans="2:2" ht="15.75" customHeight="1" x14ac:dyDescent="0.3">
      <c r="B435" s="116"/>
    </row>
    <row r="436" spans="2:2" ht="15.75" customHeight="1" x14ac:dyDescent="0.3">
      <c r="B436" s="116"/>
    </row>
    <row r="437" spans="2:2" ht="15.75" customHeight="1" x14ac:dyDescent="0.3">
      <c r="B437" s="116"/>
    </row>
    <row r="438" spans="2:2" ht="15.75" customHeight="1" x14ac:dyDescent="0.3">
      <c r="B438" s="116"/>
    </row>
    <row r="439" spans="2:2" ht="15.75" customHeight="1" x14ac:dyDescent="0.3">
      <c r="B439" s="116"/>
    </row>
    <row r="440" spans="2:2" ht="15.75" customHeight="1" x14ac:dyDescent="0.3">
      <c r="B440" s="116"/>
    </row>
    <row r="441" spans="2:2" ht="15.75" customHeight="1" x14ac:dyDescent="0.3">
      <c r="B441" s="116"/>
    </row>
    <row r="442" spans="2:2" ht="15.75" customHeight="1" x14ac:dyDescent="0.3">
      <c r="B442" s="116"/>
    </row>
    <row r="443" spans="2:2" ht="15.75" customHeight="1" x14ac:dyDescent="0.3">
      <c r="B443" s="116"/>
    </row>
    <row r="444" spans="2:2" ht="15.75" customHeight="1" x14ac:dyDescent="0.3">
      <c r="B444" s="116"/>
    </row>
    <row r="445" spans="2:2" ht="15.75" customHeight="1" x14ac:dyDescent="0.3">
      <c r="B445" s="116"/>
    </row>
    <row r="446" spans="2:2" ht="15.75" customHeight="1" x14ac:dyDescent="0.3">
      <c r="B446" s="116"/>
    </row>
    <row r="447" spans="2:2" ht="15.75" customHeight="1" x14ac:dyDescent="0.3">
      <c r="B447" s="116"/>
    </row>
    <row r="448" spans="2:2" ht="15.75" customHeight="1" x14ac:dyDescent="0.3">
      <c r="B448" s="116"/>
    </row>
    <row r="449" spans="2:2" ht="15.75" customHeight="1" x14ac:dyDescent="0.3">
      <c r="B449" s="116"/>
    </row>
    <row r="450" spans="2:2" ht="15.75" customHeight="1" x14ac:dyDescent="0.3">
      <c r="B450" s="116"/>
    </row>
    <row r="451" spans="2:2" ht="15.75" customHeight="1" x14ac:dyDescent="0.3">
      <c r="B451" s="116"/>
    </row>
    <row r="452" spans="2:2" ht="15.75" customHeight="1" x14ac:dyDescent="0.3">
      <c r="B452" s="116"/>
    </row>
    <row r="453" spans="2:2" ht="15.75" customHeight="1" x14ac:dyDescent="0.3">
      <c r="B453" s="116"/>
    </row>
    <row r="454" spans="2:2" ht="15.75" customHeight="1" x14ac:dyDescent="0.3">
      <c r="B454" s="116"/>
    </row>
    <row r="455" spans="2:2" ht="15.75" customHeight="1" x14ac:dyDescent="0.3">
      <c r="B455" s="116"/>
    </row>
    <row r="456" spans="2:2" ht="15.75" customHeight="1" x14ac:dyDescent="0.3">
      <c r="B456" s="116"/>
    </row>
    <row r="457" spans="2:2" ht="15.75" customHeight="1" x14ac:dyDescent="0.3">
      <c r="B457" s="116"/>
    </row>
    <row r="458" spans="2:2" ht="15.75" customHeight="1" x14ac:dyDescent="0.3">
      <c r="B458" s="116"/>
    </row>
    <row r="459" spans="2:2" ht="15.75" customHeight="1" x14ac:dyDescent="0.3">
      <c r="B459" s="116"/>
    </row>
    <row r="460" spans="2:2" ht="15.75" customHeight="1" x14ac:dyDescent="0.3">
      <c r="B460" s="116"/>
    </row>
    <row r="461" spans="2:2" ht="15.75" customHeight="1" x14ac:dyDescent="0.3">
      <c r="B461" s="116"/>
    </row>
    <row r="462" spans="2:2" ht="15.75" customHeight="1" x14ac:dyDescent="0.3">
      <c r="B462" s="116"/>
    </row>
    <row r="463" spans="2:2" ht="15.75" customHeight="1" x14ac:dyDescent="0.3">
      <c r="B463" s="116"/>
    </row>
    <row r="464" spans="2:2" ht="15.75" customHeight="1" x14ac:dyDescent="0.3">
      <c r="B464" s="116"/>
    </row>
    <row r="465" spans="2:2" ht="15.75" customHeight="1" x14ac:dyDescent="0.3">
      <c r="B465" s="116"/>
    </row>
    <row r="466" spans="2:2" ht="15.75" customHeight="1" x14ac:dyDescent="0.3">
      <c r="B466" s="116"/>
    </row>
    <row r="467" spans="2:2" ht="15.75" customHeight="1" x14ac:dyDescent="0.3">
      <c r="B467" s="116"/>
    </row>
    <row r="468" spans="2:2" ht="15.75" customHeight="1" x14ac:dyDescent="0.3">
      <c r="B468" s="116"/>
    </row>
    <row r="469" spans="2:2" ht="15.75" customHeight="1" x14ac:dyDescent="0.3">
      <c r="B469" s="116"/>
    </row>
    <row r="470" spans="2:2" ht="15.75" customHeight="1" x14ac:dyDescent="0.3">
      <c r="B470" s="116"/>
    </row>
    <row r="471" spans="2:2" ht="15.75" customHeight="1" x14ac:dyDescent="0.3">
      <c r="B471" s="116"/>
    </row>
    <row r="472" spans="2:2" ht="15.75" customHeight="1" x14ac:dyDescent="0.3">
      <c r="B472" s="116"/>
    </row>
    <row r="473" spans="2:2" ht="15.75" customHeight="1" x14ac:dyDescent="0.3">
      <c r="B473" s="116"/>
    </row>
    <row r="474" spans="2:2" ht="15.75" customHeight="1" x14ac:dyDescent="0.3">
      <c r="B474" s="116"/>
    </row>
    <row r="475" spans="2:2" ht="15.75" customHeight="1" x14ac:dyDescent="0.3">
      <c r="B475" s="116"/>
    </row>
    <row r="476" spans="2:2" ht="15.75" customHeight="1" x14ac:dyDescent="0.3">
      <c r="B476" s="116"/>
    </row>
    <row r="477" spans="2:2" ht="15.75" customHeight="1" x14ac:dyDescent="0.3">
      <c r="B477" s="116"/>
    </row>
    <row r="478" spans="2:2" ht="15.75" customHeight="1" x14ac:dyDescent="0.3">
      <c r="B478" s="116"/>
    </row>
    <row r="479" spans="2:2" ht="15.75" customHeight="1" x14ac:dyDescent="0.3">
      <c r="B479" s="116"/>
    </row>
    <row r="480" spans="2:2" ht="15.75" customHeight="1" x14ac:dyDescent="0.3">
      <c r="B480" s="116"/>
    </row>
    <row r="481" spans="2:2" ht="15.75" customHeight="1" x14ac:dyDescent="0.3">
      <c r="B481" s="116"/>
    </row>
    <row r="482" spans="2:2" ht="15.75" customHeight="1" x14ac:dyDescent="0.3">
      <c r="B482" s="116"/>
    </row>
    <row r="483" spans="2:2" ht="15.75" customHeight="1" x14ac:dyDescent="0.3">
      <c r="B483" s="116"/>
    </row>
    <row r="484" spans="2:2" ht="15.75" customHeight="1" x14ac:dyDescent="0.3">
      <c r="B484" s="116"/>
    </row>
    <row r="485" spans="2:2" ht="15.75" customHeight="1" x14ac:dyDescent="0.3">
      <c r="B485" s="116"/>
    </row>
    <row r="486" spans="2:2" ht="15.75" customHeight="1" x14ac:dyDescent="0.3">
      <c r="B486" s="116"/>
    </row>
    <row r="487" spans="2:2" ht="15.75" customHeight="1" x14ac:dyDescent="0.3">
      <c r="B487" s="116"/>
    </row>
    <row r="488" spans="2:2" ht="15.75" customHeight="1" x14ac:dyDescent="0.3">
      <c r="B488" s="116"/>
    </row>
    <row r="489" spans="2:2" ht="15.75" customHeight="1" x14ac:dyDescent="0.3">
      <c r="B489" s="116"/>
    </row>
    <row r="490" spans="2:2" ht="15.75" customHeight="1" x14ac:dyDescent="0.3">
      <c r="B490" s="116"/>
    </row>
    <row r="491" spans="2:2" ht="15.75" customHeight="1" x14ac:dyDescent="0.3">
      <c r="B491" s="116"/>
    </row>
    <row r="492" spans="2:2" ht="15.75" customHeight="1" x14ac:dyDescent="0.3">
      <c r="B492" s="116"/>
    </row>
    <row r="493" spans="2:2" ht="15.75" customHeight="1" x14ac:dyDescent="0.3">
      <c r="B493" s="116"/>
    </row>
    <row r="494" spans="2:2" ht="15.75" customHeight="1" x14ac:dyDescent="0.3">
      <c r="B494" s="116"/>
    </row>
    <row r="495" spans="2:2" ht="15.75" customHeight="1" x14ac:dyDescent="0.3">
      <c r="B495" s="116"/>
    </row>
    <row r="496" spans="2:2" ht="15.75" customHeight="1" x14ac:dyDescent="0.3">
      <c r="B496" s="116"/>
    </row>
    <row r="497" spans="2:2" ht="15.75" customHeight="1" x14ac:dyDescent="0.3">
      <c r="B497" s="116"/>
    </row>
    <row r="498" spans="2:2" ht="15.75" customHeight="1" x14ac:dyDescent="0.3">
      <c r="B498" s="116"/>
    </row>
    <row r="499" spans="2:2" ht="15.75" customHeight="1" x14ac:dyDescent="0.3">
      <c r="B499" s="116"/>
    </row>
    <row r="500" spans="2:2" ht="15.75" customHeight="1" x14ac:dyDescent="0.3">
      <c r="B500" s="116"/>
    </row>
    <row r="501" spans="2:2" ht="15.75" customHeight="1" x14ac:dyDescent="0.3">
      <c r="B501" s="116"/>
    </row>
    <row r="502" spans="2:2" ht="15.75" customHeight="1" x14ac:dyDescent="0.3">
      <c r="B502" s="116"/>
    </row>
    <row r="503" spans="2:2" ht="15.75" customHeight="1" x14ac:dyDescent="0.3">
      <c r="B503" s="116"/>
    </row>
    <row r="504" spans="2:2" ht="15.75" customHeight="1" x14ac:dyDescent="0.3">
      <c r="B504" s="116"/>
    </row>
    <row r="505" spans="2:2" ht="15.75" customHeight="1" x14ac:dyDescent="0.3">
      <c r="B505" s="116"/>
    </row>
    <row r="506" spans="2:2" ht="15.75" customHeight="1" x14ac:dyDescent="0.3">
      <c r="B506" s="116"/>
    </row>
    <row r="507" spans="2:2" ht="15.75" customHeight="1" x14ac:dyDescent="0.3">
      <c r="B507" s="116"/>
    </row>
    <row r="508" spans="2:2" ht="15.75" customHeight="1" x14ac:dyDescent="0.3">
      <c r="B508" s="116"/>
    </row>
    <row r="509" spans="2:2" ht="15.75" customHeight="1" x14ac:dyDescent="0.3">
      <c r="B509" s="116"/>
    </row>
    <row r="510" spans="2:2" ht="15.75" customHeight="1" x14ac:dyDescent="0.3">
      <c r="B510" s="116"/>
    </row>
    <row r="511" spans="2:2" ht="15.75" customHeight="1" x14ac:dyDescent="0.3">
      <c r="B511" s="116"/>
    </row>
    <row r="512" spans="2:2" ht="15.75" customHeight="1" x14ac:dyDescent="0.3">
      <c r="B512" s="116"/>
    </row>
    <row r="513" spans="2:2" ht="15.75" customHeight="1" x14ac:dyDescent="0.3">
      <c r="B513" s="116"/>
    </row>
    <row r="514" spans="2:2" ht="15.75" customHeight="1" x14ac:dyDescent="0.3">
      <c r="B514" s="116"/>
    </row>
    <row r="515" spans="2:2" ht="15.75" customHeight="1" x14ac:dyDescent="0.3">
      <c r="B515" s="116"/>
    </row>
    <row r="516" spans="2:2" ht="15.75" customHeight="1" x14ac:dyDescent="0.3">
      <c r="B516" s="116"/>
    </row>
    <row r="517" spans="2:2" ht="15.75" customHeight="1" x14ac:dyDescent="0.3">
      <c r="B517" s="116"/>
    </row>
    <row r="518" spans="2:2" ht="15.75" customHeight="1" x14ac:dyDescent="0.3">
      <c r="B518" s="116"/>
    </row>
    <row r="519" spans="2:2" ht="15.75" customHeight="1" x14ac:dyDescent="0.3">
      <c r="B519" s="116"/>
    </row>
    <row r="520" spans="2:2" ht="15.75" customHeight="1" x14ac:dyDescent="0.3">
      <c r="B520" s="116"/>
    </row>
    <row r="521" spans="2:2" ht="15.75" customHeight="1" x14ac:dyDescent="0.3">
      <c r="B521" s="116"/>
    </row>
    <row r="522" spans="2:2" ht="15.75" customHeight="1" x14ac:dyDescent="0.3">
      <c r="B522" s="116"/>
    </row>
    <row r="523" spans="2:2" ht="15.75" customHeight="1" x14ac:dyDescent="0.3">
      <c r="B523" s="116"/>
    </row>
    <row r="524" spans="2:2" ht="15.75" customHeight="1" x14ac:dyDescent="0.3">
      <c r="B524" s="116"/>
    </row>
    <row r="525" spans="2:2" ht="15.75" customHeight="1" x14ac:dyDescent="0.3">
      <c r="B525" s="116"/>
    </row>
    <row r="526" spans="2:2" ht="15.75" customHeight="1" x14ac:dyDescent="0.3">
      <c r="B526" s="116"/>
    </row>
    <row r="527" spans="2:2" ht="15.75" customHeight="1" x14ac:dyDescent="0.3">
      <c r="B527" s="116"/>
    </row>
    <row r="528" spans="2:2" ht="15.75" customHeight="1" x14ac:dyDescent="0.3">
      <c r="B528" s="116"/>
    </row>
    <row r="529" spans="2:2" ht="15.75" customHeight="1" x14ac:dyDescent="0.3">
      <c r="B529" s="116"/>
    </row>
    <row r="530" spans="2:2" ht="15.75" customHeight="1" x14ac:dyDescent="0.3">
      <c r="B530" s="116"/>
    </row>
    <row r="531" spans="2:2" ht="15.75" customHeight="1" x14ac:dyDescent="0.3">
      <c r="B531" s="116"/>
    </row>
    <row r="532" spans="2:2" ht="15.75" customHeight="1" x14ac:dyDescent="0.3">
      <c r="B532" s="116"/>
    </row>
    <row r="533" spans="2:2" ht="15.75" customHeight="1" x14ac:dyDescent="0.3">
      <c r="B533" s="116"/>
    </row>
    <row r="534" spans="2:2" ht="15.75" customHeight="1" x14ac:dyDescent="0.3">
      <c r="B534" s="116"/>
    </row>
    <row r="535" spans="2:2" ht="15.75" customHeight="1" x14ac:dyDescent="0.3">
      <c r="B535" s="116"/>
    </row>
    <row r="536" spans="2:2" ht="15.75" customHeight="1" x14ac:dyDescent="0.3">
      <c r="B536" s="116"/>
    </row>
    <row r="537" spans="2:2" ht="15.75" customHeight="1" x14ac:dyDescent="0.3">
      <c r="B537" s="116"/>
    </row>
    <row r="538" spans="2:2" ht="15.75" customHeight="1" x14ac:dyDescent="0.3">
      <c r="B538" s="116"/>
    </row>
    <row r="539" spans="2:2" ht="15.75" customHeight="1" x14ac:dyDescent="0.3">
      <c r="B539" s="116"/>
    </row>
    <row r="540" spans="2:2" ht="15.75" customHeight="1" x14ac:dyDescent="0.3">
      <c r="B540" s="116"/>
    </row>
    <row r="541" spans="2:2" ht="15.75" customHeight="1" x14ac:dyDescent="0.3">
      <c r="B541" s="116"/>
    </row>
    <row r="542" spans="2:2" ht="15.75" customHeight="1" x14ac:dyDescent="0.3">
      <c r="B542" s="116"/>
    </row>
    <row r="543" spans="2:2" ht="15.75" customHeight="1" x14ac:dyDescent="0.3">
      <c r="B543" s="116"/>
    </row>
    <row r="544" spans="2:2" ht="15.75" customHeight="1" x14ac:dyDescent="0.3">
      <c r="B544" s="116"/>
    </row>
    <row r="545" spans="2:2" ht="15.75" customHeight="1" x14ac:dyDescent="0.3">
      <c r="B545" s="116"/>
    </row>
    <row r="546" spans="2:2" ht="15.75" customHeight="1" x14ac:dyDescent="0.3">
      <c r="B546" s="116"/>
    </row>
    <row r="547" spans="2:2" ht="15.75" customHeight="1" x14ac:dyDescent="0.3">
      <c r="B547" s="116"/>
    </row>
    <row r="548" spans="2:2" ht="15.75" customHeight="1" x14ac:dyDescent="0.3">
      <c r="B548" s="116"/>
    </row>
    <row r="549" spans="2:2" ht="15.75" customHeight="1" x14ac:dyDescent="0.3">
      <c r="B549" s="116"/>
    </row>
    <row r="550" spans="2:2" ht="15.75" customHeight="1" x14ac:dyDescent="0.3">
      <c r="B550" s="116"/>
    </row>
    <row r="551" spans="2:2" ht="15.75" customHeight="1" x14ac:dyDescent="0.3">
      <c r="B551" s="116"/>
    </row>
    <row r="552" spans="2:2" ht="15.75" customHeight="1" x14ac:dyDescent="0.3">
      <c r="B552" s="116"/>
    </row>
    <row r="553" spans="2:2" ht="15.75" customHeight="1" x14ac:dyDescent="0.3">
      <c r="B553" s="116"/>
    </row>
    <row r="554" spans="2:2" ht="15.75" customHeight="1" x14ac:dyDescent="0.3">
      <c r="B554" s="116"/>
    </row>
    <row r="555" spans="2:2" ht="15.75" customHeight="1" x14ac:dyDescent="0.3">
      <c r="B555" s="116"/>
    </row>
    <row r="556" spans="2:2" ht="15.75" customHeight="1" x14ac:dyDescent="0.3">
      <c r="B556" s="116"/>
    </row>
    <row r="557" spans="2:2" ht="15.75" customHeight="1" x14ac:dyDescent="0.3">
      <c r="B557" s="116"/>
    </row>
    <row r="558" spans="2:2" ht="15.75" customHeight="1" x14ac:dyDescent="0.3">
      <c r="B558" s="116"/>
    </row>
    <row r="559" spans="2:2" ht="15.75" customHeight="1" x14ac:dyDescent="0.3">
      <c r="B559" s="116"/>
    </row>
    <row r="560" spans="2:2" ht="15.75" customHeight="1" x14ac:dyDescent="0.3">
      <c r="B560" s="116"/>
    </row>
    <row r="561" spans="2:2" ht="15.75" customHeight="1" x14ac:dyDescent="0.3">
      <c r="B561" s="116"/>
    </row>
    <row r="562" spans="2:2" ht="15.75" customHeight="1" x14ac:dyDescent="0.3">
      <c r="B562" s="116"/>
    </row>
    <row r="563" spans="2:2" ht="15.75" customHeight="1" x14ac:dyDescent="0.3">
      <c r="B563" s="116"/>
    </row>
    <row r="564" spans="2:2" ht="15.75" customHeight="1" x14ac:dyDescent="0.3">
      <c r="B564" s="116"/>
    </row>
    <row r="565" spans="2:2" ht="15.75" customHeight="1" x14ac:dyDescent="0.3">
      <c r="B565" s="116"/>
    </row>
    <row r="566" spans="2:2" ht="15.75" customHeight="1" x14ac:dyDescent="0.3">
      <c r="B566" s="116"/>
    </row>
    <row r="567" spans="2:2" ht="15.75" customHeight="1" x14ac:dyDescent="0.3">
      <c r="B567" s="116"/>
    </row>
    <row r="568" spans="2:2" ht="15.75" customHeight="1" x14ac:dyDescent="0.3">
      <c r="B568" s="116"/>
    </row>
    <row r="569" spans="2:2" ht="15.75" customHeight="1" x14ac:dyDescent="0.3">
      <c r="B569" s="116"/>
    </row>
    <row r="570" spans="2:2" ht="15.75" customHeight="1" x14ac:dyDescent="0.3">
      <c r="B570" s="116"/>
    </row>
    <row r="571" spans="2:2" ht="15.75" customHeight="1" x14ac:dyDescent="0.3">
      <c r="B571" s="116"/>
    </row>
    <row r="572" spans="2:2" ht="15.75" customHeight="1" x14ac:dyDescent="0.3">
      <c r="B572" s="116"/>
    </row>
    <row r="573" spans="2:2" ht="15.75" customHeight="1" x14ac:dyDescent="0.3">
      <c r="B573" s="116"/>
    </row>
    <row r="574" spans="2:2" ht="15.75" customHeight="1" x14ac:dyDescent="0.3">
      <c r="B574" s="116"/>
    </row>
    <row r="575" spans="2:2" ht="15.75" customHeight="1" x14ac:dyDescent="0.3">
      <c r="B575" s="116"/>
    </row>
    <row r="576" spans="2:2" ht="15.75" customHeight="1" x14ac:dyDescent="0.3">
      <c r="B576" s="116"/>
    </row>
    <row r="577" spans="2:2" ht="15.75" customHeight="1" x14ac:dyDescent="0.3">
      <c r="B577" s="116"/>
    </row>
    <row r="578" spans="2:2" ht="15.75" customHeight="1" x14ac:dyDescent="0.3">
      <c r="B578" s="116"/>
    </row>
    <row r="579" spans="2:2" ht="15.75" customHeight="1" x14ac:dyDescent="0.3">
      <c r="B579" s="116"/>
    </row>
    <row r="580" spans="2:2" ht="15.75" customHeight="1" x14ac:dyDescent="0.3">
      <c r="B580" s="116"/>
    </row>
    <row r="581" spans="2:2" ht="15.75" customHeight="1" x14ac:dyDescent="0.3">
      <c r="B581" s="116"/>
    </row>
    <row r="582" spans="2:2" ht="15.75" customHeight="1" x14ac:dyDescent="0.3">
      <c r="B582" s="116"/>
    </row>
    <row r="583" spans="2:2" ht="15.75" customHeight="1" x14ac:dyDescent="0.3">
      <c r="B583" s="116"/>
    </row>
    <row r="584" spans="2:2" ht="15.75" customHeight="1" x14ac:dyDescent="0.3">
      <c r="B584" s="116"/>
    </row>
    <row r="585" spans="2:2" ht="15.75" customHeight="1" x14ac:dyDescent="0.3">
      <c r="B585" s="116"/>
    </row>
    <row r="586" spans="2:2" ht="15.75" customHeight="1" x14ac:dyDescent="0.3">
      <c r="B586" s="116"/>
    </row>
    <row r="587" spans="2:2" ht="15.75" customHeight="1" x14ac:dyDescent="0.3">
      <c r="B587" s="116"/>
    </row>
    <row r="588" spans="2:2" ht="15.75" customHeight="1" x14ac:dyDescent="0.3">
      <c r="B588" s="116"/>
    </row>
    <row r="589" spans="2:2" ht="15.75" customHeight="1" x14ac:dyDescent="0.3">
      <c r="B589" s="116"/>
    </row>
    <row r="590" spans="2:2" ht="15.75" customHeight="1" x14ac:dyDescent="0.3">
      <c r="B590" s="116"/>
    </row>
    <row r="591" spans="2:2" ht="15.75" customHeight="1" x14ac:dyDescent="0.3">
      <c r="B591" s="116"/>
    </row>
    <row r="592" spans="2:2" ht="15.75" customHeight="1" x14ac:dyDescent="0.3">
      <c r="B592" s="116"/>
    </row>
    <row r="593" spans="2:2" ht="15.75" customHeight="1" x14ac:dyDescent="0.3">
      <c r="B593" s="116"/>
    </row>
    <row r="594" spans="2:2" ht="15.75" customHeight="1" x14ac:dyDescent="0.3">
      <c r="B594" s="116"/>
    </row>
    <row r="595" spans="2:2" ht="15.75" customHeight="1" x14ac:dyDescent="0.3">
      <c r="B595" s="116"/>
    </row>
    <row r="596" spans="2:2" ht="15.75" customHeight="1" x14ac:dyDescent="0.3">
      <c r="B596" s="116"/>
    </row>
    <row r="597" spans="2:2" ht="15.75" customHeight="1" x14ac:dyDescent="0.3">
      <c r="B597" s="116"/>
    </row>
    <row r="598" spans="2:2" ht="15.75" customHeight="1" x14ac:dyDescent="0.3">
      <c r="B598" s="116"/>
    </row>
    <row r="599" spans="2:2" ht="15.75" customHeight="1" x14ac:dyDescent="0.3">
      <c r="B599" s="116"/>
    </row>
    <row r="600" spans="2:2" ht="15.75" customHeight="1" x14ac:dyDescent="0.3">
      <c r="B600" s="116"/>
    </row>
    <row r="601" spans="2:2" ht="15.75" customHeight="1" x14ac:dyDescent="0.3">
      <c r="B601" s="116"/>
    </row>
    <row r="602" spans="2:2" ht="15.75" customHeight="1" x14ac:dyDescent="0.3">
      <c r="B602" s="116"/>
    </row>
    <row r="603" spans="2:2" ht="15.75" customHeight="1" x14ac:dyDescent="0.3">
      <c r="B603" s="116"/>
    </row>
    <row r="604" spans="2:2" ht="15.75" customHeight="1" x14ac:dyDescent="0.3">
      <c r="B604" s="116"/>
    </row>
    <row r="605" spans="2:2" ht="15.75" customHeight="1" x14ac:dyDescent="0.3">
      <c r="B605" s="116"/>
    </row>
    <row r="606" spans="2:2" ht="15.75" customHeight="1" x14ac:dyDescent="0.3">
      <c r="B606" s="116"/>
    </row>
    <row r="607" spans="2:2" ht="15.75" customHeight="1" x14ac:dyDescent="0.3">
      <c r="B607" s="116"/>
    </row>
    <row r="608" spans="2:2" ht="15.75" customHeight="1" x14ac:dyDescent="0.3">
      <c r="B608" s="116"/>
    </row>
    <row r="609" spans="2:2" ht="15.75" customHeight="1" x14ac:dyDescent="0.3">
      <c r="B609" s="116"/>
    </row>
    <row r="610" spans="2:2" ht="15.75" customHeight="1" x14ac:dyDescent="0.3">
      <c r="B610" s="116"/>
    </row>
    <row r="611" spans="2:2" ht="15.75" customHeight="1" x14ac:dyDescent="0.3">
      <c r="B611" s="116"/>
    </row>
    <row r="612" spans="2:2" ht="15.75" customHeight="1" x14ac:dyDescent="0.3">
      <c r="B612" s="116"/>
    </row>
    <row r="613" spans="2:2" ht="15.75" customHeight="1" x14ac:dyDescent="0.3">
      <c r="B613" s="116"/>
    </row>
    <row r="614" spans="2:2" ht="15.75" customHeight="1" x14ac:dyDescent="0.3">
      <c r="B614" s="116"/>
    </row>
    <row r="615" spans="2:2" ht="15.75" customHeight="1" x14ac:dyDescent="0.3">
      <c r="B615" s="116"/>
    </row>
    <row r="616" spans="2:2" ht="15.75" customHeight="1" x14ac:dyDescent="0.3">
      <c r="B616" s="116"/>
    </row>
    <row r="617" spans="2:2" ht="15.75" customHeight="1" x14ac:dyDescent="0.3">
      <c r="B617" s="116"/>
    </row>
    <row r="618" spans="2:2" ht="15.75" customHeight="1" x14ac:dyDescent="0.3">
      <c r="B618" s="116"/>
    </row>
    <row r="619" spans="2:2" ht="15.75" customHeight="1" x14ac:dyDescent="0.3">
      <c r="B619" s="116"/>
    </row>
    <row r="620" spans="2:2" ht="15.75" customHeight="1" x14ac:dyDescent="0.3">
      <c r="B620" s="116"/>
    </row>
    <row r="621" spans="2:2" ht="15.75" customHeight="1" x14ac:dyDescent="0.3">
      <c r="B621" s="116"/>
    </row>
    <row r="622" spans="2:2" ht="15.75" customHeight="1" x14ac:dyDescent="0.3">
      <c r="B622" s="116"/>
    </row>
    <row r="623" spans="2:2" ht="15.75" customHeight="1" x14ac:dyDescent="0.3">
      <c r="B623" s="116"/>
    </row>
    <row r="624" spans="2:2" ht="15.75" customHeight="1" x14ac:dyDescent="0.3">
      <c r="B624" s="116"/>
    </row>
    <row r="625" spans="2:2" ht="15.75" customHeight="1" x14ac:dyDescent="0.3">
      <c r="B625" s="116"/>
    </row>
    <row r="626" spans="2:2" ht="15.75" customHeight="1" x14ac:dyDescent="0.3">
      <c r="B626" s="116"/>
    </row>
    <row r="627" spans="2:2" ht="15.75" customHeight="1" x14ac:dyDescent="0.3">
      <c r="B627" s="116"/>
    </row>
    <row r="628" spans="2:2" ht="15.75" customHeight="1" x14ac:dyDescent="0.3">
      <c r="B628" s="116"/>
    </row>
    <row r="629" spans="2:2" ht="15.75" customHeight="1" x14ac:dyDescent="0.3">
      <c r="B629" s="116"/>
    </row>
    <row r="630" spans="2:2" ht="15.75" customHeight="1" x14ac:dyDescent="0.3">
      <c r="B630" s="116"/>
    </row>
    <row r="631" spans="2:2" ht="15.75" customHeight="1" x14ac:dyDescent="0.3">
      <c r="B631" s="116"/>
    </row>
    <row r="632" spans="2:2" ht="15.75" customHeight="1" x14ac:dyDescent="0.3">
      <c r="B632" s="116"/>
    </row>
    <row r="633" spans="2:2" ht="15.75" customHeight="1" x14ac:dyDescent="0.3">
      <c r="B633" s="116"/>
    </row>
    <row r="634" spans="2:2" ht="15.75" customHeight="1" x14ac:dyDescent="0.3">
      <c r="B634" s="116"/>
    </row>
    <row r="635" spans="2:2" ht="15.75" customHeight="1" x14ac:dyDescent="0.3">
      <c r="B635" s="116"/>
    </row>
    <row r="636" spans="2:2" ht="15.75" customHeight="1" x14ac:dyDescent="0.3">
      <c r="B636" s="116"/>
    </row>
    <row r="637" spans="2:2" ht="15.75" customHeight="1" x14ac:dyDescent="0.3">
      <c r="B637" s="116"/>
    </row>
    <row r="638" spans="2:2" ht="15.75" customHeight="1" x14ac:dyDescent="0.3">
      <c r="B638" s="116"/>
    </row>
    <row r="639" spans="2:2" ht="15.75" customHeight="1" x14ac:dyDescent="0.3">
      <c r="B639" s="116"/>
    </row>
    <row r="640" spans="2:2" ht="15.75" customHeight="1" x14ac:dyDescent="0.3">
      <c r="B640" s="116"/>
    </row>
    <row r="641" spans="2:2" ht="15.75" customHeight="1" x14ac:dyDescent="0.3">
      <c r="B641" s="116"/>
    </row>
    <row r="642" spans="2:2" ht="15.75" customHeight="1" x14ac:dyDescent="0.3">
      <c r="B642" s="116"/>
    </row>
    <row r="643" spans="2:2" ht="15.75" customHeight="1" x14ac:dyDescent="0.3">
      <c r="B643" s="116"/>
    </row>
    <row r="644" spans="2:2" ht="15.75" customHeight="1" x14ac:dyDescent="0.3">
      <c r="B644" s="116"/>
    </row>
    <row r="645" spans="2:2" ht="15.75" customHeight="1" x14ac:dyDescent="0.3">
      <c r="B645" s="116"/>
    </row>
    <row r="646" spans="2:2" ht="15.75" customHeight="1" x14ac:dyDescent="0.3">
      <c r="B646" s="116"/>
    </row>
    <row r="647" spans="2:2" ht="15.75" customHeight="1" x14ac:dyDescent="0.3">
      <c r="B647" s="116"/>
    </row>
    <row r="648" spans="2:2" ht="15.75" customHeight="1" x14ac:dyDescent="0.3">
      <c r="B648" s="116"/>
    </row>
    <row r="649" spans="2:2" ht="15.75" customHeight="1" x14ac:dyDescent="0.3">
      <c r="B649" s="116"/>
    </row>
    <row r="650" spans="2:2" ht="15.75" customHeight="1" x14ac:dyDescent="0.3">
      <c r="B650" s="116"/>
    </row>
    <row r="651" spans="2:2" ht="15.75" customHeight="1" x14ac:dyDescent="0.3">
      <c r="B651" s="116"/>
    </row>
    <row r="652" spans="2:2" ht="15.75" customHeight="1" x14ac:dyDescent="0.3">
      <c r="B652" s="116"/>
    </row>
    <row r="653" spans="2:2" ht="15.75" customHeight="1" x14ac:dyDescent="0.3">
      <c r="B653" s="116"/>
    </row>
    <row r="654" spans="2:2" ht="15.75" customHeight="1" x14ac:dyDescent="0.3">
      <c r="B654" s="116"/>
    </row>
    <row r="655" spans="2:2" ht="15.75" customHeight="1" x14ac:dyDescent="0.3">
      <c r="B655" s="116"/>
    </row>
    <row r="656" spans="2:2" ht="15.75" customHeight="1" x14ac:dyDescent="0.3">
      <c r="B656" s="116"/>
    </row>
    <row r="657" spans="2:2" ht="15.75" customHeight="1" x14ac:dyDescent="0.3">
      <c r="B657" s="116"/>
    </row>
    <row r="658" spans="2:2" ht="15.75" customHeight="1" x14ac:dyDescent="0.3">
      <c r="B658" s="116"/>
    </row>
    <row r="659" spans="2:2" ht="15.75" customHeight="1" x14ac:dyDescent="0.3">
      <c r="B659" s="116"/>
    </row>
    <row r="660" spans="2:2" ht="15.75" customHeight="1" x14ac:dyDescent="0.3">
      <c r="B660" s="116"/>
    </row>
    <row r="661" spans="2:2" ht="15.75" customHeight="1" x14ac:dyDescent="0.3">
      <c r="B661" s="116"/>
    </row>
    <row r="662" spans="2:2" ht="15.75" customHeight="1" x14ac:dyDescent="0.3">
      <c r="B662" s="116"/>
    </row>
    <row r="663" spans="2:2" ht="15.75" customHeight="1" x14ac:dyDescent="0.3">
      <c r="B663" s="116"/>
    </row>
    <row r="664" spans="2:2" ht="15.75" customHeight="1" x14ac:dyDescent="0.3">
      <c r="B664" s="116"/>
    </row>
    <row r="665" spans="2:2" ht="15.75" customHeight="1" x14ac:dyDescent="0.3">
      <c r="B665" s="116"/>
    </row>
    <row r="666" spans="2:2" ht="15.75" customHeight="1" x14ac:dyDescent="0.3">
      <c r="B666" s="116"/>
    </row>
    <row r="667" spans="2:2" ht="15.75" customHeight="1" x14ac:dyDescent="0.3">
      <c r="B667" s="116"/>
    </row>
    <row r="668" spans="2:2" ht="15.75" customHeight="1" x14ac:dyDescent="0.3">
      <c r="B668" s="116"/>
    </row>
    <row r="669" spans="2:2" ht="15.75" customHeight="1" x14ac:dyDescent="0.3">
      <c r="B669" s="116"/>
    </row>
    <row r="670" spans="2:2" ht="15.75" customHeight="1" x14ac:dyDescent="0.3">
      <c r="B670" s="116"/>
    </row>
    <row r="671" spans="2:2" ht="15.75" customHeight="1" x14ac:dyDescent="0.3">
      <c r="B671" s="116"/>
    </row>
    <row r="672" spans="2:2" ht="15.75" customHeight="1" x14ac:dyDescent="0.3">
      <c r="B672" s="116"/>
    </row>
    <row r="673" spans="2:2" ht="15.75" customHeight="1" x14ac:dyDescent="0.3">
      <c r="B673" s="116"/>
    </row>
    <row r="674" spans="2:2" ht="15.75" customHeight="1" x14ac:dyDescent="0.3">
      <c r="B674" s="116"/>
    </row>
    <row r="675" spans="2:2" ht="15.75" customHeight="1" x14ac:dyDescent="0.3">
      <c r="B675" s="116"/>
    </row>
    <row r="676" spans="2:2" ht="15.75" customHeight="1" x14ac:dyDescent="0.3">
      <c r="B676" s="116"/>
    </row>
    <row r="677" spans="2:2" ht="15.75" customHeight="1" x14ac:dyDescent="0.3">
      <c r="B677" s="116"/>
    </row>
    <row r="678" spans="2:2" ht="15.75" customHeight="1" x14ac:dyDescent="0.3">
      <c r="B678" s="116"/>
    </row>
    <row r="679" spans="2:2" ht="15.75" customHeight="1" x14ac:dyDescent="0.3">
      <c r="B679" s="116"/>
    </row>
    <row r="680" spans="2:2" ht="15.75" customHeight="1" x14ac:dyDescent="0.3">
      <c r="B680" s="116"/>
    </row>
    <row r="681" spans="2:2" ht="15.75" customHeight="1" x14ac:dyDescent="0.3">
      <c r="B681" s="116"/>
    </row>
    <row r="682" spans="2:2" ht="15.75" customHeight="1" x14ac:dyDescent="0.3">
      <c r="B682" s="116"/>
    </row>
    <row r="683" spans="2:2" ht="15.75" customHeight="1" x14ac:dyDescent="0.3">
      <c r="B683" s="116"/>
    </row>
    <row r="684" spans="2:2" ht="15.75" customHeight="1" x14ac:dyDescent="0.3">
      <c r="B684" s="116"/>
    </row>
    <row r="685" spans="2:2" ht="15.75" customHeight="1" x14ac:dyDescent="0.3">
      <c r="B685" s="116"/>
    </row>
    <row r="686" spans="2:2" ht="15.75" customHeight="1" x14ac:dyDescent="0.3">
      <c r="B686" s="116"/>
    </row>
    <row r="687" spans="2:2" ht="15.75" customHeight="1" x14ac:dyDescent="0.3">
      <c r="B687" s="116"/>
    </row>
    <row r="688" spans="2:2" ht="15.75" customHeight="1" x14ac:dyDescent="0.3">
      <c r="B688" s="116"/>
    </row>
    <row r="689" spans="2:2" ht="15.75" customHeight="1" x14ac:dyDescent="0.3">
      <c r="B689" s="116"/>
    </row>
    <row r="690" spans="2:2" ht="15.75" customHeight="1" x14ac:dyDescent="0.3">
      <c r="B690" s="116"/>
    </row>
    <row r="691" spans="2:2" ht="15.75" customHeight="1" x14ac:dyDescent="0.3">
      <c r="B691" s="116"/>
    </row>
    <row r="692" spans="2:2" ht="15.75" customHeight="1" x14ac:dyDescent="0.3">
      <c r="B692" s="116"/>
    </row>
    <row r="693" spans="2:2" ht="15.75" customHeight="1" x14ac:dyDescent="0.3">
      <c r="B693" s="116"/>
    </row>
    <row r="694" spans="2:2" ht="15.75" customHeight="1" x14ac:dyDescent="0.3">
      <c r="B694" s="116"/>
    </row>
    <row r="695" spans="2:2" ht="15.75" customHeight="1" x14ac:dyDescent="0.3">
      <c r="B695" s="116"/>
    </row>
    <row r="696" spans="2:2" ht="15.75" customHeight="1" x14ac:dyDescent="0.3">
      <c r="B696" s="116"/>
    </row>
    <row r="697" spans="2:2" ht="15.75" customHeight="1" x14ac:dyDescent="0.3">
      <c r="B697" s="116"/>
    </row>
    <row r="698" spans="2:2" ht="15.75" customHeight="1" x14ac:dyDescent="0.3">
      <c r="B698" s="116"/>
    </row>
    <row r="699" spans="2:2" ht="15.75" customHeight="1" x14ac:dyDescent="0.3">
      <c r="B699" s="116"/>
    </row>
    <row r="700" spans="2:2" ht="15.75" customHeight="1" x14ac:dyDescent="0.3">
      <c r="B700" s="116"/>
    </row>
    <row r="701" spans="2:2" ht="15.75" customHeight="1" x14ac:dyDescent="0.3">
      <c r="B701" s="116"/>
    </row>
    <row r="702" spans="2:2" ht="15.75" customHeight="1" x14ac:dyDescent="0.3">
      <c r="B702" s="116"/>
    </row>
    <row r="703" spans="2:2" ht="15.75" customHeight="1" x14ac:dyDescent="0.3">
      <c r="B703" s="116"/>
    </row>
    <row r="704" spans="2:2" ht="15.75" customHeight="1" x14ac:dyDescent="0.3">
      <c r="B704" s="116"/>
    </row>
    <row r="705" spans="2:2" ht="15.75" customHeight="1" x14ac:dyDescent="0.3">
      <c r="B705" s="116"/>
    </row>
    <row r="706" spans="2:2" ht="15.75" customHeight="1" x14ac:dyDescent="0.3">
      <c r="B706" s="116"/>
    </row>
    <row r="707" spans="2:2" ht="15.75" customHeight="1" x14ac:dyDescent="0.3">
      <c r="B707" s="116"/>
    </row>
    <row r="708" spans="2:2" ht="15.75" customHeight="1" x14ac:dyDescent="0.3">
      <c r="B708" s="116"/>
    </row>
    <row r="709" spans="2:2" ht="15.75" customHeight="1" x14ac:dyDescent="0.3">
      <c r="B709" s="116"/>
    </row>
    <row r="710" spans="2:2" ht="15.75" customHeight="1" x14ac:dyDescent="0.3">
      <c r="B710" s="116"/>
    </row>
    <row r="711" spans="2:2" ht="15.75" customHeight="1" x14ac:dyDescent="0.3">
      <c r="B711" s="116"/>
    </row>
    <row r="712" spans="2:2" ht="15.75" customHeight="1" x14ac:dyDescent="0.3">
      <c r="B712" s="116"/>
    </row>
    <row r="713" spans="2:2" ht="15.75" customHeight="1" x14ac:dyDescent="0.3">
      <c r="B713" s="116"/>
    </row>
    <row r="714" spans="2:2" ht="15.75" customHeight="1" x14ac:dyDescent="0.3">
      <c r="B714" s="116"/>
    </row>
    <row r="715" spans="2:2" ht="15.75" customHeight="1" x14ac:dyDescent="0.3">
      <c r="B715" s="116"/>
    </row>
    <row r="716" spans="2:2" ht="15.75" customHeight="1" x14ac:dyDescent="0.3">
      <c r="B716" s="116"/>
    </row>
    <row r="717" spans="2:2" ht="15.75" customHeight="1" x14ac:dyDescent="0.3">
      <c r="B717" s="116"/>
    </row>
    <row r="718" spans="2:2" ht="15.75" customHeight="1" x14ac:dyDescent="0.3">
      <c r="B718" s="116"/>
    </row>
    <row r="719" spans="2:2" ht="15.75" customHeight="1" x14ac:dyDescent="0.3">
      <c r="B719" s="116"/>
    </row>
    <row r="720" spans="2:2" ht="15.75" customHeight="1" x14ac:dyDescent="0.3">
      <c r="B720" s="116"/>
    </row>
    <row r="721" spans="2:2" ht="15.75" customHeight="1" x14ac:dyDescent="0.3">
      <c r="B721" s="116"/>
    </row>
    <row r="722" spans="2:2" ht="15.75" customHeight="1" x14ac:dyDescent="0.3">
      <c r="B722" s="116"/>
    </row>
    <row r="723" spans="2:2" ht="15.75" customHeight="1" x14ac:dyDescent="0.3">
      <c r="B723" s="116"/>
    </row>
    <row r="724" spans="2:2" ht="15.75" customHeight="1" x14ac:dyDescent="0.3">
      <c r="B724" s="116"/>
    </row>
    <row r="725" spans="2:2" ht="15.75" customHeight="1" x14ac:dyDescent="0.3">
      <c r="B725" s="116"/>
    </row>
    <row r="726" spans="2:2" ht="15.75" customHeight="1" x14ac:dyDescent="0.3">
      <c r="B726" s="116"/>
    </row>
    <row r="727" spans="2:2" ht="15.75" customHeight="1" x14ac:dyDescent="0.3">
      <c r="B727" s="116"/>
    </row>
    <row r="728" spans="2:2" ht="15.75" customHeight="1" x14ac:dyDescent="0.3">
      <c r="B728" s="116"/>
    </row>
    <row r="729" spans="2:2" ht="15.75" customHeight="1" x14ac:dyDescent="0.3">
      <c r="B729" s="116"/>
    </row>
    <row r="730" spans="2:2" ht="15.75" customHeight="1" x14ac:dyDescent="0.3">
      <c r="B730" s="116"/>
    </row>
    <row r="731" spans="2:2" ht="15.75" customHeight="1" x14ac:dyDescent="0.3">
      <c r="B731" s="116"/>
    </row>
    <row r="732" spans="2:2" ht="15.75" customHeight="1" x14ac:dyDescent="0.3">
      <c r="B732" s="116"/>
    </row>
    <row r="733" spans="2:2" ht="15.75" customHeight="1" x14ac:dyDescent="0.3">
      <c r="B733" s="116"/>
    </row>
    <row r="734" spans="2:2" ht="15.75" customHeight="1" x14ac:dyDescent="0.3">
      <c r="B734" s="116"/>
    </row>
    <row r="735" spans="2:2" ht="15.75" customHeight="1" x14ac:dyDescent="0.3">
      <c r="B735" s="116"/>
    </row>
    <row r="736" spans="2:2" ht="15.75" customHeight="1" x14ac:dyDescent="0.3">
      <c r="B736" s="116"/>
    </row>
    <row r="737" spans="2:2" ht="15.75" customHeight="1" x14ac:dyDescent="0.3">
      <c r="B737" s="116"/>
    </row>
    <row r="738" spans="2:2" ht="15.75" customHeight="1" x14ac:dyDescent="0.3">
      <c r="B738" s="116"/>
    </row>
    <row r="739" spans="2:2" ht="15.75" customHeight="1" x14ac:dyDescent="0.3">
      <c r="B739" s="116"/>
    </row>
    <row r="740" spans="2:2" ht="15.75" customHeight="1" x14ac:dyDescent="0.3">
      <c r="B740" s="116"/>
    </row>
    <row r="741" spans="2:2" ht="15.75" customHeight="1" x14ac:dyDescent="0.3">
      <c r="B741" s="116"/>
    </row>
    <row r="742" spans="2:2" ht="15.75" customHeight="1" x14ac:dyDescent="0.3">
      <c r="B742" s="116"/>
    </row>
    <row r="743" spans="2:2" ht="15.75" customHeight="1" x14ac:dyDescent="0.3">
      <c r="B743" s="116"/>
    </row>
    <row r="744" spans="2:2" ht="15.75" customHeight="1" x14ac:dyDescent="0.3">
      <c r="B744" s="116"/>
    </row>
    <row r="745" spans="2:2" ht="15.75" customHeight="1" x14ac:dyDescent="0.3">
      <c r="B745" s="116"/>
    </row>
    <row r="746" spans="2:2" ht="15.75" customHeight="1" x14ac:dyDescent="0.3">
      <c r="B746" s="116"/>
    </row>
    <row r="747" spans="2:2" ht="15.75" customHeight="1" x14ac:dyDescent="0.3">
      <c r="B747" s="116"/>
    </row>
    <row r="748" spans="2:2" ht="15.75" customHeight="1" x14ac:dyDescent="0.3">
      <c r="B748" s="116"/>
    </row>
    <row r="749" spans="2:2" ht="15.75" customHeight="1" x14ac:dyDescent="0.3">
      <c r="B749" s="116"/>
    </row>
    <row r="750" spans="2:2" ht="15.75" customHeight="1" x14ac:dyDescent="0.3">
      <c r="B750" s="116"/>
    </row>
    <row r="751" spans="2:2" ht="15.75" customHeight="1" x14ac:dyDescent="0.3">
      <c r="B751" s="116"/>
    </row>
    <row r="752" spans="2:2" ht="15.75" customHeight="1" x14ac:dyDescent="0.3">
      <c r="B752" s="116"/>
    </row>
    <row r="753" spans="2:2" ht="15.75" customHeight="1" x14ac:dyDescent="0.3">
      <c r="B753" s="116"/>
    </row>
    <row r="754" spans="2:2" ht="15.75" customHeight="1" x14ac:dyDescent="0.3">
      <c r="B754" s="116"/>
    </row>
    <row r="755" spans="2:2" ht="15.75" customHeight="1" x14ac:dyDescent="0.3">
      <c r="B755" s="116"/>
    </row>
    <row r="756" spans="2:2" ht="15.75" customHeight="1" x14ac:dyDescent="0.3">
      <c r="B756" s="116"/>
    </row>
    <row r="757" spans="2:2" ht="15.75" customHeight="1" x14ac:dyDescent="0.3">
      <c r="B757" s="116"/>
    </row>
    <row r="758" spans="2:2" ht="15.75" customHeight="1" x14ac:dyDescent="0.3">
      <c r="B758" s="116"/>
    </row>
    <row r="759" spans="2:2" ht="15.75" customHeight="1" x14ac:dyDescent="0.3">
      <c r="B759" s="116"/>
    </row>
    <row r="760" spans="2:2" ht="15.75" customHeight="1" x14ac:dyDescent="0.3">
      <c r="B760" s="116"/>
    </row>
    <row r="761" spans="2:2" ht="15.75" customHeight="1" x14ac:dyDescent="0.3">
      <c r="B761" s="116"/>
    </row>
    <row r="762" spans="2:2" ht="15.75" customHeight="1" x14ac:dyDescent="0.3">
      <c r="B762" s="116"/>
    </row>
    <row r="763" spans="2:2" ht="15.75" customHeight="1" x14ac:dyDescent="0.3">
      <c r="B763" s="116"/>
    </row>
    <row r="764" spans="2:2" ht="15.75" customHeight="1" x14ac:dyDescent="0.3">
      <c r="B764" s="116"/>
    </row>
    <row r="765" spans="2:2" ht="15.75" customHeight="1" x14ac:dyDescent="0.3">
      <c r="B765" s="116"/>
    </row>
    <row r="766" spans="2:2" ht="15.75" customHeight="1" x14ac:dyDescent="0.3">
      <c r="B766" s="116"/>
    </row>
    <row r="767" spans="2:2" ht="15.75" customHeight="1" x14ac:dyDescent="0.3">
      <c r="B767" s="116"/>
    </row>
    <row r="768" spans="2:2" ht="15.75" customHeight="1" x14ac:dyDescent="0.3">
      <c r="B768" s="116"/>
    </row>
    <row r="769" spans="2:2" ht="15.75" customHeight="1" x14ac:dyDescent="0.3">
      <c r="B769" s="116"/>
    </row>
    <row r="770" spans="2:2" ht="15.75" customHeight="1" x14ac:dyDescent="0.3">
      <c r="B770" s="116"/>
    </row>
    <row r="771" spans="2:2" ht="15.75" customHeight="1" x14ac:dyDescent="0.3">
      <c r="B771" s="116"/>
    </row>
    <row r="772" spans="2:2" ht="15.75" customHeight="1" x14ac:dyDescent="0.3">
      <c r="B772" s="116"/>
    </row>
    <row r="773" spans="2:2" ht="15.75" customHeight="1" x14ac:dyDescent="0.3">
      <c r="B773" s="116"/>
    </row>
    <row r="774" spans="2:2" ht="15.75" customHeight="1" x14ac:dyDescent="0.3">
      <c r="B774" s="116"/>
    </row>
    <row r="775" spans="2:2" ht="15.75" customHeight="1" x14ac:dyDescent="0.3">
      <c r="B775" s="116"/>
    </row>
    <row r="776" spans="2:2" ht="15.75" customHeight="1" x14ac:dyDescent="0.3">
      <c r="B776" s="116"/>
    </row>
    <row r="777" spans="2:2" ht="15.75" customHeight="1" x14ac:dyDescent="0.3">
      <c r="B777" s="116"/>
    </row>
    <row r="778" spans="2:2" ht="15.75" customHeight="1" x14ac:dyDescent="0.3">
      <c r="B778" s="116"/>
    </row>
    <row r="779" spans="2:2" ht="15.75" customHeight="1" x14ac:dyDescent="0.3">
      <c r="B779" s="116"/>
    </row>
    <row r="780" spans="2:2" ht="15.75" customHeight="1" x14ac:dyDescent="0.3">
      <c r="B780" s="116"/>
    </row>
    <row r="781" spans="2:2" ht="15.75" customHeight="1" x14ac:dyDescent="0.3">
      <c r="B781" s="116"/>
    </row>
    <row r="782" spans="2:2" ht="15.75" customHeight="1" x14ac:dyDescent="0.3">
      <c r="B782" s="116"/>
    </row>
    <row r="783" spans="2:2" ht="15.75" customHeight="1" x14ac:dyDescent="0.3">
      <c r="B783" s="116"/>
    </row>
    <row r="784" spans="2:2" ht="15.75" customHeight="1" x14ac:dyDescent="0.3">
      <c r="B784" s="116"/>
    </row>
    <row r="785" spans="2:2" ht="15.75" customHeight="1" x14ac:dyDescent="0.3">
      <c r="B785" s="116"/>
    </row>
    <row r="786" spans="2:2" ht="15.75" customHeight="1" x14ac:dyDescent="0.3">
      <c r="B786" s="116"/>
    </row>
    <row r="787" spans="2:2" ht="15.75" customHeight="1" x14ac:dyDescent="0.3">
      <c r="B787" s="116"/>
    </row>
    <row r="788" spans="2:2" ht="15.75" customHeight="1" x14ac:dyDescent="0.3">
      <c r="B788" s="116"/>
    </row>
    <row r="789" spans="2:2" ht="15.75" customHeight="1" x14ac:dyDescent="0.3">
      <c r="B789" s="116"/>
    </row>
    <row r="790" spans="2:2" ht="15.75" customHeight="1" x14ac:dyDescent="0.3">
      <c r="B790" s="116"/>
    </row>
    <row r="791" spans="2:2" ht="15.75" customHeight="1" x14ac:dyDescent="0.3">
      <c r="B791" s="116"/>
    </row>
    <row r="792" spans="2:2" ht="15.75" customHeight="1" x14ac:dyDescent="0.3">
      <c r="B792" s="116"/>
    </row>
    <row r="793" spans="2:2" ht="15.75" customHeight="1" x14ac:dyDescent="0.3">
      <c r="B793" s="116"/>
    </row>
    <row r="794" spans="2:2" ht="15.75" customHeight="1" x14ac:dyDescent="0.3">
      <c r="B794" s="116"/>
    </row>
    <row r="795" spans="2:2" ht="15.75" customHeight="1" x14ac:dyDescent="0.3">
      <c r="B795" s="116"/>
    </row>
    <row r="796" spans="2:2" ht="15.75" customHeight="1" x14ac:dyDescent="0.3">
      <c r="B796" s="116"/>
    </row>
    <row r="797" spans="2:2" ht="15.75" customHeight="1" x14ac:dyDescent="0.3">
      <c r="B797" s="116"/>
    </row>
    <row r="798" spans="2:2" ht="15.75" customHeight="1" x14ac:dyDescent="0.3">
      <c r="B798" s="116"/>
    </row>
    <row r="799" spans="2:2" ht="15.75" customHeight="1" x14ac:dyDescent="0.3">
      <c r="B799" s="116"/>
    </row>
    <row r="800" spans="2:2" ht="15.75" customHeight="1" x14ac:dyDescent="0.3">
      <c r="B800" s="116"/>
    </row>
    <row r="801" spans="2:2" ht="15.75" customHeight="1" x14ac:dyDescent="0.3">
      <c r="B801" s="116"/>
    </row>
    <row r="802" spans="2:2" ht="15.75" customHeight="1" x14ac:dyDescent="0.3">
      <c r="B802" s="116"/>
    </row>
    <row r="803" spans="2:2" ht="15.75" customHeight="1" x14ac:dyDescent="0.3">
      <c r="B803" s="116"/>
    </row>
    <row r="804" spans="2:2" ht="15.75" customHeight="1" x14ac:dyDescent="0.3">
      <c r="B804" s="116"/>
    </row>
    <row r="805" spans="2:2" ht="15.75" customHeight="1" x14ac:dyDescent="0.3">
      <c r="B805" s="116"/>
    </row>
    <row r="806" spans="2:2" ht="15.75" customHeight="1" x14ac:dyDescent="0.3">
      <c r="B806" s="116"/>
    </row>
    <row r="807" spans="2:2" ht="15.75" customHeight="1" x14ac:dyDescent="0.3">
      <c r="B807" s="116"/>
    </row>
    <row r="808" spans="2:2" ht="15.75" customHeight="1" x14ac:dyDescent="0.3">
      <c r="B808" s="116"/>
    </row>
    <row r="809" spans="2:2" ht="15.75" customHeight="1" x14ac:dyDescent="0.3">
      <c r="B809" s="116"/>
    </row>
    <row r="810" spans="2:2" ht="15.75" customHeight="1" x14ac:dyDescent="0.3">
      <c r="B810" s="116"/>
    </row>
    <row r="811" spans="2:2" ht="15.75" customHeight="1" x14ac:dyDescent="0.3">
      <c r="B811" s="116"/>
    </row>
    <row r="812" spans="2:2" ht="15.75" customHeight="1" x14ac:dyDescent="0.3">
      <c r="B812" s="116"/>
    </row>
    <row r="813" spans="2:2" ht="15.75" customHeight="1" x14ac:dyDescent="0.3">
      <c r="B813" s="116"/>
    </row>
    <row r="814" spans="2:2" ht="15.75" customHeight="1" x14ac:dyDescent="0.3">
      <c r="B814" s="116"/>
    </row>
    <row r="815" spans="2:2" ht="15.75" customHeight="1" x14ac:dyDescent="0.3">
      <c r="B815" s="116"/>
    </row>
    <row r="816" spans="2:2" ht="15.75" customHeight="1" x14ac:dyDescent="0.3">
      <c r="B816" s="116"/>
    </row>
    <row r="817" spans="2:2" ht="15.75" customHeight="1" x14ac:dyDescent="0.3">
      <c r="B817" s="116"/>
    </row>
    <row r="818" spans="2:2" ht="15.75" customHeight="1" x14ac:dyDescent="0.3">
      <c r="B818" s="116"/>
    </row>
    <row r="819" spans="2:2" ht="15.75" customHeight="1" x14ac:dyDescent="0.3">
      <c r="B819" s="116"/>
    </row>
    <row r="820" spans="2:2" ht="15.75" customHeight="1" x14ac:dyDescent="0.3">
      <c r="B820" s="116"/>
    </row>
    <row r="821" spans="2:2" ht="15.75" customHeight="1" x14ac:dyDescent="0.3">
      <c r="B821" s="116"/>
    </row>
    <row r="822" spans="2:2" ht="15.75" customHeight="1" x14ac:dyDescent="0.3">
      <c r="B822" s="116"/>
    </row>
    <row r="823" spans="2:2" ht="15.75" customHeight="1" x14ac:dyDescent="0.3">
      <c r="B823" s="116"/>
    </row>
    <row r="824" spans="2:2" ht="15.75" customHeight="1" x14ac:dyDescent="0.3">
      <c r="B824" s="116"/>
    </row>
    <row r="825" spans="2:2" ht="15.75" customHeight="1" x14ac:dyDescent="0.3">
      <c r="B825" s="116"/>
    </row>
    <row r="826" spans="2:2" ht="15.75" customHeight="1" x14ac:dyDescent="0.3">
      <c r="B826" s="116"/>
    </row>
    <row r="827" spans="2:2" ht="15.75" customHeight="1" x14ac:dyDescent="0.3">
      <c r="B827" s="116"/>
    </row>
    <row r="828" spans="2:2" ht="15.75" customHeight="1" x14ac:dyDescent="0.3">
      <c r="B828" s="116"/>
    </row>
    <row r="829" spans="2:2" ht="15.75" customHeight="1" x14ac:dyDescent="0.3">
      <c r="B829" s="116"/>
    </row>
    <row r="830" spans="2:2" ht="15.75" customHeight="1" x14ac:dyDescent="0.3">
      <c r="B830" s="116"/>
    </row>
    <row r="831" spans="2:2" ht="15.75" customHeight="1" x14ac:dyDescent="0.3">
      <c r="B831" s="116"/>
    </row>
    <row r="832" spans="2:2" ht="15.75" customHeight="1" x14ac:dyDescent="0.3">
      <c r="B832" s="116"/>
    </row>
    <row r="833" spans="2:2" ht="15.75" customHeight="1" x14ac:dyDescent="0.3">
      <c r="B833" s="116"/>
    </row>
    <row r="834" spans="2:2" ht="15.75" customHeight="1" x14ac:dyDescent="0.3">
      <c r="B834" s="116"/>
    </row>
    <row r="835" spans="2:2" ht="15.75" customHeight="1" x14ac:dyDescent="0.3">
      <c r="B835" s="116"/>
    </row>
    <row r="836" spans="2:2" ht="15.75" customHeight="1" x14ac:dyDescent="0.3">
      <c r="B836" s="116"/>
    </row>
    <row r="837" spans="2:2" ht="15.75" customHeight="1" x14ac:dyDescent="0.3">
      <c r="B837" s="116"/>
    </row>
    <row r="838" spans="2:2" ht="15.75" customHeight="1" x14ac:dyDescent="0.3">
      <c r="B838" s="116"/>
    </row>
    <row r="839" spans="2:2" ht="15.75" customHeight="1" x14ac:dyDescent="0.3">
      <c r="B839" s="116"/>
    </row>
    <row r="840" spans="2:2" ht="15.75" customHeight="1" x14ac:dyDescent="0.3">
      <c r="B840" s="116"/>
    </row>
    <row r="841" spans="2:2" ht="15.75" customHeight="1" x14ac:dyDescent="0.3">
      <c r="B841" s="116"/>
    </row>
    <row r="842" spans="2:2" ht="15.75" customHeight="1" x14ac:dyDescent="0.3">
      <c r="B842" s="116"/>
    </row>
    <row r="843" spans="2:2" ht="15.75" customHeight="1" x14ac:dyDescent="0.3">
      <c r="B843" s="116"/>
    </row>
    <row r="844" spans="2:2" ht="15.75" customHeight="1" x14ac:dyDescent="0.3">
      <c r="B844" s="116"/>
    </row>
    <row r="845" spans="2:2" ht="15.75" customHeight="1" x14ac:dyDescent="0.3">
      <c r="B845" s="116"/>
    </row>
    <row r="846" spans="2:2" ht="15.75" customHeight="1" x14ac:dyDescent="0.3">
      <c r="B846" s="116"/>
    </row>
    <row r="847" spans="2:2" ht="15.75" customHeight="1" x14ac:dyDescent="0.3">
      <c r="B847" s="116"/>
    </row>
    <row r="848" spans="2:2" ht="15.75" customHeight="1" x14ac:dyDescent="0.3">
      <c r="B848" s="116"/>
    </row>
    <row r="849" spans="2:2" ht="15.75" customHeight="1" x14ac:dyDescent="0.3">
      <c r="B849" s="116"/>
    </row>
    <row r="850" spans="2:2" ht="15.75" customHeight="1" x14ac:dyDescent="0.3">
      <c r="B850" s="116"/>
    </row>
    <row r="851" spans="2:2" ht="15.75" customHeight="1" x14ac:dyDescent="0.3">
      <c r="B851" s="116"/>
    </row>
    <row r="852" spans="2:2" ht="15.75" customHeight="1" x14ac:dyDescent="0.3">
      <c r="B852" s="116"/>
    </row>
    <row r="853" spans="2:2" ht="15.75" customHeight="1" x14ac:dyDescent="0.3">
      <c r="B853" s="116"/>
    </row>
    <row r="854" spans="2:2" ht="15.75" customHeight="1" x14ac:dyDescent="0.3">
      <c r="B854" s="116"/>
    </row>
    <row r="855" spans="2:2" ht="15.75" customHeight="1" x14ac:dyDescent="0.3">
      <c r="B855" s="116"/>
    </row>
    <row r="856" spans="2:2" ht="15.75" customHeight="1" x14ac:dyDescent="0.3">
      <c r="B856" s="116"/>
    </row>
    <row r="857" spans="2:2" ht="15.75" customHeight="1" x14ac:dyDescent="0.3">
      <c r="B857" s="116"/>
    </row>
    <row r="858" spans="2:2" ht="15.75" customHeight="1" x14ac:dyDescent="0.3">
      <c r="B858" s="116"/>
    </row>
    <row r="859" spans="2:2" ht="15.75" customHeight="1" x14ac:dyDescent="0.3">
      <c r="B859" s="116"/>
    </row>
    <row r="860" spans="2:2" ht="15.75" customHeight="1" x14ac:dyDescent="0.3">
      <c r="B860" s="116"/>
    </row>
    <row r="861" spans="2:2" ht="15.75" customHeight="1" x14ac:dyDescent="0.3">
      <c r="B861" s="116"/>
    </row>
    <row r="862" spans="2:2" ht="15.75" customHeight="1" x14ac:dyDescent="0.3">
      <c r="B862" s="116"/>
    </row>
    <row r="863" spans="2:2" ht="15.75" customHeight="1" x14ac:dyDescent="0.3">
      <c r="B863" s="116"/>
    </row>
    <row r="864" spans="2:2" ht="15.75" customHeight="1" x14ac:dyDescent="0.3">
      <c r="B864" s="116"/>
    </row>
    <row r="865" spans="2:2" ht="15.75" customHeight="1" x14ac:dyDescent="0.3">
      <c r="B865" s="116"/>
    </row>
    <row r="866" spans="2:2" ht="15.75" customHeight="1" x14ac:dyDescent="0.3">
      <c r="B866" s="116"/>
    </row>
    <row r="867" spans="2:2" ht="15.75" customHeight="1" x14ac:dyDescent="0.3">
      <c r="B867" s="116"/>
    </row>
    <row r="868" spans="2:2" ht="15.75" customHeight="1" x14ac:dyDescent="0.3">
      <c r="B868" s="116"/>
    </row>
    <row r="869" spans="2:2" ht="15.75" customHeight="1" x14ac:dyDescent="0.3">
      <c r="B869" s="116"/>
    </row>
    <row r="870" spans="2:2" ht="15.75" customHeight="1" x14ac:dyDescent="0.3">
      <c r="B870" s="116"/>
    </row>
    <row r="871" spans="2:2" ht="15.75" customHeight="1" x14ac:dyDescent="0.3">
      <c r="B871" s="116"/>
    </row>
    <row r="872" spans="2:2" ht="15.75" customHeight="1" x14ac:dyDescent="0.3">
      <c r="B872" s="116"/>
    </row>
    <row r="873" spans="2:2" ht="15.75" customHeight="1" x14ac:dyDescent="0.3">
      <c r="B873" s="116"/>
    </row>
    <row r="874" spans="2:2" ht="15.75" customHeight="1" x14ac:dyDescent="0.3">
      <c r="B874" s="116"/>
    </row>
    <row r="875" spans="2:2" ht="15.75" customHeight="1" x14ac:dyDescent="0.3">
      <c r="B875" s="116"/>
    </row>
    <row r="876" spans="2:2" ht="15.75" customHeight="1" x14ac:dyDescent="0.3">
      <c r="B876" s="116"/>
    </row>
    <row r="877" spans="2:2" ht="15.75" customHeight="1" x14ac:dyDescent="0.3">
      <c r="B877" s="116"/>
    </row>
    <row r="878" spans="2:2" ht="15.75" customHeight="1" x14ac:dyDescent="0.3">
      <c r="B878" s="116"/>
    </row>
    <row r="879" spans="2:2" ht="15.75" customHeight="1" x14ac:dyDescent="0.3">
      <c r="B879" s="116"/>
    </row>
    <row r="880" spans="2:2" ht="15.75" customHeight="1" x14ac:dyDescent="0.3">
      <c r="B880" s="116"/>
    </row>
    <row r="881" spans="2:2" ht="15.75" customHeight="1" x14ac:dyDescent="0.3">
      <c r="B881" s="116"/>
    </row>
    <row r="882" spans="2:2" ht="15.75" customHeight="1" x14ac:dyDescent="0.3">
      <c r="B882" s="116"/>
    </row>
    <row r="883" spans="2:2" ht="15.75" customHeight="1" x14ac:dyDescent="0.3">
      <c r="B883" s="116"/>
    </row>
    <row r="884" spans="2:2" ht="15.75" customHeight="1" x14ac:dyDescent="0.3">
      <c r="B884" s="116"/>
    </row>
    <row r="885" spans="2:2" ht="15.75" customHeight="1" x14ac:dyDescent="0.3">
      <c r="B885" s="116"/>
    </row>
    <row r="886" spans="2:2" ht="15.75" customHeight="1" x14ac:dyDescent="0.3">
      <c r="B886" s="116"/>
    </row>
    <row r="887" spans="2:2" ht="15.75" customHeight="1" x14ac:dyDescent="0.3">
      <c r="B887" s="116"/>
    </row>
    <row r="888" spans="2:2" ht="15.75" customHeight="1" x14ac:dyDescent="0.3">
      <c r="B888" s="116"/>
    </row>
    <row r="889" spans="2:2" ht="15.75" customHeight="1" x14ac:dyDescent="0.3">
      <c r="B889" s="116"/>
    </row>
    <row r="890" spans="2:2" ht="15.75" customHeight="1" x14ac:dyDescent="0.3">
      <c r="B890" s="116"/>
    </row>
    <row r="891" spans="2:2" ht="15.75" customHeight="1" x14ac:dyDescent="0.3">
      <c r="B891" s="116"/>
    </row>
    <row r="892" spans="2:2" ht="15.75" customHeight="1" x14ac:dyDescent="0.3">
      <c r="B892" s="116"/>
    </row>
    <row r="893" spans="2:2" ht="15.75" customHeight="1" x14ac:dyDescent="0.3">
      <c r="B893" s="116"/>
    </row>
    <row r="894" spans="2:2" ht="15.75" customHeight="1" x14ac:dyDescent="0.3">
      <c r="B894" s="116"/>
    </row>
    <row r="895" spans="2:2" ht="15.75" customHeight="1" x14ac:dyDescent="0.3">
      <c r="B895" s="116"/>
    </row>
    <row r="896" spans="2:2" ht="15.75" customHeight="1" x14ac:dyDescent="0.3">
      <c r="B896" s="116"/>
    </row>
    <row r="897" spans="2:2" ht="15.75" customHeight="1" x14ac:dyDescent="0.3">
      <c r="B897" s="116"/>
    </row>
    <row r="898" spans="2:2" ht="15.75" customHeight="1" x14ac:dyDescent="0.3">
      <c r="B898" s="116"/>
    </row>
    <row r="899" spans="2:2" ht="15.75" customHeight="1" x14ac:dyDescent="0.3">
      <c r="B899" s="116"/>
    </row>
    <row r="900" spans="2:2" ht="15.75" customHeight="1" x14ac:dyDescent="0.3">
      <c r="B900" s="116"/>
    </row>
    <row r="901" spans="2:2" ht="15.75" customHeight="1" x14ac:dyDescent="0.3">
      <c r="B901" s="116"/>
    </row>
    <row r="902" spans="2:2" ht="15.75" customHeight="1" x14ac:dyDescent="0.3">
      <c r="B902" s="116"/>
    </row>
    <row r="903" spans="2:2" ht="15.75" customHeight="1" x14ac:dyDescent="0.3">
      <c r="B903" s="116"/>
    </row>
    <row r="904" spans="2:2" ht="15.75" customHeight="1" x14ac:dyDescent="0.3">
      <c r="B904" s="116"/>
    </row>
    <row r="905" spans="2:2" ht="15.75" customHeight="1" x14ac:dyDescent="0.3">
      <c r="B905" s="116"/>
    </row>
    <row r="906" spans="2:2" ht="15.75" customHeight="1" x14ac:dyDescent="0.3">
      <c r="B906" s="116"/>
    </row>
    <row r="907" spans="2:2" ht="15.75" customHeight="1" x14ac:dyDescent="0.3">
      <c r="B907" s="116"/>
    </row>
    <row r="908" spans="2:2" ht="15.75" customHeight="1" x14ac:dyDescent="0.3">
      <c r="B908" s="116"/>
    </row>
    <row r="909" spans="2:2" ht="15.75" customHeight="1" x14ac:dyDescent="0.3">
      <c r="B909" s="116"/>
    </row>
    <row r="910" spans="2:2" ht="15.75" customHeight="1" x14ac:dyDescent="0.3">
      <c r="B910" s="116"/>
    </row>
    <row r="911" spans="2:2" ht="15.75" customHeight="1" x14ac:dyDescent="0.3">
      <c r="B911" s="116"/>
    </row>
    <row r="912" spans="2:2" ht="15.75" customHeight="1" x14ac:dyDescent="0.3">
      <c r="B912" s="116"/>
    </row>
    <row r="913" spans="2:2" ht="15.75" customHeight="1" x14ac:dyDescent="0.3">
      <c r="B913" s="116"/>
    </row>
    <row r="914" spans="2:2" ht="15.75" customHeight="1" x14ac:dyDescent="0.3">
      <c r="B914" s="116"/>
    </row>
    <row r="915" spans="2:2" ht="15.75" customHeight="1" x14ac:dyDescent="0.3">
      <c r="B915" s="116"/>
    </row>
    <row r="916" spans="2:2" ht="15.75" customHeight="1" x14ac:dyDescent="0.3">
      <c r="B916" s="116"/>
    </row>
    <row r="917" spans="2:2" ht="15.75" customHeight="1" x14ac:dyDescent="0.3">
      <c r="B917" s="116"/>
    </row>
    <row r="918" spans="2:2" ht="15.75" customHeight="1" x14ac:dyDescent="0.3">
      <c r="B918" s="116"/>
    </row>
    <row r="919" spans="2:2" ht="15.75" customHeight="1" x14ac:dyDescent="0.3">
      <c r="B919" s="116"/>
    </row>
    <row r="920" spans="2:2" ht="15.75" customHeight="1" x14ac:dyDescent="0.3">
      <c r="B920" s="116"/>
    </row>
    <row r="921" spans="2:2" ht="15.75" customHeight="1" x14ac:dyDescent="0.3">
      <c r="B921" s="116"/>
    </row>
    <row r="922" spans="2:2" ht="15.75" customHeight="1" x14ac:dyDescent="0.3">
      <c r="B922" s="116"/>
    </row>
    <row r="923" spans="2:2" ht="15.75" customHeight="1" x14ac:dyDescent="0.3">
      <c r="B923" s="116"/>
    </row>
    <row r="924" spans="2:2" ht="15.75" customHeight="1" x14ac:dyDescent="0.3">
      <c r="B924" s="116"/>
    </row>
    <row r="925" spans="2:2" ht="15.75" customHeight="1" x14ac:dyDescent="0.3">
      <c r="B925" s="116"/>
    </row>
    <row r="926" spans="2:2" ht="15.75" customHeight="1" x14ac:dyDescent="0.3">
      <c r="B926" s="116"/>
    </row>
    <row r="927" spans="2:2" ht="15.75" customHeight="1" x14ac:dyDescent="0.3">
      <c r="B927" s="116"/>
    </row>
    <row r="928" spans="2:2" ht="15.75" customHeight="1" x14ac:dyDescent="0.3">
      <c r="B928" s="116"/>
    </row>
    <row r="929" spans="2:2" ht="15.75" customHeight="1" x14ac:dyDescent="0.3">
      <c r="B929" s="116"/>
    </row>
    <row r="930" spans="2:2" ht="15.75" customHeight="1" x14ac:dyDescent="0.3">
      <c r="B930" s="116"/>
    </row>
    <row r="931" spans="2:2" ht="15.75" customHeight="1" x14ac:dyDescent="0.3">
      <c r="B931" s="116"/>
    </row>
    <row r="932" spans="2:2" ht="15.75" customHeight="1" x14ac:dyDescent="0.3">
      <c r="B932" s="116"/>
    </row>
    <row r="933" spans="2:2" ht="15.75" customHeight="1" x14ac:dyDescent="0.3">
      <c r="B933" s="116"/>
    </row>
    <row r="934" spans="2:2" ht="15.75" customHeight="1" x14ac:dyDescent="0.3">
      <c r="B934" s="116"/>
    </row>
    <row r="935" spans="2:2" ht="15.75" customHeight="1" x14ac:dyDescent="0.3">
      <c r="B935" s="116"/>
    </row>
    <row r="936" spans="2:2" ht="15.75" customHeight="1" x14ac:dyDescent="0.3">
      <c r="B936" s="116"/>
    </row>
    <row r="937" spans="2:2" ht="15.75" customHeight="1" x14ac:dyDescent="0.3">
      <c r="B937" s="116"/>
    </row>
    <row r="938" spans="2:2" ht="15.75" customHeight="1" x14ac:dyDescent="0.3">
      <c r="B938" s="116"/>
    </row>
    <row r="939" spans="2:2" ht="15.75" customHeight="1" x14ac:dyDescent="0.3">
      <c r="B939" s="116"/>
    </row>
    <row r="940" spans="2:2" ht="15.75" customHeight="1" x14ac:dyDescent="0.3">
      <c r="B940" s="116"/>
    </row>
    <row r="941" spans="2:2" ht="15.75" customHeight="1" x14ac:dyDescent="0.3">
      <c r="B941" s="116"/>
    </row>
    <row r="942" spans="2:2" ht="15.75" customHeight="1" x14ac:dyDescent="0.3">
      <c r="B942" s="116"/>
    </row>
    <row r="943" spans="2:2" ht="15.75" customHeight="1" x14ac:dyDescent="0.3">
      <c r="B943" s="116"/>
    </row>
    <row r="944" spans="2:2" ht="15.75" customHeight="1" x14ac:dyDescent="0.3">
      <c r="B944" s="116"/>
    </row>
    <row r="945" spans="2:2" ht="15.75" customHeight="1" x14ac:dyDescent="0.3">
      <c r="B945" s="116"/>
    </row>
    <row r="946" spans="2:2" ht="15.75" customHeight="1" x14ac:dyDescent="0.3">
      <c r="B946" s="116"/>
    </row>
    <row r="947" spans="2:2" ht="15.75" customHeight="1" x14ac:dyDescent="0.3">
      <c r="B947" s="116"/>
    </row>
    <row r="948" spans="2:2" ht="15.75" customHeight="1" x14ac:dyDescent="0.3">
      <c r="B948" s="116"/>
    </row>
    <row r="949" spans="2:2" ht="15.75" customHeight="1" x14ac:dyDescent="0.3">
      <c r="B949" s="116"/>
    </row>
    <row r="950" spans="2:2" ht="15.75" customHeight="1" x14ac:dyDescent="0.3">
      <c r="B950" s="116"/>
    </row>
    <row r="951" spans="2:2" ht="15.75" customHeight="1" x14ac:dyDescent="0.3">
      <c r="B951" s="116"/>
    </row>
    <row r="952" spans="2:2" ht="15.75" customHeight="1" x14ac:dyDescent="0.3">
      <c r="B952" s="116"/>
    </row>
    <row r="953" spans="2:2" ht="15.75" customHeight="1" x14ac:dyDescent="0.3">
      <c r="B953" s="116"/>
    </row>
    <row r="954" spans="2:2" ht="15.75" customHeight="1" x14ac:dyDescent="0.3">
      <c r="B954" s="116"/>
    </row>
    <row r="955" spans="2:2" ht="15.75" customHeight="1" x14ac:dyDescent="0.3">
      <c r="B955" s="116"/>
    </row>
    <row r="956" spans="2:2" ht="15.75" customHeight="1" x14ac:dyDescent="0.3">
      <c r="B956" s="116"/>
    </row>
    <row r="957" spans="2:2" ht="15.75" customHeight="1" x14ac:dyDescent="0.3">
      <c r="B957" s="116"/>
    </row>
    <row r="958" spans="2:2" ht="15.75" customHeight="1" x14ac:dyDescent="0.3">
      <c r="B958" s="116"/>
    </row>
    <row r="959" spans="2:2" ht="15.75" customHeight="1" x14ac:dyDescent="0.3">
      <c r="B959" s="116"/>
    </row>
    <row r="960" spans="2:2" ht="15.75" customHeight="1" x14ac:dyDescent="0.3">
      <c r="B960" s="116"/>
    </row>
    <row r="961" spans="2:2" ht="15.75" customHeight="1" x14ac:dyDescent="0.3">
      <c r="B961" s="116"/>
    </row>
    <row r="962" spans="2:2" ht="15.75" customHeight="1" x14ac:dyDescent="0.3">
      <c r="B962" s="116"/>
    </row>
    <row r="963" spans="2:2" ht="15.75" customHeight="1" x14ac:dyDescent="0.3">
      <c r="B963" s="116"/>
    </row>
    <row r="964" spans="2:2" ht="15.75" customHeight="1" x14ac:dyDescent="0.3">
      <c r="B964" s="116"/>
    </row>
    <row r="965" spans="2:2" ht="15.75" customHeight="1" x14ac:dyDescent="0.3">
      <c r="B965" s="116"/>
    </row>
    <row r="966" spans="2:2" ht="15.75" customHeight="1" x14ac:dyDescent="0.3">
      <c r="B966" s="116"/>
    </row>
    <row r="967" spans="2:2" ht="15.75" customHeight="1" x14ac:dyDescent="0.3">
      <c r="B967" s="116"/>
    </row>
    <row r="968" spans="2:2" ht="15.75" customHeight="1" x14ac:dyDescent="0.3">
      <c r="B968" s="116"/>
    </row>
    <row r="969" spans="2:2" ht="15.75" customHeight="1" x14ac:dyDescent="0.3">
      <c r="B969" s="116"/>
    </row>
    <row r="970" spans="2:2" ht="15.75" customHeight="1" x14ac:dyDescent="0.3">
      <c r="B970" s="116"/>
    </row>
    <row r="971" spans="2:2" ht="15.75" customHeight="1" x14ac:dyDescent="0.3">
      <c r="B971" s="116"/>
    </row>
    <row r="972" spans="2:2" ht="15.75" customHeight="1" x14ac:dyDescent="0.3">
      <c r="B972" s="116"/>
    </row>
    <row r="973" spans="2:2" ht="15.75" customHeight="1" x14ac:dyDescent="0.3">
      <c r="B973" s="116"/>
    </row>
    <row r="974" spans="2:2" ht="15.75" customHeight="1" x14ac:dyDescent="0.3">
      <c r="B974" s="116"/>
    </row>
    <row r="975" spans="2:2" ht="15.75" customHeight="1" x14ac:dyDescent="0.3">
      <c r="B975" s="116"/>
    </row>
    <row r="976" spans="2:2" ht="15.75" customHeight="1" x14ac:dyDescent="0.3">
      <c r="B976" s="116"/>
    </row>
    <row r="977" spans="2:2" ht="15.75" customHeight="1" x14ac:dyDescent="0.3">
      <c r="B977" s="116"/>
    </row>
    <row r="978" spans="2:2" ht="15.75" customHeight="1" x14ac:dyDescent="0.3">
      <c r="B978" s="116"/>
    </row>
    <row r="979" spans="2:2" ht="15.75" customHeight="1" x14ac:dyDescent="0.3">
      <c r="B979" s="116"/>
    </row>
    <row r="980" spans="2:2" ht="15.75" customHeight="1" x14ac:dyDescent="0.3">
      <c r="B980" s="116"/>
    </row>
    <row r="981" spans="2:2" ht="15.75" customHeight="1" x14ac:dyDescent="0.3">
      <c r="B981" s="116"/>
    </row>
    <row r="982" spans="2:2" ht="15.75" customHeight="1" x14ac:dyDescent="0.3">
      <c r="B982" s="116"/>
    </row>
    <row r="983" spans="2:2" ht="15.75" customHeight="1" x14ac:dyDescent="0.3">
      <c r="B983" s="116"/>
    </row>
    <row r="984" spans="2:2" ht="15.75" customHeight="1" x14ac:dyDescent="0.3">
      <c r="B984" s="116"/>
    </row>
    <row r="985" spans="2:2" ht="15.75" customHeight="1" x14ac:dyDescent="0.3">
      <c r="B985" s="116"/>
    </row>
    <row r="986" spans="2:2" ht="15.75" customHeight="1" x14ac:dyDescent="0.3">
      <c r="B986" s="116"/>
    </row>
    <row r="987" spans="2:2" ht="15.75" customHeight="1" x14ac:dyDescent="0.3">
      <c r="B987" s="116"/>
    </row>
    <row r="988" spans="2:2" ht="15.75" customHeight="1" x14ac:dyDescent="0.3">
      <c r="B988" s="116"/>
    </row>
    <row r="989" spans="2:2" ht="15.75" customHeight="1" x14ac:dyDescent="0.3">
      <c r="B989" s="116"/>
    </row>
    <row r="990" spans="2:2" ht="15.75" customHeight="1" x14ac:dyDescent="0.3">
      <c r="B990" s="116"/>
    </row>
    <row r="991" spans="2:2" ht="15.75" customHeight="1" x14ac:dyDescent="0.3">
      <c r="B991" s="116"/>
    </row>
    <row r="992" spans="2:2" ht="15.75" customHeight="1" x14ac:dyDescent="0.3">
      <c r="B992" s="116"/>
    </row>
    <row r="993" spans="2:2" ht="15.75" customHeight="1" x14ac:dyDescent="0.3">
      <c r="B993" s="116"/>
    </row>
    <row r="994" spans="2:2" ht="15.75" customHeight="1" x14ac:dyDescent="0.3">
      <c r="B994" s="116"/>
    </row>
    <row r="995" spans="2:2" ht="15.75" customHeight="1" x14ac:dyDescent="0.3">
      <c r="B995" s="116"/>
    </row>
    <row r="996" spans="2:2" ht="15.75" customHeight="1" x14ac:dyDescent="0.3">
      <c r="B996" s="116"/>
    </row>
    <row r="997" spans="2:2" ht="15.75" customHeight="1" x14ac:dyDescent="0.3">
      <c r="B997" s="116"/>
    </row>
    <row r="998" spans="2:2" ht="15.75" customHeight="1" x14ac:dyDescent="0.3">
      <c r="B998" s="116"/>
    </row>
    <row r="999" spans="2:2" ht="15.75" customHeight="1" x14ac:dyDescent="0.3">
      <c r="B999" s="116"/>
    </row>
    <row r="1000" spans="2:2" ht="15.75" customHeight="1" x14ac:dyDescent="0.3">
      <c r="B1000" s="116"/>
    </row>
  </sheetData>
  <autoFilter ref="A2:P15" xr:uid="{00000000-0009-0000-0000-000002000000}"/>
  <mergeCells count="1">
    <mergeCell ref="B1:D1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workbookViewId="0">
      <selection activeCell="G16" sqref="G16"/>
    </sheetView>
  </sheetViews>
  <sheetFormatPr baseColWidth="10" defaultColWidth="14.44140625" defaultRowHeight="15" customHeight="1" x14ac:dyDescent="0.3"/>
  <cols>
    <col min="1" max="1" width="13.33203125" customWidth="1"/>
    <col min="2" max="2" width="34.109375" customWidth="1"/>
    <col min="3" max="3" width="28.33203125" customWidth="1"/>
    <col min="4" max="4" width="32.44140625" customWidth="1"/>
    <col min="5" max="5" width="4.109375" customWidth="1"/>
    <col min="6" max="6" width="13" customWidth="1"/>
    <col min="7" max="7" width="27.6640625" customWidth="1"/>
    <col min="8" max="8" width="9.5546875" customWidth="1"/>
    <col min="9" max="9" width="16.109375" customWidth="1"/>
    <col min="10" max="10" width="10" customWidth="1"/>
    <col min="11" max="12" width="10.6640625" customWidth="1"/>
    <col min="13" max="13" width="17.88671875" customWidth="1"/>
    <col min="15" max="15" width="14.5546875" customWidth="1"/>
  </cols>
  <sheetData>
    <row r="1" spans="1:16" ht="15" customHeight="1" x14ac:dyDescent="0.3">
      <c r="A1" s="34" t="s">
        <v>410</v>
      </c>
      <c r="B1" s="185" t="str">
        <f>'Formato Cronograma'!C6</f>
        <v>Gestión del Desempeño y Desarrollo de Competencias.</v>
      </c>
      <c r="C1" s="182"/>
      <c r="D1" s="182"/>
    </row>
    <row r="2" spans="1:16" ht="15" customHeight="1" x14ac:dyDescent="0.3">
      <c r="A2" s="34" t="s">
        <v>411</v>
      </c>
      <c r="B2" s="35" t="s">
        <v>412</v>
      </c>
      <c r="C2" s="36" t="s">
        <v>413</v>
      </c>
      <c r="D2" s="37" t="s">
        <v>414</v>
      </c>
      <c r="E2" s="24"/>
      <c r="F2" s="25"/>
      <c r="G2" s="25"/>
      <c r="H2" s="25"/>
      <c r="I2" s="25"/>
      <c r="J2" s="25"/>
      <c r="K2" s="25"/>
      <c r="L2" s="25"/>
      <c r="M2" s="25"/>
      <c r="N2" s="24"/>
      <c r="O2" s="24"/>
      <c r="P2" s="24"/>
    </row>
    <row r="3" spans="1:16" ht="14.4" x14ac:dyDescent="0.3">
      <c r="A3" s="38">
        <v>1</v>
      </c>
      <c r="B3" s="39">
        <f>VLOOKUP((MATCH(A3,'Formato Cronograma'!$N$6:$LJ$6,0)),Datos!A:D,4,FALSE)</f>
        <v>46252</v>
      </c>
      <c r="C3" s="38" t="s">
        <v>417</v>
      </c>
      <c r="D3" s="38" t="s">
        <v>418</v>
      </c>
      <c r="E3" s="24"/>
      <c r="F3" s="28"/>
      <c r="G3" s="28"/>
      <c r="H3" s="25"/>
      <c r="I3" s="28"/>
      <c r="J3" s="28"/>
      <c r="K3" s="28"/>
      <c r="L3" s="28"/>
      <c r="M3" s="28"/>
      <c r="N3" s="24"/>
      <c r="O3" s="24"/>
      <c r="P3" s="24"/>
    </row>
    <row r="4" spans="1:16" ht="14.4" x14ac:dyDescent="0.3">
      <c r="A4" s="38">
        <v>2</v>
      </c>
      <c r="B4" s="39">
        <f>VLOOKUP((MATCH(A4,'Formato Cronograma'!$N$6:$LJ$6,0)),Datos!A:D,4,FALSE)</f>
        <v>46254</v>
      </c>
      <c r="C4" s="38" t="s">
        <v>415</v>
      </c>
      <c r="D4" s="38" t="s">
        <v>416</v>
      </c>
      <c r="E4" s="24"/>
      <c r="F4" s="29"/>
      <c r="G4" s="30"/>
      <c r="H4" s="29"/>
      <c r="I4" s="29"/>
      <c r="J4" s="29"/>
      <c r="K4" s="31"/>
      <c r="L4" s="31"/>
      <c r="M4" s="29"/>
      <c r="N4" s="24"/>
      <c r="O4" s="24"/>
      <c r="P4" s="24"/>
    </row>
    <row r="5" spans="1:16" ht="14.4" x14ac:dyDescent="0.3">
      <c r="A5" s="38">
        <v>3</v>
      </c>
      <c r="B5" s="39">
        <f>VLOOKUP((MATCH(A5,'Formato Cronograma'!$N$6:$LJ$6,0)),Datos!A:D,4,FALSE)</f>
        <v>46259</v>
      </c>
      <c r="C5" s="38" t="s">
        <v>417</v>
      </c>
      <c r="D5" s="38" t="s">
        <v>418</v>
      </c>
      <c r="E5" s="24"/>
      <c r="F5" s="29"/>
      <c r="G5" s="30"/>
      <c r="H5" s="29"/>
      <c r="I5" s="29"/>
      <c r="J5" s="29"/>
      <c r="K5" s="31"/>
      <c r="L5" s="31"/>
      <c r="M5" s="29"/>
      <c r="N5" s="24"/>
      <c r="O5" s="24"/>
      <c r="P5" s="24"/>
    </row>
    <row r="6" spans="1:16" ht="14.4" x14ac:dyDescent="0.3">
      <c r="A6" s="38">
        <v>4</v>
      </c>
      <c r="B6" s="39">
        <f>VLOOKUP((MATCH(A6,'Formato Cronograma'!$N$6:$LJ$6,0)),Datos!A:D,4,FALSE)</f>
        <v>46261</v>
      </c>
      <c r="C6" s="38" t="s">
        <v>417</v>
      </c>
      <c r="D6" s="38" t="s">
        <v>418</v>
      </c>
      <c r="E6" s="24"/>
      <c r="F6" s="29"/>
      <c r="G6" s="30"/>
      <c r="H6" s="29"/>
      <c r="I6" s="29"/>
      <c r="J6" s="29"/>
      <c r="K6" s="31"/>
      <c r="L6" s="31"/>
      <c r="M6" s="29"/>
      <c r="N6" s="24"/>
      <c r="O6" s="24"/>
      <c r="P6" s="24"/>
    </row>
    <row r="7" spans="1:16" ht="14.4" x14ac:dyDescent="0.3">
      <c r="A7" s="38">
        <v>5</v>
      </c>
      <c r="B7" s="39">
        <f>VLOOKUP((MATCH(A7,'Formato Cronograma'!$N$6:$LJ$6,0)),Datos!A:D,4,FALSE)</f>
        <v>46266</v>
      </c>
      <c r="C7" s="38" t="s">
        <v>417</v>
      </c>
      <c r="D7" s="38" t="s">
        <v>418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</row>
    <row r="8" spans="1:16" ht="14.4" x14ac:dyDescent="0.3">
      <c r="A8" s="38">
        <v>6</v>
      </c>
      <c r="B8" s="39">
        <f>VLOOKUP((MATCH(A8,'Formato Cronograma'!$N$6:$LJ$6,0)),Datos!A:D,4,FALSE)</f>
        <v>46268</v>
      </c>
      <c r="C8" s="38" t="s">
        <v>415</v>
      </c>
      <c r="D8" s="38" t="s">
        <v>416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spans="1:16" ht="14.4" x14ac:dyDescent="0.3">
      <c r="A9" s="38">
        <v>7</v>
      </c>
      <c r="B9" s="39">
        <f>VLOOKUP((MATCH(A9,'Formato Cronograma'!$N$6:$LJ$6,0)),Datos!A:D,4,FALSE)</f>
        <v>46273</v>
      </c>
      <c r="C9" s="38" t="s">
        <v>417</v>
      </c>
      <c r="D9" s="38" t="s">
        <v>418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 ht="14.4" x14ac:dyDescent="0.3">
      <c r="A10" s="38">
        <v>8</v>
      </c>
      <c r="B10" s="39">
        <f>VLOOKUP((MATCH(A10,'Formato Cronograma'!$N$6:$LJ$6,0)),Datos!A:D,4,FALSE)</f>
        <v>46275</v>
      </c>
      <c r="C10" s="38" t="s">
        <v>415</v>
      </c>
      <c r="D10" s="38" t="s">
        <v>416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6" ht="14.4" x14ac:dyDescent="0.3">
      <c r="A11" s="38">
        <v>9</v>
      </c>
      <c r="B11" s="39">
        <f>VLOOKUP((MATCH(A11,'Formato Cronograma'!$N$6:$LJ$6,0)),Datos!A:D,4,FALSE)</f>
        <v>46280</v>
      </c>
      <c r="C11" s="38" t="s">
        <v>417</v>
      </c>
      <c r="D11" s="38" t="s">
        <v>418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spans="1:16" ht="14.4" x14ac:dyDescent="0.3">
      <c r="A12" s="38">
        <v>10</v>
      </c>
      <c r="B12" s="39">
        <f>VLOOKUP((MATCH(A12,'Formato Cronograma'!$N$6:$LJ$6,0)),Datos!A:D,4,FALSE)</f>
        <v>46282</v>
      </c>
      <c r="C12" s="38" t="s">
        <v>415</v>
      </c>
      <c r="D12" s="38" t="s">
        <v>416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spans="1:16" ht="14.4" x14ac:dyDescent="0.3">
      <c r="A13" s="38">
        <v>11</v>
      </c>
      <c r="B13" s="39">
        <f>VLOOKUP((MATCH(A13,'Formato Cronograma'!$N$6:$LJ$6,0)),Datos!A:D,4,FALSE)</f>
        <v>46294</v>
      </c>
      <c r="C13" s="38" t="s">
        <v>417</v>
      </c>
      <c r="D13" s="38" t="s">
        <v>418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1:16" ht="14.4" x14ac:dyDescent="0.3">
      <c r="A14" s="38">
        <v>12</v>
      </c>
      <c r="B14" s="39">
        <f>VLOOKUP((MATCH(A14,'Formato Cronograma'!$N$6:$LJ$6,0)),Datos!A:D,4,FALSE)</f>
        <v>46296</v>
      </c>
      <c r="C14" s="38" t="s">
        <v>415</v>
      </c>
      <c r="D14" s="38" t="s">
        <v>416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</row>
    <row r="15" spans="1:16" ht="14.4" x14ac:dyDescent="0.3">
      <c r="A15" s="38">
        <v>13</v>
      </c>
      <c r="B15" s="39">
        <f>VLOOKUP((MATCH(A15,'Formato Cronograma'!$N$6:$LJ$6,0)),Datos!A:D,4,FALSE)</f>
        <v>46308</v>
      </c>
      <c r="C15" s="38" t="s">
        <v>417</v>
      </c>
      <c r="D15" s="38" t="s">
        <v>418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</row>
    <row r="16" spans="1:16" ht="14.4" x14ac:dyDescent="0.3">
      <c r="A16" s="24"/>
      <c r="B16" s="32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6" ht="14.4" x14ac:dyDescent="0.3">
      <c r="A17" s="24"/>
      <c r="B17" s="32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</row>
    <row r="18" spans="1:16" ht="14.4" x14ac:dyDescent="0.3">
      <c r="A18" s="24"/>
      <c r="B18" s="32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</row>
    <row r="19" spans="1:16" ht="14.4" x14ac:dyDescent="0.3">
      <c r="A19" s="24"/>
      <c r="B19" s="32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spans="1:16" ht="14.4" x14ac:dyDescent="0.3">
      <c r="A20" s="24"/>
      <c r="B20" s="32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 ht="15.75" customHeight="1" x14ac:dyDescent="0.3">
      <c r="A21" s="24"/>
      <c r="B21" s="32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spans="1:16" ht="15.75" customHeight="1" x14ac:dyDescent="0.3">
      <c r="A22" s="24"/>
      <c r="B22" s="32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</row>
    <row r="23" spans="1:16" ht="15.75" customHeight="1" x14ac:dyDescent="0.3">
      <c r="A23" s="24"/>
      <c r="B23" s="32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4" spans="1:16" ht="15.75" customHeight="1" x14ac:dyDescent="0.3">
      <c r="A24" s="24"/>
      <c r="B24" s="32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  <row r="25" spans="1:16" ht="15.75" customHeight="1" x14ac:dyDescent="0.3">
      <c r="A25" s="24"/>
      <c r="B25" s="32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16" ht="15.75" customHeight="1" x14ac:dyDescent="0.3">
      <c r="A26" s="24"/>
      <c r="B26" s="32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</row>
    <row r="27" spans="1:16" ht="15.75" customHeight="1" x14ac:dyDescent="0.3">
      <c r="A27" s="24"/>
      <c r="B27" s="32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</row>
    <row r="28" spans="1:16" ht="15.75" customHeight="1" x14ac:dyDescent="0.3">
      <c r="A28" s="24"/>
      <c r="B28" s="32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</row>
    <row r="29" spans="1:16" ht="15.75" customHeight="1" x14ac:dyDescent="0.3">
      <c r="A29" s="24"/>
      <c r="B29" s="32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</row>
    <row r="30" spans="1:16" ht="15.75" customHeight="1" x14ac:dyDescent="0.3">
      <c r="A30" s="24"/>
      <c r="B30" s="32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</row>
    <row r="31" spans="1:16" ht="15.75" customHeight="1" x14ac:dyDescent="0.3">
      <c r="A31" s="24"/>
      <c r="B31" s="32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</row>
    <row r="32" spans="1:16" ht="15.75" customHeight="1" x14ac:dyDescent="0.3">
      <c r="A32" s="24"/>
      <c r="B32" s="32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</row>
    <row r="33" spans="1:16" ht="15.75" customHeight="1" x14ac:dyDescent="0.3">
      <c r="A33" s="24"/>
      <c r="B33" s="32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</row>
    <row r="34" spans="1:16" ht="15.75" customHeight="1" x14ac:dyDescent="0.3">
      <c r="A34" s="24"/>
      <c r="B34" s="32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spans="1:16" ht="15.75" customHeight="1" x14ac:dyDescent="0.3">
      <c r="A35" s="24"/>
      <c r="B35" s="32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</row>
    <row r="36" spans="1:16" ht="15.75" customHeight="1" x14ac:dyDescent="0.3">
      <c r="A36" s="24"/>
      <c r="B36" s="32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</row>
    <row r="37" spans="1:16" ht="15.75" customHeight="1" x14ac:dyDescent="0.3">
      <c r="A37" s="24"/>
      <c r="B37" s="32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</row>
    <row r="38" spans="1:16" ht="15.75" customHeight="1" x14ac:dyDescent="0.3">
      <c r="A38" s="24"/>
      <c r="B38" s="32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</row>
    <row r="39" spans="1:16" ht="15.75" customHeight="1" x14ac:dyDescent="0.3">
      <c r="A39" s="24"/>
      <c r="B39" s="32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</row>
    <row r="40" spans="1:16" ht="15.75" customHeight="1" x14ac:dyDescent="0.3">
      <c r="A40" s="24"/>
      <c r="B40" s="32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</row>
    <row r="41" spans="1:16" ht="15.75" customHeight="1" x14ac:dyDescent="0.3">
      <c r="A41" s="24"/>
      <c r="B41" s="32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</row>
    <row r="42" spans="1:16" ht="15.75" customHeight="1" x14ac:dyDescent="0.3">
      <c r="A42" s="24"/>
      <c r="B42" s="32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</row>
    <row r="43" spans="1:16" ht="15.75" customHeight="1" x14ac:dyDescent="0.3">
      <c r="A43" s="24"/>
      <c r="B43" s="32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</row>
    <row r="44" spans="1:16" ht="15.75" customHeight="1" x14ac:dyDescent="0.3">
      <c r="A44" s="24"/>
      <c r="B44" s="32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</row>
    <row r="45" spans="1:16" ht="15.75" customHeight="1" x14ac:dyDescent="0.3">
      <c r="A45" s="24"/>
      <c r="B45" s="32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</row>
    <row r="46" spans="1:16" ht="15.75" customHeight="1" x14ac:dyDescent="0.3">
      <c r="A46" s="24"/>
      <c r="B46" s="32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</row>
    <row r="47" spans="1:16" ht="15.75" customHeight="1" x14ac:dyDescent="0.3">
      <c r="A47" s="24"/>
      <c r="B47" s="32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</row>
    <row r="48" spans="1:16" ht="15.75" customHeight="1" x14ac:dyDescent="0.3">
      <c r="A48" s="24"/>
      <c r="B48" s="32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</row>
    <row r="49" spans="1:16" ht="15.75" customHeight="1" x14ac:dyDescent="0.3">
      <c r="A49" s="24"/>
      <c r="B49" s="32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</row>
    <row r="50" spans="1:16" ht="15.75" customHeight="1" x14ac:dyDescent="0.3">
      <c r="A50" s="24"/>
      <c r="B50" s="32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</row>
    <row r="51" spans="1:16" ht="15.75" customHeight="1" x14ac:dyDescent="0.3">
      <c r="A51" s="24"/>
      <c r="B51" s="32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</row>
    <row r="52" spans="1:16" ht="15.75" customHeight="1" x14ac:dyDescent="0.3">
      <c r="A52" s="24"/>
      <c r="B52" s="32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</row>
    <row r="53" spans="1:16" ht="15.75" customHeight="1" x14ac:dyDescent="0.3">
      <c r="A53" s="24"/>
      <c r="B53" s="32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</row>
    <row r="54" spans="1:16" ht="15.75" customHeight="1" x14ac:dyDescent="0.3">
      <c r="A54" s="24"/>
      <c r="B54" s="32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1:16" ht="15.75" customHeight="1" x14ac:dyDescent="0.3">
      <c r="A55" s="24"/>
      <c r="B55" s="32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</row>
    <row r="56" spans="1:16" ht="15.75" customHeight="1" x14ac:dyDescent="0.3">
      <c r="A56" s="24"/>
      <c r="B56" s="32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</row>
    <row r="57" spans="1:16" ht="15.75" customHeight="1" x14ac:dyDescent="0.3">
      <c r="A57" s="24"/>
      <c r="B57" s="32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</row>
    <row r="58" spans="1:16" ht="15.75" customHeight="1" x14ac:dyDescent="0.3">
      <c r="A58" s="24"/>
      <c r="B58" s="32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</row>
    <row r="59" spans="1:16" ht="15.75" customHeight="1" x14ac:dyDescent="0.3">
      <c r="A59" s="24"/>
      <c r="B59" s="32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</row>
    <row r="60" spans="1:16" ht="15.75" customHeight="1" x14ac:dyDescent="0.3">
      <c r="A60" s="24"/>
      <c r="B60" s="32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</row>
    <row r="61" spans="1:16" ht="15.75" customHeight="1" x14ac:dyDescent="0.3">
      <c r="A61" s="24"/>
      <c r="B61" s="32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</row>
    <row r="62" spans="1:16" ht="15.75" customHeight="1" x14ac:dyDescent="0.3">
      <c r="A62" s="24"/>
      <c r="B62" s="32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</row>
    <row r="63" spans="1:16" ht="15.75" customHeight="1" x14ac:dyDescent="0.3">
      <c r="A63" s="24"/>
      <c r="B63" s="32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</row>
    <row r="64" spans="1:16" ht="15.75" customHeight="1" x14ac:dyDescent="0.3">
      <c r="A64" s="24"/>
      <c r="B64" s="32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</row>
    <row r="65" spans="1:16" ht="15.75" customHeight="1" x14ac:dyDescent="0.3">
      <c r="A65" s="24"/>
      <c r="B65" s="32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</row>
    <row r="66" spans="1:16" ht="15.75" customHeight="1" x14ac:dyDescent="0.3">
      <c r="A66" s="24"/>
      <c r="B66" s="32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</row>
    <row r="67" spans="1:16" ht="15.75" customHeight="1" x14ac:dyDescent="0.3">
      <c r="A67" s="24"/>
      <c r="B67" s="32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</row>
    <row r="68" spans="1:16" ht="15.75" customHeight="1" x14ac:dyDescent="0.3">
      <c r="A68" s="24"/>
      <c r="B68" s="32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</row>
    <row r="69" spans="1:16" ht="15.75" customHeight="1" x14ac:dyDescent="0.3">
      <c r="A69" s="24"/>
      <c r="B69" s="32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</row>
    <row r="70" spans="1:16" ht="15.75" customHeight="1" x14ac:dyDescent="0.3">
      <c r="A70" s="24"/>
      <c r="B70" s="32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</row>
    <row r="71" spans="1:16" ht="15.75" customHeight="1" x14ac:dyDescent="0.3">
      <c r="A71" s="24"/>
      <c r="B71" s="32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</row>
    <row r="72" spans="1:16" ht="15.75" customHeight="1" x14ac:dyDescent="0.3">
      <c r="A72" s="24"/>
      <c r="B72" s="32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</row>
    <row r="73" spans="1:16" ht="15.75" customHeight="1" x14ac:dyDescent="0.3">
      <c r="A73" s="24"/>
      <c r="B73" s="32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</row>
    <row r="74" spans="1:16" ht="15.75" customHeight="1" x14ac:dyDescent="0.3">
      <c r="A74" s="24"/>
      <c r="B74" s="32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</row>
    <row r="75" spans="1:16" ht="15.75" customHeight="1" x14ac:dyDescent="0.3">
      <c r="A75" s="24"/>
      <c r="B75" s="32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</row>
    <row r="76" spans="1:16" ht="15.75" customHeight="1" x14ac:dyDescent="0.3">
      <c r="A76" s="24"/>
      <c r="B76" s="32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</row>
    <row r="77" spans="1:16" ht="15.75" customHeight="1" x14ac:dyDescent="0.3">
      <c r="A77" s="24"/>
      <c r="B77" s="32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</row>
    <row r="78" spans="1:16" ht="15.75" customHeight="1" x14ac:dyDescent="0.3">
      <c r="A78" s="24"/>
      <c r="B78" s="32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</row>
    <row r="79" spans="1:16" ht="15.75" customHeight="1" x14ac:dyDescent="0.3">
      <c r="A79" s="24"/>
      <c r="B79" s="32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</row>
    <row r="80" spans="1:16" ht="15.75" customHeight="1" x14ac:dyDescent="0.3">
      <c r="A80" s="24"/>
      <c r="B80" s="32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</row>
    <row r="81" spans="1:16" ht="15.75" customHeight="1" x14ac:dyDescent="0.3">
      <c r="A81" s="24"/>
      <c r="B81" s="32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</row>
    <row r="82" spans="1:16" ht="15.75" customHeight="1" x14ac:dyDescent="0.3">
      <c r="A82" s="24"/>
      <c r="B82" s="32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</row>
    <row r="83" spans="1:16" ht="15.75" customHeight="1" x14ac:dyDescent="0.3">
      <c r="A83" s="24"/>
      <c r="B83" s="32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</row>
    <row r="84" spans="1:16" ht="15.75" customHeight="1" x14ac:dyDescent="0.3">
      <c r="A84" s="24"/>
      <c r="B84" s="32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</row>
    <row r="85" spans="1:16" ht="15.75" customHeight="1" x14ac:dyDescent="0.3">
      <c r="A85" s="24"/>
      <c r="B85" s="32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</row>
    <row r="86" spans="1:16" ht="15.75" customHeight="1" x14ac:dyDescent="0.3">
      <c r="A86" s="24"/>
      <c r="B86" s="32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</row>
    <row r="87" spans="1:16" ht="15.75" customHeight="1" x14ac:dyDescent="0.3">
      <c r="A87" s="24"/>
      <c r="B87" s="32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</row>
    <row r="88" spans="1:16" ht="15.75" customHeight="1" x14ac:dyDescent="0.3">
      <c r="A88" s="24"/>
      <c r="B88" s="32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</row>
    <row r="89" spans="1:16" ht="15.75" customHeight="1" x14ac:dyDescent="0.3">
      <c r="A89" s="24"/>
      <c r="B89" s="32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</row>
    <row r="90" spans="1:16" ht="15.75" customHeight="1" x14ac:dyDescent="0.3">
      <c r="A90" s="24"/>
      <c r="B90" s="32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</row>
    <row r="91" spans="1:16" ht="15.75" customHeight="1" x14ac:dyDescent="0.3">
      <c r="A91" s="24"/>
      <c r="B91" s="32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</row>
    <row r="92" spans="1:16" ht="15.75" customHeight="1" x14ac:dyDescent="0.3">
      <c r="A92" s="24"/>
      <c r="B92" s="32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</row>
    <row r="93" spans="1:16" ht="15.75" customHeight="1" x14ac:dyDescent="0.3">
      <c r="A93" s="24"/>
      <c r="B93" s="32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</row>
    <row r="94" spans="1:16" ht="15.75" customHeight="1" x14ac:dyDescent="0.3">
      <c r="A94" s="24"/>
      <c r="B94" s="32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</row>
    <row r="95" spans="1:16" ht="15.75" customHeight="1" x14ac:dyDescent="0.3">
      <c r="A95" s="24"/>
      <c r="B95" s="32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</row>
    <row r="96" spans="1:16" ht="15.75" customHeight="1" x14ac:dyDescent="0.3">
      <c r="A96" s="24"/>
      <c r="B96" s="32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</row>
    <row r="97" spans="1:16" ht="15.75" customHeight="1" x14ac:dyDescent="0.3">
      <c r="A97" s="24"/>
      <c r="B97" s="32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</row>
    <row r="98" spans="1:16" ht="15.75" customHeight="1" x14ac:dyDescent="0.3">
      <c r="A98" s="24"/>
      <c r="B98" s="32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</row>
    <row r="99" spans="1:16" ht="15.75" customHeight="1" x14ac:dyDescent="0.3">
      <c r="A99" s="24"/>
      <c r="B99" s="32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</row>
    <row r="100" spans="1:16" ht="15.75" customHeight="1" x14ac:dyDescent="0.3">
      <c r="A100" s="24"/>
      <c r="B100" s="32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</row>
    <row r="101" spans="1:16" ht="15.75" customHeight="1" x14ac:dyDescent="0.3">
      <c r="A101" s="24"/>
      <c r="B101" s="32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</row>
    <row r="102" spans="1:16" ht="15.75" customHeight="1" x14ac:dyDescent="0.3">
      <c r="A102" s="24"/>
      <c r="B102" s="32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</row>
    <row r="103" spans="1:16" ht="15.75" customHeight="1" x14ac:dyDescent="0.3">
      <c r="A103" s="24"/>
      <c r="B103" s="32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</row>
    <row r="104" spans="1:16" ht="15.75" customHeight="1" x14ac:dyDescent="0.3">
      <c r="A104" s="24"/>
      <c r="B104" s="32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</row>
    <row r="105" spans="1:16" ht="15.75" customHeight="1" x14ac:dyDescent="0.3">
      <c r="A105" s="24"/>
      <c r="B105" s="32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</row>
    <row r="106" spans="1:16" ht="15.75" customHeight="1" x14ac:dyDescent="0.3">
      <c r="A106" s="24"/>
      <c r="B106" s="32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</row>
    <row r="107" spans="1:16" ht="15.75" customHeight="1" x14ac:dyDescent="0.3">
      <c r="A107" s="24"/>
      <c r="B107" s="32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</row>
    <row r="108" spans="1:16" ht="15.75" customHeight="1" x14ac:dyDescent="0.3">
      <c r="A108" s="24"/>
      <c r="B108" s="32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</row>
    <row r="109" spans="1:16" ht="15.75" customHeight="1" x14ac:dyDescent="0.3">
      <c r="A109" s="24"/>
      <c r="B109" s="32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</row>
    <row r="110" spans="1:16" ht="15.75" customHeight="1" x14ac:dyDescent="0.3">
      <c r="A110" s="24"/>
      <c r="B110" s="32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</row>
    <row r="111" spans="1:16" ht="15.75" customHeight="1" x14ac:dyDescent="0.3">
      <c r="A111" s="24"/>
      <c r="B111" s="32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</row>
    <row r="112" spans="1:16" ht="15.75" customHeight="1" x14ac:dyDescent="0.3">
      <c r="A112" s="24"/>
      <c r="B112" s="32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</row>
    <row r="113" spans="1:16" ht="15.75" customHeight="1" x14ac:dyDescent="0.3">
      <c r="A113" s="24"/>
      <c r="B113" s="32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</row>
    <row r="114" spans="1:16" ht="15.75" customHeight="1" x14ac:dyDescent="0.3">
      <c r="A114" s="24"/>
      <c r="B114" s="32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</row>
    <row r="115" spans="1:16" ht="15.75" customHeight="1" x14ac:dyDescent="0.3">
      <c r="A115" s="24"/>
      <c r="B115" s="32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</row>
    <row r="116" spans="1:16" ht="15.75" customHeight="1" x14ac:dyDescent="0.3">
      <c r="A116" s="24"/>
      <c r="B116" s="32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</row>
    <row r="117" spans="1:16" ht="15.75" customHeight="1" x14ac:dyDescent="0.3">
      <c r="A117" s="24"/>
      <c r="B117" s="32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</row>
    <row r="118" spans="1:16" ht="15.75" customHeight="1" x14ac:dyDescent="0.3">
      <c r="A118" s="24"/>
      <c r="B118" s="32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</row>
    <row r="119" spans="1:16" ht="15.75" customHeight="1" x14ac:dyDescent="0.3">
      <c r="A119" s="24"/>
      <c r="B119" s="32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</row>
    <row r="120" spans="1:16" ht="15.75" customHeight="1" x14ac:dyDescent="0.3">
      <c r="A120" s="24"/>
      <c r="B120" s="32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</row>
    <row r="121" spans="1:16" ht="15.75" customHeight="1" x14ac:dyDescent="0.3">
      <c r="A121" s="24"/>
      <c r="B121" s="32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</row>
    <row r="122" spans="1:16" ht="15.75" customHeight="1" x14ac:dyDescent="0.3">
      <c r="A122" s="24"/>
      <c r="B122" s="32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</row>
    <row r="123" spans="1:16" ht="15.75" customHeight="1" x14ac:dyDescent="0.3">
      <c r="A123" s="24"/>
      <c r="B123" s="32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</row>
    <row r="124" spans="1:16" ht="15.75" customHeight="1" x14ac:dyDescent="0.3">
      <c r="A124" s="24"/>
      <c r="B124" s="32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</row>
    <row r="125" spans="1:16" ht="15.75" customHeight="1" x14ac:dyDescent="0.3">
      <c r="A125" s="24"/>
      <c r="B125" s="32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</row>
    <row r="126" spans="1:16" ht="15.75" customHeight="1" x14ac:dyDescent="0.3">
      <c r="A126" s="24"/>
      <c r="B126" s="32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</row>
    <row r="127" spans="1:16" ht="15.75" customHeight="1" x14ac:dyDescent="0.3">
      <c r="A127" s="24"/>
      <c r="B127" s="32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</row>
    <row r="128" spans="1:16" ht="15.75" customHeight="1" x14ac:dyDescent="0.3">
      <c r="A128" s="24"/>
      <c r="B128" s="32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</row>
    <row r="129" spans="1:16" ht="15.75" customHeight="1" x14ac:dyDescent="0.3">
      <c r="A129" s="24"/>
      <c r="B129" s="32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</row>
    <row r="130" spans="1:16" ht="15.75" customHeight="1" x14ac:dyDescent="0.3">
      <c r="A130" s="24"/>
      <c r="B130" s="32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</row>
    <row r="131" spans="1:16" ht="15.75" customHeight="1" x14ac:dyDescent="0.3">
      <c r="A131" s="24"/>
      <c r="B131" s="32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</row>
    <row r="132" spans="1:16" ht="15.75" customHeight="1" x14ac:dyDescent="0.3">
      <c r="A132" s="24"/>
      <c r="B132" s="32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</row>
    <row r="133" spans="1:16" ht="15.75" customHeight="1" x14ac:dyDescent="0.3">
      <c r="A133" s="24"/>
      <c r="B133" s="32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</row>
    <row r="134" spans="1:16" ht="15.75" customHeight="1" x14ac:dyDescent="0.3">
      <c r="A134" s="24"/>
      <c r="B134" s="32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</row>
    <row r="135" spans="1:16" ht="15.75" customHeight="1" x14ac:dyDescent="0.3">
      <c r="A135" s="24"/>
      <c r="B135" s="32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</row>
    <row r="136" spans="1:16" ht="15.75" customHeight="1" x14ac:dyDescent="0.3">
      <c r="A136" s="24"/>
      <c r="B136" s="32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</row>
    <row r="137" spans="1:16" ht="15.75" customHeight="1" x14ac:dyDescent="0.3">
      <c r="A137" s="24"/>
      <c r="B137" s="32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</row>
    <row r="138" spans="1:16" ht="15.75" customHeight="1" x14ac:dyDescent="0.3">
      <c r="A138" s="24"/>
      <c r="B138" s="32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</row>
    <row r="139" spans="1:16" ht="15.75" customHeight="1" x14ac:dyDescent="0.3">
      <c r="A139" s="24"/>
      <c r="B139" s="32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</row>
    <row r="140" spans="1:16" ht="15.75" customHeight="1" x14ac:dyDescent="0.3">
      <c r="A140" s="24"/>
      <c r="B140" s="32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</row>
    <row r="141" spans="1:16" ht="15.75" customHeight="1" x14ac:dyDescent="0.3">
      <c r="A141" s="24"/>
      <c r="B141" s="32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</row>
    <row r="142" spans="1:16" ht="15.75" customHeight="1" x14ac:dyDescent="0.3">
      <c r="A142" s="24"/>
      <c r="B142" s="32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</row>
    <row r="143" spans="1:16" ht="15.75" customHeight="1" x14ac:dyDescent="0.3">
      <c r="A143" s="24"/>
      <c r="B143" s="32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</row>
    <row r="144" spans="1:16" ht="15.75" customHeight="1" x14ac:dyDescent="0.3">
      <c r="A144" s="24"/>
      <c r="B144" s="32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</row>
    <row r="145" spans="1:16" ht="15.75" customHeight="1" x14ac:dyDescent="0.3">
      <c r="A145" s="24"/>
      <c r="B145" s="32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</row>
    <row r="146" spans="1:16" ht="15.75" customHeight="1" x14ac:dyDescent="0.3">
      <c r="A146" s="24"/>
      <c r="B146" s="32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</row>
    <row r="147" spans="1:16" ht="15.75" customHeight="1" x14ac:dyDescent="0.3">
      <c r="A147" s="24"/>
      <c r="B147" s="32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</row>
    <row r="148" spans="1:16" ht="15.75" customHeight="1" x14ac:dyDescent="0.3">
      <c r="A148" s="24"/>
      <c r="B148" s="32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</row>
    <row r="149" spans="1:16" ht="15.75" customHeight="1" x14ac:dyDescent="0.3">
      <c r="A149" s="24"/>
      <c r="B149" s="32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</row>
    <row r="150" spans="1:16" ht="15.75" customHeight="1" x14ac:dyDescent="0.3">
      <c r="A150" s="24"/>
      <c r="B150" s="32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</row>
    <row r="151" spans="1:16" ht="15.75" customHeight="1" x14ac:dyDescent="0.3">
      <c r="A151" s="24"/>
      <c r="B151" s="32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</row>
    <row r="152" spans="1:16" ht="15.75" customHeight="1" x14ac:dyDescent="0.3">
      <c r="A152" s="24"/>
      <c r="B152" s="32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</row>
    <row r="153" spans="1:16" ht="15.75" customHeight="1" x14ac:dyDescent="0.3">
      <c r="A153" s="24"/>
      <c r="B153" s="32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</row>
    <row r="154" spans="1:16" ht="15.75" customHeight="1" x14ac:dyDescent="0.3">
      <c r="A154" s="24"/>
      <c r="B154" s="32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</row>
    <row r="155" spans="1:16" ht="15.75" customHeight="1" x14ac:dyDescent="0.3">
      <c r="A155" s="24"/>
      <c r="B155" s="32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</row>
    <row r="156" spans="1:16" ht="15.75" customHeight="1" x14ac:dyDescent="0.3">
      <c r="A156" s="24"/>
      <c r="B156" s="32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</row>
    <row r="157" spans="1:16" ht="15.75" customHeight="1" x14ac:dyDescent="0.3">
      <c r="A157" s="24"/>
      <c r="B157" s="32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</row>
    <row r="158" spans="1:16" ht="15.75" customHeight="1" x14ac:dyDescent="0.3">
      <c r="A158" s="24"/>
      <c r="B158" s="32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</row>
    <row r="159" spans="1:16" ht="15.75" customHeight="1" x14ac:dyDescent="0.3">
      <c r="A159" s="24"/>
      <c r="B159" s="32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</row>
    <row r="160" spans="1:16" ht="15.75" customHeight="1" x14ac:dyDescent="0.3">
      <c r="A160" s="24"/>
      <c r="B160" s="32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</row>
    <row r="161" spans="1:16" ht="15.75" customHeight="1" x14ac:dyDescent="0.3">
      <c r="A161" s="24"/>
      <c r="B161" s="32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</row>
    <row r="162" spans="1:16" ht="15.75" customHeight="1" x14ac:dyDescent="0.3">
      <c r="A162" s="24"/>
      <c r="B162" s="32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</row>
    <row r="163" spans="1:16" ht="15.75" customHeight="1" x14ac:dyDescent="0.3">
      <c r="A163" s="24"/>
      <c r="B163" s="32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</row>
    <row r="164" spans="1:16" ht="15.75" customHeight="1" x14ac:dyDescent="0.3">
      <c r="A164" s="24"/>
      <c r="B164" s="32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</row>
    <row r="165" spans="1:16" ht="15.75" customHeight="1" x14ac:dyDescent="0.3">
      <c r="A165" s="24"/>
      <c r="B165" s="32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</row>
    <row r="166" spans="1:16" ht="15.75" customHeight="1" x14ac:dyDescent="0.3">
      <c r="A166" s="24"/>
      <c r="B166" s="32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</row>
    <row r="167" spans="1:16" ht="15.75" customHeight="1" x14ac:dyDescent="0.3">
      <c r="A167" s="24"/>
      <c r="B167" s="32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</row>
    <row r="168" spans="1:16" ht="15.75" customHeight="1" x14ac:dyDescent="0.3">
      <c r="A168" s="24"/>
      <c r="B168" s="32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</row>
    <row r="169" spans="1:16" ht="15.75" customHeight="1" x14ac:dyDescent="0.3">
      <c r="A169" s="24"/>
      <c r="B169" s="32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</row>
    <row r="170" spans="1:16" ht="15.75" customHeight="1" x14ac:dyDescent="0.3">
      <c r="A170" s="24"/>
      <c r="B170" s="32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</row>
    <row r="171" spans="1:16" ht="15.75" customHeight="1" x14ac:dyDescent="0.3">
      <c r="A171" s="24"/>
      <c r="B171" s="32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</row>
    <row r="172" spans="1:16" ht="15.75" customHeight="1" x14ac:dyDescent="0.3">
      <c r="A172" s="24"/>
      <c r="B172" s="32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</row>
    <row r="173" spans="1:16" ht="15.75" customHeight="1" x14ac:dyDescent="0.3">
      <c r="A173" s="24"/>
      <c r="B173" s="32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</row>
    <row r="174" spans="1:16" ht="15.75" customHeight="1" x14ac:dyDescent="0.3">
      <c r="A174" s="24"/>
      <c r="B174" s="32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</row>
    <row r="175" spans="1:16" ht="15.75" customHeight="1" x14ac:dyDescent="0.3">
      <c r="A175" s="24"/>
      <c r="B175" s="32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</row>
    <row r="176" spans="1:16" ht="15.75" customHeight="1" x14ac:dyDescent="0.3">
      <c r="A176" s="24"/>
      <c r="B176" s="32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</row>
    <row r="177" spans="1:16" ht="15.75" customHeight="1" x14ac:dyDescent="0.3">
      <c r="A177" s="24"/>
      <c r="B177" s="32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</row>
    <row r="178" spans="1:16" ht="15.75" customHeight="1" x14ac:dyDescent="0.3">
      <c r="A178" s="24"/>
      <c r="B178" s="32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</row>
    <row r="179" spans="1:16" ht="15.75" customHeight="1" x14ac:dyDescent="0.3">
      <c r="A179" s="24"/>
      <c r="B179" s="32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</row>
    <row r="180" spans="1:16" ht="15.75" customHeight="1" x14ac:dyDescent="0.3">
      <c r="A180" s="24"/>
      <c r="B180" s="32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</row>
    <row r="181" spans="1:16" ht="15.75" customHeight="1" x14ac:dyDescent="0.3">
      <c r="A181" s="24"/>
      <c r="B181" s="32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</row>
    <row r="182" spans="1:16" ht="15.75" customHeight="1" x14ac:dyDescent="0.3">
      <c r="A182" s="24"/>
      <c r="B182" s="32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</row>
    <row r="183" spans="1:16" ht="15.75" customHeight="1" x14ac:dyDescent="0.3">
      <c r="A183" s="24"/>
      <c r="B183" s="32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</row>
    <row r="184" spans="1:16" ht="15.75" customHeight="1" x14ac:dyDescent="0.3">
      <c r="A184" s="24"/>
      <c r="B184" s="32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</row>
    <row r="185" spans="1:16" ht="15.75" customHeight="1" x14ac:dyDescent="0.3">
      <c r="A185" s="24"/>
      <c r="B185" s="32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</row>
    <row r="186" spans="1:16" ht="15.75" customHeight="1" x14ac:dyDescent="0.3">
      <c r="A186" s="24"/>
      <c r="B186" s="32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</row>
    <row r="187" spans="1:16" ht="15.75" customHeight="1" x14ac:dyDescent="0.3">
      <c r="A187" s="24"/>
      <c r="B187" s="32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</row>
    <row r="188" spans="1:16" ht="15.75" customHeight="1" x14ac:dyDescent="0.3">
      <c r="A188" s="24"/>
      <c r="B188" s="32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</row>
    <row r="189" spans="1:16" ht="15.75" customHeight="1" x14ac:dyDescent="0.3">
      <c r="A189" s="24"/>
      <c r="B189" s="32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</row>
    <row r="190" spans="1:16" ht="15.75" customHeight="1" x14ac:dyDescent="0.3">
      <c r="A190" s="24"/>
      <c r="B190" s="32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</row>
    <row r="191" spans="1:16" ht="15.75" customHeight="1" x14ac:dyDescent="0.3">
      <c r="A191" s="24"/>
      <c r="B191" s="32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</row>
    <row r="192" spans="1:16" ht="15.75" customHeight="1" x14ac:dyDescent="0.3">
      <c r="A192" s="24"/>
      <c r="B192" s="32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</row>
    <row r="193" spans="1:16" ht="15.75" customHeight="1" x14ac:dyDescent="0.3">
      <c r="A193" s="24"/>
      <c r="B193" s="32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</row>
    <row r="194" spans="1:16" ht="15.75" customHeight="1" x14ac:dyDescent="0.3">
      <c r="A194" s="24"/>
      <c r="B194" s="32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</row>
    <row r="195" spans="1:16" ht="15.75" customHeight="1" x14ac:dyDescent="0.3">
      <c r="A195" s="24"/>
      <c r="B195" s="32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</row>
    <row r="196" spans="1:16" ht="15.75" customHeight="1" x14ac:dyDescent="0.3">
      <c r="A196" s="24"/>
      <c r="B196" s="32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</row>
    <row r="197" spans="1:16" ht="15.75" customHeight="1" x14ac:dyDescent="0.3">
      <c r="A197" s="24"/>
      <c r="B197" s="32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</row>
    <row r="198" spans="1:16" ht="15.75" customHeight="1" x14ac:dyDescent="0.3">
      <c r="A198" s="24"/>
      <c r="B198" s="32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</row>
    <row r="199" spans="1:16" ht="15.75" customHeight="1" x14ac:dyDescent="0.3">
      <c r="A199" s="24"/>
      <c r="B199" s="32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</row>
    <row r="200" spans="1:16" ht="15.75" customHeight="1" x14ac:dyDescent="0.3">
      <c r="A200" s="24"/>
      <c r="B200" s="32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</row>
    <row r="201" spans="1:16" ht="15.75" customHeight="1" x14ac:dyDescent="0.3">
      <c r="A201" s="24"/>
      <c r="B201" s="32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</row>
    <row r="202" spans="1:16" ht="15.75" customHeight="1" x14ac:dyDescent="0.3">
      <c r="A202" s="24"/>
      <c r="B202" s="32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</row>
    <row r="203" spans="1:16" ht="15.75" customHeight="1" x14ac:dyDescent="0.3">
      <c r="A203" s="24"/>
      <c r="B203" s="32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</row>
    <row r="204" spans="1:16" ht="15.75" customHeight="1" x14ac:dyDescent="0.3">
      <c r="A204" s="24"/>
      <c r="B204" s="32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</row>
    <row r="205" spans="1:16" ht="15.75" customHeight="1" x14ac:dyDescent="0.3">
      <c r="A205" s="24"/>
      <c r="B205" s="32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</row>
    <row r="206" spans="1:16" ht="15.75" customHeight="1" x14ac:dyDescent="0.3">
      <c r="A206" s="24"/>
      <c r="B206" s="32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</row>
    <row r="207" spans="1:16" ht="15.75" customHeight="1" x14ac:dyDescent="0.3">
      <c r="A207" s="24"/>
      <c r="B207" s="32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</row>
    <row r="208" spans="1:16" ht="15.75" customHeight="1" x14ac:dyDescent="0.3">
      <c r="A208" s="24"/>
      <c r="B208" s="32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</row>
    <row r="209" spans="1:16" ht="15.75" customHeight="1" x14ac:dyDescent="0.3">
      <c r="A209" s="24"/>
      <c r="B209" s="32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</row>
    <row r="210" spans="1:16" ht="15.75" customHeight="1" x14ac:dyDescent="0.3">
      <c r="A210" s="24"/>
      <c r="B210" s="32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</row>
    <row r="211" spans="1:16" ht="15.75" customHeight="1" x14ac:dyDescent="0.3">
      <c r="A211" s="24"/>
      <c r="B211" s="32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</row>
    <row r="212" spans="1:16" ht="15.75" customHeight="1" x14ac:dyDescent="0.3">
      <c r="A212" s="24"/>
      <c r="B212" s="32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</row>
    <row r="213" spans="1:16" ht="15.75" customHeight="1" x14ac:dyDescent="0.3">
      <c r="A213" s="24"/>
      <c r="B213" s="32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</row>
    <row r="214" spans="1:16" ht="15.75" customHeight="1" x14ac:dyDescent="0.3">
      <c r="A214" s="24"/>
      <c r="B214" s="32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</row>
    <row r="215" spans="1:16" ht="15.75" customHeight="1" x14ac:dyDescent="0.3">
      <c r="A215" s="24"/>
      <c r="B215" s="32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</row>
    <row r="216" spans="1:16" ht="15.75" customHeight="1" x14ac:dyDescent="0.3">
      <c r="A216" s="24"/>
      <c r="B216" s="32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</row>
    <row r="217" spans="1:16" ht="15.75" customHeight="1" x14ac:dyDescent="0.3">
      <c r="A217" s="24"/>
      <c r="B217" s="32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</row>
    <row r="218" spans="1:16" ht="15.75" customHeight="1" x14ac:dyDescent="0.3">
      <c r="A218" s="24"/>
      <c r="B218" s="32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</row>
    <row r="219" spans="1:16" ht="15.75" customHeight="1" x14ac:dyDescent="0.3">
      <c r="A219" s="24"/>
      <c r="B219" s="32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</row>
    <row r="220" spans="1:16" ht="15.75" customHeight="1" x14ac:dyDescent="0.3">
      <c r="A220" s="24"/>
      <c r="B220" s="32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</row>
    <row r="221" spans="1:16" ht="15.75" customHeight="1" x14ac:dyDescent="0.3">
      <c r="B221" s="33"/>
    </row>
    <row r="222" spans="1:16" ht="15.75" customHeight="1" x14ac:dyDescent="0.3">
      <c r="B222" s="33"/>
    </row>
    <row r="223" spans="1:16" ht="15.75" customHeight="1" x14ac:dyDescent="0.3">
      <c r="B223" s="33"/>
    </row>
    <row r="224" spans="1:16" ht="15.75" customHeight="1" x14ac:dyDescent="0.3">
      <c r="B224" s="33"/>
    </row>
    <row r="225" spans="2:2" ht="15.75" customHeight="1" x14ac:dyDescent="0.3">
      <c r="B225" s="33"/>
    </row>
    <row r="226" spans="2:2" ht="15.75" customHeight="1" x14ac:dyDescent="0.3">
      <c r="B226" s="33"/>
    </row>
    <row r="227" spans="2:2" ht="15.75" customHeight="1" x14ac:dyDescent="0.3">
      <c r="B227" s="33"/>
    </row>
    <row r="228" spans="2:2" ht="15.75" customHeight="1" x14ac:dyDescent="0.3">
      <c r="B228" s="33"/>
    </row>
    <row r="229" spans="2:2" ht="15.75" customHeight="1" x14ac:dyDescent="0.3">
      <c r="B229" s="33"/>
    </row>
    <row r="230" spans="2:2" ht="15.75" customHeight="1" x14ac:dyDescent="0.3">
      <c r="B230" s="33"/>
    </row>
    <row r="231" spans="2:2" ht="15.75" customHeight="1" x14ac:dyDescent="0.3">
      <c r="B231" s="33"/>
    </row>
    <row r="232" spans="2:2" ht="15.75" customHeight="1" x14ac:dyDescent="0.3">
      <c r="B232" s="33"/>
    </row>
    <row r="233" spans="2:2" ht="15.75" customHeight="1" x14ac:dyDescent="0.3">
      <c r="B233" s="33"/>
    </row>
    <row r="234" spans="2:2" ht="15.75" customHeight="1" x14ac:dyDescent="0.3">
      <c r="B234" s="33"/>
    </row>
    <row r="235" spans="2:2" ht="15.75" customHeight="1" x14ac:dyDescent="0.3">
      <c r="B235" s="33"/>
    </row>
    <row r="236" spans="2:2" ht="15.75" customHeight="1" x14ac:dyDescent="0.3">
      <c r="B236" s="33"/>
    </row>
    <row r="237" spans="2:2" ht="15.75" customHeight="1" x14ac:dyDescent="0.3">
      <c r="B237" s="33"/>
    </row>
    <row r="238" spans="2:2" ht="15.75" customHeight="1" x14ac:dyDescent="0.3">
      <c r="B238" s="33"/>
    </row>
    <row r="239" spans="2:2" ht="15.75" customHeight="1" x14ac:dyDescent="0.3">
      <c r="B239" s="33"/>
    </row>
    <row r="240" spans="2:2" ht="15.75" customHeight="1" x14ac:dyDescent="0.3">
      <c r="B240" s="33"/>
    </row>
    <row r="241" spans="2:2" ht="15.75" customHeight="1" x14ac:dyDescent="0.3">
      <c r="B241" s="33"/>
    </row>
    <row r="242" spans="2:2" ht="15.75" customHeight="1" x14ac:dyDescent="0.3">
      <c r="B242" s="33"/>
    </row>
    <row r="243" spans="2:2" ht="15.75" customHeight="1" x14ac:dyDescent="0.3">
      <c r="B243" s="33"/>
    </row>
    <row r="244" spans="2:2" ht="15.75" customHeight="1" x14ac:dyDescent="0.3">
      <c r="B244" s="33"/>
    </row>
    <row r="245" spans="2:2" ht="15.75" customHeight="1" x14ac:dyDescent="0.3">
      <c r="B245" s="33"/>
    </row>
    <row r="246" spans="2:2" ht="15.75" customHeight="1" x14ac:dyDescent="0.3">
      <c r="B246" s="33"/>
    </row>
    <row r="247" spans="2:2" ht="15.75" customHeight="1" x14ac:dyDescent="0.3">
      <c r="B247" s="33"/>
    </row>
    <row r="248" spans="2:2" ht="15.75" customHeight="1" x14ac:dyDescent="0.3">
      <c r="B248" s="33"/>
    </row>
    <row r="249" spans="2:2" ht="15.75" customHeight="1" x14ac:dyDescent="0.3">
      <c r="B249" s="33"/>
    </row>
    <row r="250" spans="2:2" ht="15.75" customHeight="1" x14ac:dyDescent="0.3">
      <c r="B250" s="33"/>
    </row>
    <row r="251" spans="2:2" ht="15.75" customHeight="1" x14ac:dyDescent="0.3">
      <c r="B251" s="33"/>
    </row>
    <row r="252" spans="2:2" ht="15.75" customHeight="1" x14ac:dyDescent="0.3">
      <c r="B252" s="33"/>
    </row>
    <row r="253" spans="2:2" ht="15.75" customHeight="1" x14ac:dyDescent="0.3">
      <c r="B253" s="33"/>
    </row>
    <row r="254" spans="2:2" ht="15.75" customHeight="1" x14ac:dyDescent="0.3">
      <c r="B254" s="33"/>
    </row>
    <row r="255" spans="2:2" ht="15.75" customHeight="1" x14ac:dyDescent="0.3">
      <c r="B255" s="33"/>
    </row>
    <row r="256" spans="2:2" ht="15.75" customHeight="1" x14ac:dyDescent="0.3">
      <c r="B256" s="33"/>
    </row>
    <row r="257" spans="2:2" ht="15.75" customHeight="1" x14ac:dyDescent="0.3">
      <c r="B257" s="33"/>
    </row>
    <row r="258" spans="2:2" ht="15.75" customHeight="1" x14ac:dyDescent="0.3">
      <c r="B258" s="33"/>
    </row>
    <row r="259" spans="2:2" ht="15.75" customHeight="1" x14ac:dyDescent="0.3">
      <c r="B259" s="33"/>
    </row>
    <row r="260" spans="2:2" ht="15.75" customHeight="1" x14ac:dyDescent="0.3">
      <c r="B260" s="33"/>
    </row>
    <row r="261" spans="2:2" ht="15.75" customHeight="1" x14ac:dyDescent="0.3">
      <c r="B261" s="33"/>
    </row>
    <row r="262" spans="2:2" ht="15.75" customHeight="1" x14ac:dyDescent="0.3">
      <c r="B262" s="33"/>
    </row>
    <row r="263" spans="2:2" ht="15.75" customHeight="1" x14ac:dyDescent="0.3">
      <c r="B263" s="33"/>
    </row>
    <row r="264" spans="2:2" ht="15.75" customHeight="1" x14ac:dyDescent="0.3">
      <c r="B264" s="33"/>
    </row>
    <row r="265" spans="2:2" ht="15.75" customHeight="1" x14ac:dyDescent="0.3">
      <c r="B265" s="33"/>
    </row>
    <row r="266" spans="2:2" ht="15.75" customHeight="1" x14ac:dyDescent="0.3">
      <c r="B266" s="33"/>
    </row>
    <row r="267" spans="2:2" ht="15.75" customHeight="1" x14ac:dyDescent="0.3">
      <c r="B267" s="33"/>
    </row>
    <row r="268" spans="2:2" ht="15.75" customHeight="1" x14ac:dyDescent="0.3">
      <c r="B268" s="33"/>
    </row>
    <row r="269" spans="2:2" ht="15.75" customHeight="1" x14ac:dyDescent="0.3">
      <c r="B269" s="33"/>
    </row>
    <row r="270" spans="2:2" ht="15.75" customHeight="1" x14ac:dyDescent="0.3">
      <c r="B270" s="33"/>
    </row>
    <row r="271" spans="2:2" ht="15.75" customHeight="1" x14ac:dyDescent="0.3">
      <c r="B271" s="33"/>
    </row>
    <row r="272" spans="2:2" ht="15.75" customHeight="1" x14ac:dyDescent="0.3">
      <c r="B272" s="33"/>
    </row>
    <row r="273" spans="2:2" ht="15.75" customHeight="1" x14ac:dyDescent="0.3">
      <c r="B273" s="33"/>
    </row>
    <row r="274" spans="2:2" ht="15.75" customHeight="1" x14ac:dyDescent="0.3">
      <c r="B274" s="33"/>
    </row>
    <row r="275" spans="2:2" ht="15.75" customHeight="1" x14ac:dyDescent="0.3">
      <c r="B275" s="33"/>
    </row>
    <row r="276" spans="2:2" ht="15.75" customHeight="1" x14ac:dyDescent="0.3">
      <c r="B276" s="33"/>
    </row>
    <row r="277" spans="2:2" ht="15.75" customHeight="1" x14ac:dyDescent="0.3">
      <c r="B277" s="33"/>
    </row>
    <row r="278" spans="2:2" ht="15.75" customHeight="1" x14ac:dyDescent="0.3">
      <c r="B278" s="33"/>
    </row>
    <row r="279" spans="2:2" ht="15.75" customHeight="1" x14ac:dyDescent="0.3">
      <c r="B279" s="33"/>
    </row>
    <row r="280" spans="2:2" ht="15.75" customHeight="1" x14ac:dyDescent="0.3">
      <c r="B280" s="33"/>
    </row>
    <row r="281" spans="2:2" ht="15.75" customHeight="1" x14ac:dyDescent="0.3">
      <c r="B281" s="33"/>
    </row>
    <row r="282" spans="2:2" ht="15.75" customHeight="1" x14ac:dyDescent="0.3">
      <c r="B282" s="33"/>
    </row>
    <row r="283" spans="2:2" ht="15.75" customHeight="1" x14ac:dyDescent="0.3">
      <c r="B283" s="33"/>
    </row>
    <row r="284" spans="2:2" ht="15.75" customHeight="1" x14ac:dyDescent="0.3">
      <c r="B284" s="33"/>
    </row>
    <row r="285" spans="2:2" ht="15.75" customHeight="1" x14ac:dyDescent="0.3">
      <c r="B285" s="33"/>
    </row>
    <row r="286" spans="2:2" ht="15.75" customHeight="1" x14ac:dyDescent="0.3">
      <c r="B286" s="33"/>
    </row>
    <row r="287" spans="2:2" ht="15.75" customHeight="1" x14ac:dyDescent="0.3">
      <c r="B287" s="33"/>
    </row>
    <row r="288" spans="2:2" ht="15.75" customHeight="1" x14ac:dyDescent="0.3">
      <c r="B288" s="33"/>
    </row>
    <row r="289" spans="2:2" ht="15.75" customHeight="1" x14ac:dyDescent="0.3">
      <c r="B289" s="33"/>
    </row>
    <row r="290" spans="2:2" ht="15.75" customHeight="1" x14ac:dyDescent="0.3">
      <c r="B290" s="33"/>
    </row>
    <row r="291" spans="2:2" ht="15.75" customHeight="1" x14ac:dyDescent="0.3">
      <c r="B291" s="33"/>
    </row>
    <row r="292" spans="2:2" ht="15.75" customHeight="1" x14ac:dyDescent="0.3">
      <c r="B292" s="33"/>
    </row>
    <row r="293" spans="2:2" ht="15.75" customHeight="1" x14ac:dyDescent="0.3">
      <c r="B293" s="33"/>
    </row>
    <row r="294" spans="2:2" ht="15.75" customHeight="1" x14ac:dyDescent="0.3">
      <c r="B294" s="33"/>
    </row>
    <row r="295" spans="2:2" ht="15.75" customHeight="1" x14ac:dyDescent="0.3">
      <c r="B295" s="33"/>
    </row>
    <row r="296" spans="2:2" ht="15.75" customHeight="1" x14ac:dyDescent="0.3">
      <c r="B296" s="33"/>
    </row>
    <row r="297" spans="2:2" ht="15.75" customHeight="1" x14ac:dyDescent="0.3">
      <c r="B297" s="33"/>
    </row>
    <row r="298" spans="2:2" ht="15.75" customHeight="1" x14ac:dyDescent="0.3">
      <c r="B298" s="33"/>
    </row>
    <row r="299" spans="2:2" ht="15.75" customHeight="1" x14ac:dyDescent="0.3">
      <c r="B299" s="33"/>
    </row>
    <row r="300" spans="2:2" ht="15.75" customHeight="1" x14ac:dyDescent="0.3">
      <c r="B300" s="33"/>
    </row>
    <row r="301" spans="2:2" ht="15.75" customHeight="1" x14ac:dyDescent="0.3">
      <c r="B301" s="33"/>
    </row>
    <row r="302" spans="2:2" ht="15.75" customHeight="1" x14ac:dyDescent="0.3">
      <c r="B302" s="33"/>
    </row>
    <row r="303" spans="2:2" ht="15.75" customHeight="1" x14ac:dyDescent="0.3">
      <c r="B303" s="33"/>
    </row>
    <row r="304" spans="2:2" ht="15.75" customHeight="1" x14ac:dyDescent="0.3">
      <c r="B304" s="33"/>
    </row>
    <row r="305" spans="2:2" ht="15.75" customHeight="1" x14ac:dyDescent="0.3">
      <c r="B305" s="33"/>
    </row>
    <row r="306" spans="2:2" ht="15.75" customHeight="1" x14ac:dyDescent="0.3">
      <c r="B306" s="33"/>
    </row>
    <row r="307" spans="2:2" ht="15.75" customHeight="1" x14ac:dyDescent="0.3">
      <c r="B307" s="33"/>
    </row>
    <row r="308" spans="2:2" ht="15.75" customHeight="1" x14ac:dyDescent="0.3">
      <c r="B308" s="33"/>
    </row>
    <row r="309" spans="2:2" ht="15.75" customHeight="1" x14ac:dyDescent="0.3">
      <c r="B309" s="33"/>
    </row>
    <row r="310" spans="2:2" ht="15.75" customHeight="1" x14ac:dyDescent="0.3">
      <c r="B310" s="33"/>
    </row>
    <row r="311" spans="2:2" ht="15.75" customHeight="1" x14ac:dyDescent="0.3">
      <c r="B311" s="33"/>
    </row>
    <row r="312" spans="2:2" ht="15.75" customHeight="1" x14ac:dyDescent="0.3">
      <c r="B312" s="33"/>
    </row>
    <row r="313" spans="2:2" ht="15.75" customHeight="1" x14ac:dyDescent="0.3">
      <c r="B313" s="33"/>
    </row>
    <row r="314" spans="2:2" ht="15.75" customHeight="1" x14ac:dyDescent="0.3">
      <c r="B314" s="33"/>
    </row>
    <row r="315" spans="2:2" ht="15.75" customHeight="1" x14ac:dyDescent="0.3">
      <c r="B315" s="33"/>
    </row>
    <row r="316" spans="2:2" ht="15.75" customHeight="1" x14ac:dyDescent="0.3">
      <c r="B316" s="33"/>
    </row>
    <row r="317" spans="2:2" ht="15.75" customHeight="1" x14ac:dyDescent="0.3">
      <c r="B317" s="33"/>
    </row>
    <row r="318" spans="2:2" ht="15.75" customHeight="1" x14ac:dyDescent="0.3">
      <c r="B318" s="33"/>
    </row>
    <row r="319" spans="2:2" ht="15.75" customHeight="1" x14ac:dyDescent="0.3">
      <c r="B319" s="33"/>
    </row>
    <row r="320" spans="2:2" ht="15.75" customHeight="1" x14ac:dyDescent="0.3">
      <c r="B320" s="33"/>
    </row>
    <row r="321" spans="2:2" ht="15.75" customHeight="1" x14ac:dyDescent="0.3">
      <c r="B321" s="33"/>
    </row>
    <row r="322" spans="2:2" ht="15.75" customHeight="1" x14ac:dyDescent="0.3">
      <c r="B322" s="33"/>
    </row>
    <row r="323" spans="2:2" ht="15.75" customHeight="1" x14ac:dyDescent="0.3">
      <c r="B323" s="33"/>
    </row>
    <row r="324" spans="2:2" ht="15.75" customHeight="1" x14ac:dyDescent="0.3">
      <c r="B324" s="33"/>
    </row>
    <row r="325" spans="2:2" ht="15.75" customHeight="1" x14ac:dyDescent="0.3">
      <c r="B325" s="33"/>
    </row>
    <row r="326" spans="2:2" ht="15.75" customHeight="1" x14ac:dyDescent="0.3">
      <c r="B326" s="33"/>
    </row>
    <row r="327" spans="2:2" ht="15.75" customHeight="1" x14ac:dyDescent="0.3">
      <c r="B327" s="33"/>
    </row>
    <row r="328" spans="2:2" ht="15.75" customHeight="1" x14ac:dyDescent="0.3">
      <c r="B328" s="33"/>
    </row>
    <row r="329" spans="2:2" ht="15.75" customHeight="1" x14ac:dyDescent="0.3">
      <c r="B329" s="33"/>
    </row>
    <row r="330" spans="2:2" ht="15.75" customHeight="1" x14ac:dyDescent="0.3">
      <c r="B330" s="33"/>
    </row>
    <row r="331" spans="2:2" ht="15.75" customHeight="1" x14ac:dyDescent="0.3">
      <c r="B331" s="33"/>
    </row>
    <row r="332" spans="2:2" ht="15.75" customHeight="1" x14ac:dyDescent="0.3">
      <c r="B332" s="33"/>
    </row>
    <row r="333" spans="2:2" ht="15.75" customHeight="1" x14ac:dyDescent="0.3">
      <c r="B333" s="33"/>
    </row>
    <row r="334" spans="2:2" ht="15.75" customHeight="1" x14ac:dyDescent="0.3">
      <c r="B334" s="33"/>
    </row>
    <row r="335" spans="2:2" ht="15.75" customHeight="1" x14ac:dyDescent="0.3">
      <c r="B335" s="33"/>
    </row>
    <row r="336" spans="2:2" ht="15.75" customHeight="1" x14ac:dyDescent="0.3">
      <c r="B336" s="33"/>
    </row>
    <row r="337" spans="2:2" ht="15.75" customHeight="1" x14ac:dyDescent="0.3">
      <c r="B337" s="33"/>
    </row>
    <row r="338" spans="2:2" ht="15.75" customHeight="1" x14ac:dyDescent="0.3">
      <c r="B338" s="33"/>
    </row>
    <row r="339" spans="2:2" ht="15.75" customHeight="1" x14ac:dyDescent="0.3">
      <c r="B339" s="33"/>
    </row>
    <row r="340" spans="2:2" ht="15.75" customHeight="1" x14ac:dyDescent="0.3">
      <c r="B340" s="33"/>
    </row>
    <row r="341" spans="2:2" ht="15.75" customHeight="1" x14ac:dyDescent="0.3">
      <c r="B341" s="33"/>
    </row>
    <row r="342" spans="2:2" ht="15.75" customHeight="1" x14ac:dyDescent="0.3">
      <c r="B342" s="33"/>
    </row>
    <row r="343" spans="2:2" ht="15.75" customHeight="1" x14ac:dyDescent="0.3">
      <c r="B343" s="33"/>
    </row>
    <row r="344" spans="2:2" ht="15.75" customHeight="1" x14ac:dyDescent="0.3">
      <c r="B344" s="33"/>
    </row>
    <row r="345" spans="2:2" ht="15.75" customHeight="1" x14ac:dyDescent="0.3">
      <c r="B345" s="33"/>
    </row>
    <row r="346" spans="2:2" ht="15.75" customHeight="1" x14ac:dyDescent="0.3">
      <c r="B346" s="33"/>
    </row>
    <row r="347" spans="2:2" ht="15.75" customHeight="1" x14ac:dyDescent="0.3">
      <c r="B347" s="33"/>
    </row>
    <row r="348" spans="2:2" ht="15.75" customHeight="1" x14ac:dyDescent="0.3">
      <c r="B348" s="33"/>
    </row>
    <row r="349" spans="2:2" ht="15.75" customHeight="1" x14ac:dyDescent="0.3">
      <c r="B349" s="33"/>
    </row>
    <row r="350" spans="2:2" ht="15.75" customHeight="1" x14ac:dyDescent="0.3">
      <c r="B350" s="33"/>
    </row>
    <row r="351" spans="2:2" ht="15.75" customHeight="1" x14ac:dyDescent="0.3">
      <c r="B351" s="33"/>
    </row>
    <row r="352" spans="2:2" ht="15.75" customHeight="1" x14ac:dyDescent="0.3">
      <c r="B352" s="33"/>
    </row>
    <row r="353" spans="2:2" ht="15.75" customHeight="1" x14ac:dyDescent="0.3">
      <c r="B353" s="33"/>
    </row>
    <row r="354" spans="2:2" ht="15.75" customHeight="1" x14ac:dyDescent="0.3">
      <c r="B354" s="33"/>
    </row>
    <row r="355" spans="2:2" ht="15.75" customHeight="1" x14ac:dyDescent="0.3">
      <c r="B355" s="33"/>
    </row>
    <row r="356" spans="2:2" ht="15.75" customHeight="1" x14ac:dyDescent="0.3">
      <c r="B356" s="33"/>
    </row>
    <row r="357" spans="2:2" ht="15.75" customHeight="1" x14ac:dyDescent="0.3">
      <c r="B357" s="33"/>
    </row>
    <row r="358" spans="2:2" ht="15.75" customHeight="1" x14ac:dyDescent="0.3">
      <c r="B358" s="33"/>
    </row>
    <row r="359" spans="2:2" ht="15.75" customHeight="1" x14ac:dyDescent="0.3">
      <c r="B359" s="33"/>
    </row>
    <row r="360" spans="2:2" ht="15.75" customHeight="1" x14ac:dyDescent="0.3">
      <c r="B360" s="33"/>
    </row>
    <row r="361" spans="2:2" ht="15.75" customHeight="1" x14ac:dyDescent="0.3">
      <c r="B361" s="33"/>
    </row>
    <row r="362" spans="2:2" ht="15.75" customHeight="1" x14ac:dyDescent="0.3">
      <c r="B362" s="33"/>
    </row>
    <row r="363" spans="2:2" ht="15.75" customHeight="1" x14ac:dyDescent="0.3">
      <c r="B363" s="33"/>
    </row>
    <row r="364" spans="2:2" ht="15.75" customHeight="1" x14ac:dyDescent="0.3">
      <c r="B364" s="33"/>
    </row>
    <row r="365" spans="2:2" ht="15.75" customHeight="1" x14ac:dyDescent="0.3">
      <c r="B365" s="33"/>
    </row>
    <row r="366" spans="2:2" ht="15.75" customHeight="1" x14ac:dyDescent="0.3">
      <c r="B366" s="33"/>
    </row>
    <row r="367" spans="2:2" ht="15.75" customHeight="1" x14ac:dyDescent="0.3">
      <c r="B367" s="33"/>
    </row>
    <row r="368" spans="2:2" ht="15.75" customHeight="1" x14ac:dyDescent="0.3">
      <c r="B368" s="33"/>
    </row>
    <row r="369" spans="2:2" ht="15.75" customHeight="1" x14ac:dyDescent="0.3">
      <c r="B369" s="33"/>
    </row>
    <row r="370" spans="2:2" ht="15.75" customHeight="1" x14ac:dyDescent="0.3">
      <c r="B370" s="33"/>
    </row>
    <row r="371" spans="2:2" ht="15.75" customHeight="1" x14ac:dyDescent="0.3">
      <c r="B371" s="33"/>
    </row>
    <row r="372" spans="2:2" ht="15.75" customHeight="1" x14ac:dyDescent="0.3">
      <c r="B372" s="33"/>
    </row>
    <row r="373" spans="2:2" ht="15.75" customHeight="1" x14ac:dyDescent="0.3">
      <c r="B373" s="33"/>
    </row>
    <row r="374" spans="2:2" ht="15.75" customHeight="1" x14ac:dyDescent="0.3">
      <c r="B374" s="33"/>
    </row>
    <row r="375" spans="2:2" ht="15.75" customHeight="1" x14ac:dyDescent="0.3">
      <c r="B375" s="33"/>
    </row>
    <row r="376" spans="2:2" ht="15.75" customHeight="1" x14ac:dyDescent="0.3">
      <c r="B376" s="33"/>
    </row>
    <row r="377" spans="2:2" ht="15.75" customHeight="1" x14ac:dyDescent="0.3">
      <c r="B377" s="33"/>
    </row>
    <row r="378" spans="2:2" ht="15.75" customHeight="1" x14ac:dyDescent="0.3">
      <c r="B378" s="33"/>
    </row>
    <row r="379" spans="2:2" ht="15.75" customHeight="1" x14ac:dyDescent="0.3">
      <c r="B379" s="33"/>
    </row>
    <row r="380" spans="2:2" ht="15.75" customHeight="1" x14ac:dyDescent="0.3">
      <c r="B380" s="33"/>
    </row>
    <row r="381" spans="2:2" ht="15.75" customHeight="1" x14ac:dyDescent="0.3">
      <c r="B381" s="33"/>
    </row>
    <row r="382" spans="2:2" ht="15.75" customHeight="1" x14ac:dyDescent="0.3">
      <c r="B382" s="33"/>
    </row>
    <row r="383" spans="2:2" ht="15.75" customHeight="1" x14ac:dyDescent="0.3">
      <c r="B383" s="33"/>
    </row>
    <row r="384" spans="2:2" ht="15.75" customHeight="1" x14ac:dyDescent="0.3">
      <c r="B384" s="33"/>
    </row>
    <row r="385" spans="2:2" ht="15.75" customHeight="1" x14ac:dyDescent="0.3">
      <c r="B385" s="33"/>
    </row>
    <row r="386" spans="2:2" ht="15.75" customHeight="1" x14ac:dyDescent="0.3">
      <c r="B386" s="33"/>
    </row>
    <row r="387" spans="2:2" ht="15.75" customHeight="1" x14ac:dyDescent="0.3">
      <c r="B387" s="33"/>
    </row>
    <row r="388" spans="2:2" ht="15.75" customHeight="1" x14ac:dyDescent="0.3">
      <c r="B388" s="33"/>
    </row>
    <row r="389" spans="2:2" ht="15.75" customHeight="1" x14ac:dyDescent="0.3">
      <c r="B389" s="33"/>
    </row>
    <row r="390" spans="2:2" ht="15.75" customHeight="1" x14ac:dyDescent="0.3">
      <c r="B390" s="33"/>
    </row>
    <row r="391" spans="2:2" ht="15.75" customHeight="1" x14ac:dyDescent="0.3">
      <c r="B391" s="33"/>
    </row>
    <row r="392" spans="2:2" ht="15.75" customHeight="1" x14ac:dyDescent="0.3">
      <c r="B392" s="33"/>
    </row>
    <row r="393" spans="2:2" ht="15.75" customHeight="1" x14ac:dyDescent="0.3">
      <c r="B393" s="33"/>
    </row>
    <row r="394" spans="2:2" ht="15.75" customHeight="1" x14ac:dyDescent="0.3">
      <c r="B394" s="33"/>
    </row>
    <row r="395" spans="2:2" ht="15.75" customHeight="1" x14ac:dyDescent="0.3">
      <c r="B395" s="33"/>
    </row>
    <row r="396" spans="2:2" ht="15.75" customHeight="1" x14ac:dyDescent="0.3">
      <c r="B396" s="33"/>
    </row>
    <row r="397" spans="2:2" ht="15.75" customHeight="1" x14ac:dyDescent="0.3">
      <c r="B397" s="33"/>
    </row>
    <row r="398" spans="2:2" ht="15.75" customHeight="1" x14ac:dyDescent="0.3">
      <c r="B398" s="33"/>
    </row>
    <row r="399" spans="2:2" ht="15.75" customHeight="1" x14ac:dyDescent="0.3">
      <c r="B399" s="33"/>
    </row>
    <row r="400" spans="2:2" ht="15.75" customHeight="1" x14ac:dyDescent="0.3">
      <c r="B400" s="33"/>
    </row>
    <row r="401" spans="2:2" ht="15.75" customHeight="1" x14ac:dyDescent="0.3">
      <c r="B401" s="33"/>
    </row>
    <row r="402" spans="2:2" ht="15.75" customHeight="1" x14ac:dyDescent="0.3">
      <c r="B402" s="33"/>
    </row>
    <row r="403" spans="2:2" ht="15.75" customHeight="1" x14ac:dyDescent="0.3">
      <c r="B403" s="33"/>
    </row>
    <row r="404" spans="2:2" ht="15.75" customHeight="1" x14ac:dyDescent="0.3">
      <c r="B404" s="33"/>
    </row>
    <row r="405" spans="2:2" ht="15.75" customHeight="1" x14ac:dyDescent="0.3">
      <c r="B405" s="33"/>
    </row>
    <row r="406" spans="2:2" ht="15.75" customHeight="1" x14ac:dyDescent="0.3">
      <c r="B406" s="33"/>
    </row>
    <row r="407" spans="2:2" ht="15.75" customHeight="1" x14ac:dyDescent="0.3">
      <c r="B407" s="33"/>
    </row>
    <row r="408" spans="2:2" ht="15.75" customHeight="1" x14ac:dyDescent="0.3">
      <c r="B408" s="33"/>
    </row>
    <row r="409" spans="2:2" ht="15.75" customHeight="1" x14ac:dyDescent="0.3">
      <c r="B409" s="33"/>
    </row>
    <row r="410" spans="2:2" ht="15.75" customHeight="1" x14ac:dyDescent="0.3">
      <c r="B410" s="33"/>
    </row>
    <row r="411" spans="2:2" ht="15.75" customHeight="1" x14ac:dyDescent="0.3">
      <c r="B411" s="33"/>
    </row>
    <row r="412" spans="2:2" ht="15.75" customHeight="1" x14ac:dyDescent="0.3">
      <c r="B412" s="33"/>
    </row>
    <row r="413" spans="2:2" ht="15.75" customHeight="1" x14ac:dyDescent="0.3">
      <c r="B413" s="33"/>
    </row>
    <row r="414" spans="2:2" ht="15.75" customHeight="1" x14ac:dyDescent="0.3">
      <c r="B414" s="33"/>
    </row>
    <row r="415" spans="2:2" ht="15.75" customHeight="1" x14ac:dyDescent="0.3">
      <c r="B415" s="33"/>
    </row>
    <row r="416" spans="2:2" ht="15.75" customHeight="1" x14ac:dyDescent="0.3">
      <c r="B416" s="33"/>
    </row>
    <row r="417" spans="2:2" ht="15.75" customHeight="1" x14ac:dyDescent="0.3">
      <c r="B417" s="33"/>
    </row>
    <row r="418" spans="2:2" ht="15.75" customHeight="1" x14ac:dyDescent="0.3">
      <c r="B418" s="33"/>
    </row>
    <row r="419" spans="2:2" ht="15.75" customHeight="1" x14ac:dyDescent="0.3">
      <c r="B419" s="33"/>
    </row>
    <row r="420" spans="2:2" ht="15.75" customHeight="1" x14ac:dyDescent="0.3">
      <c r="B420" s="33"/>
    </row>
    <row r="421" spans="2:2" ht="15.75" customHeight="1" x14ac:dyDescent="0.3">
      <c r="B421" s="33"/>
    </row>
    <row r="422" spans="2:2" ht="15.75" customHeight="1" x14ac:dyDescent="0.3">
      <c r="B422" s="33"/>
    </row>
    <row r="423" spans="2:2" ht="15.75" customHeight="1" x14ac:dyDescent="0.3">
      <c r="B423" s="33"/>
    </row>
    <row r="424" spans="2:2" ht="15.75" customHeight="1" x14ac:dyDescent="0.3">
      <c r="B424" s="33"/>
    </row>
    <row r="425" spans="2:2" ht="15.75" customHeight="1" x14ac:dyDescent="0.3">
      <c r="B425" s="33"/>
    </row>
    <row r="426" spans="2:2" ht="15.75" customHeight="1" x14ac:dyDescent="0.3">
      <c r="B426" s="33"/>
    </row>
    <row r="427" spans="2:2" ht="15.75" customHeight="1" x14ac:dyDescent="0.3">
      <c r="B427" s="33"/>
    </row>
    <row r="428" spans="2:2" ht="15.75" customHeight="1" x14ac:dyDescent="0.3">
      <c r="B428" s="33"/>
    </row>
    <row r="429" spans="2:2" ht="15.75" customHeight="1" x14ac:dyDescent="0.3">
      <c r="B429" s="33"/>
    </row>
    <row r="430" spans="2:2" ht="15.75" customHeight="1" x14ac:dyDescent="0.3">
      <c r="B430" s="33"/>
    </row>
    <row r="431" spans="2:2" ht="15.75" customHeight="1" x14ac:dyDescent="0.3">
      <c r="B431" s="33"/>
    </row>
    <row r="432" spans="2:2" ht="15.75" customHeight="1" x14ac:dyDescent="0.3">
      <c r="B432" s="33"/>
    </row>
    <row r="433" spans="2:2" ht="15.75" customHeight="1" x14ac:dyDescent="0.3">
      <c r="B433" s="33"/>
    </row>
    <row r="434" spans="2:2" ht="15.75" customHeight="1" x14ac:dyDescent="0.3">
      <c r="B434" s="33"/>
    </row>
    <row r="435" spans="2:2" ht="15.75" customHeight="1" x14ac:dyDescent="0.3">
      <c r="B435" s="33"/>
    </row>
    <row r="436" spans="2:2" ht="15.75" customHeight="1" x14ac:dyDescent="0.3">
      <c r="B436" s="33"/>
    </row>
    <row r="437" spans="2:2" ht="15.75" customHeight="1" x14ac:dyDescent="0.3">
      <c r="B437" s="33"/>
    </row>
    <row r="438" spans="2:2" ht="15.75" customHeight="1" x14ac:dyDescent="0.3">
      <c r="B438" s="33"/>
    </row>
    <row r="439" spans="2:2" ht="15.75" customHeight="1" x14ac:dyDescent="0.3">
      <c r="B439" s="33"/>
    </row>
    <row r="440" spans="2:2" ht="15.75" customHeight="1" x14ac:dyDescent="0.3">
      <c r="B440" s="33"/>
    </row>
    <row r="441" spans="2:2" ht="15.75" customHeight="1" x14ac:dyDescent="0.3">
      <c r="B441" s="33"/>
    </row>
    <row r="442" spans="2:2" ht="15.75" customHeight="1" x14ac:dyDescent="0.3">
      <c r="B442" s="33"/>
    </row>
    <row r="443" spans="2:2" ht="15.75" customHeight="1" x14ac:dyDescent="0.3">
      <c r="B443" s="33"/>
    </row>
    <row r="444" spans="2:2" ht="15.75" customHeight="1" x14ac:dyDescent="0.3">
      <c r="B444" s="33"/>
    </row>
    <row r="445" spans="2:2" ht="15.75" customHeight="1" x14ac:dyDescent="0.3">
      <c r="B445" s="33"/>
    </row>
    <row r="446" spans="2:2" ht="15.75" customHeight="1" x14ac:dyDescent="0.3">
      <c r="B446" s="33"/>
    </row>
    <row r="447" spans="2:2" ht="15.75" customHeight="1" x14ac:dyDescent="0.3">
      <c r="B447" s="33"/>
    </row>
    <row r="448" spans="2:2" ht="15.75" customHeight="1" x14ac:dyDescent="0.3">
      <c r="B448" s="33"/>
    </row>
    <row r="449" spans="2:2" ht="15.75" customHeight="1" x14ac:dyDescent="0.3">
      <c r="B449" s="33"/>
    </row>
    <row r="450" spans="2:2" ht="15.75" customHeight="1" x14ac:dyDescent="0.3">
      <c r="B450" s="33"/>
    </row>
    <row r="451" spans="2:2" ht="15.75" customHeight="1" x14ac:dyDescent="0.3">
      <c r="B451" s="33"/>
    </row>
    <row r="452" spans="2:2" ht="15.75" customHeight="1" x14ac:dyDescent="0.3">
      <c r="B452" s="33"/>
    </row>
    <row r="453" spans="2:2" ht="15.75" customHeight="1" x14ac:dyDescent="0.3">
      <c r="B453" s="33"/>
    </row>
    <row r="454" spans="2:2" ht="15.75" customHeight="1" x14ac:dyDescent="0.3">
      <c r="B454" s="33"/>
    </row>
    <row r="455" spans="2:2" ht="15.75" customHeight="1" x14ac:dyDescent="0.3">
      <c r="B455" s="33"/>
    </row>
    <row r="456" spans="2:2" ht="15.75" customHeight="1" x14ac:dyDescent="0.3">
      <c r="B456" s="33"/>
    </row>
    <row r="457" spans="2:2" ht="15.75" customHeight="1" x14ac:dyDescent="0.3">
      <c r="B457" s="33"/>
    </row>
    <row r="458" spans="2:2" ht="15.75" customHeight="1" x14ac:dyDescent="0.3">
      <c r="B458" s="33"/>
    </row>
    <row r="459" spans="2:2" ht="15.75" customHeight="1" x14ac:dyDescent="0.3">
      <c r="B459" s="33"/>
    </row>
    <row r="460" spans="2:2" ht="15.75" customHeight="1" x14ac:dyDescent="0.3">
      <c r="B460" s="33"/>
    </row>
    <row r="461" spans="2:2" ht="15.75" customHeight="1" x14ac:dyDescent="0.3">
      <c r="B461" s="33"/>
    </row>
    <row r="462" spans="2:2" ht="15.75" customHeight="1" x14ac:dyDescent="0.3">
      <c r="B462" s="33"/>
    </row>
    <row r="463" spans="2:2" ht="15.75" customHeight="1" x14ac:dyDescent="0.3">
      <c r="B463" s="33"/>
    </row>
    <row r="464" spans="2:2" ht="15.75" customHeight="1" x14ac:dyDescent="0.3">
      <c r="B464" s="33"/>
    </row>
    <row r="465" spans="2:2" ht="15.75" customHeight="1" x14ac:dyDescent="0.3">
      <c r="B465" s="33"/>
    </row>
    <row r="466" spans="2:2" ht="15.75" customHeight="1" x14ac:dyDescent="0.3">
      <c r="B466" s="33"/>
    </row>
    <row r="467" spans="2:2" ht="15.75" customHeight="1" x14ac:dyDescent="0.3">
      <c r="B467" s="33"/>
    </row>
    <row r="468" spans="2:2" ht="15.75" customHeight="1" x14ac:dyDescent="0.3">
      <c r="B468" s="33"/>
    </row>
    <row r="469" spans="2:2" ht="15.75" customHeight="1" x14ac:dyDescent="0.3">
      <c r="B469" s="33"/>
    </row>
    <row r="470" spans="2:2" ht="15.75" customHeight="1" x14ac:dyDescent="0.3">
      <c r="B470" s="33"/>
    </row>
    <row r="471" spans="2:2" ht="15.75" customHeight="1" x14ac:dyDescent="0.3">
      <c r="B471" s="33"/>
    </row>
    <row r="472" spans="2:2" ht="15.75" customHeight="1" x14ac:dyDescent="0.3">
      <c r="B472" s="33"/>
    </row>
    <row r="473" spans="2:2" ht="15.75" customHeight="1" x14ac:dyDescent="0.3">
      <c r="B473" s="33"/>
    </row>
    <row r="474" spans="2:2" ht="15.75" customHeight="1" x14ac:dyDescent="0.3">
      <c r="B474" s="33"/>
    </row>
    <row r="475" spans="2:2" ht="15.75" customHeight="1" x14ac:dyDescent="0.3">
      <c r="B475" s="33"/>
    </row>
    <row r="476" spans="2:2" ht="15.75" customHeight="1" x14ac:dyDescent="0.3">
      <c r="B476" s="33"/>
    </row>
    <row r="477" spans="2:2" ht="15.75" customHeight="1" x14ac:dyDescent="0.3">
      <c r="B477" s="33"/>
    </row>
    <row r="478" spans="2:2" ht="15.75" customHeight="1" x14ac:dyDescent="0.3">
      <c r="B478" s="33"/>
    </row>
    <row r="479" spans="2:2" ht="15.75" customHeight="1" x14ac:dyDescent="0.3">
      <c r="B479" s="33"/>
    </row>
    <row r="480" spans="2:2" ht="15.75" customHeight="1" x14ac:dyDescent="0.3">
      <c r="B480" s="33"/>
    </row>
    <row r="481" spans="2:2" ht="15.75" customHeight="1" x14ac:dyDescent="0.3">
      <c r="B481" s="33"/>
    </row>
    <row r="482" spans="2:2" ht="15.75" customHeight="1" x14ac:dyDescent="0.3">
      <c r="B482" s="33"/>
    </row>
    <row r="483" spans="2:2" ht="15.75" customHeight="1" x14ac:dyDescent="0.3">
      <c r="B483" s="33"/>
    </row>
    <row r="484" spans="2:2" ht="15.75" customHeight="1" x14ac:dyDescent="0.3">
      <c r="B484" s="33"/>
    </row>
    <row r="485" spans="2:2" ht="15.75" customHeight="1" x14ac:dyDescent="0.3">
      <c r="B485" s="33"/>
    </row>
    <row r="486" spans="2:2" ht="15.75" customHeight="1" x14ac:dyDescent="0.3">
      <c r="B486" s="33"/>
    </row>
    <row r="487" spans="2:2" ht="15.75" customHeight="1" x14ac:dyDescent="0.3">
      <c r="B487" s="33"/>
    </row>
    <row r="488" spans="2:2" ht="15.75" customHeight="1" x14ac:dyDescent="0.3">
      <c r="B488" s="33"/>
    </row>
    <row r="489" spans="2:2" ht="15.75" customHeight="1" x14ac:dyDescent="0.3">
      <c r="B489" s="33"/>
    </row>
    <row r="490" spans="2:2" ht="15.75" customHeight="1" x14ac:dyDescent="0.3">
      <c r="B490" s="33"/>
    </row>
    <row r="491" spans="2:2" ht="15.75" customHeight="1" x14ac:dyDescent="0.3">
      <c r="B491" s="33"/>
    </row>
    <row r="492" spans="2:2" ht="15.75" customHeight="1" x14ac:dyDescent="0.3">
      <c r="B492" s="33"/>
    </row>
    <row r="493" spans="2:2" ht="15.75" customHeight="1" x14ac:dyDescent="0.3">
      <c r="B493" s="33"/>
    </row>
    <row r="494" spans="2:2" ht="15.75" customHeight="1" x14ac:dyDescent="0.3">
      <c r="B494" s="33"/>
    </row>
    <row r="495" spans="2:2" ht="15.75" customHeight="1" x14ac:dyDescent="0.3">
      <c r="B495" s="33"/>
    </row>
    <row r="496" spans="2:2" ht="15.75" customHeight="1" x14ac:dyDescent="0.3">
      <c r="B496" s="33"/>
    </row>
    <row r="497" spans="2:2" ht="15.75" customHeight="1" x14ac:dyDescent="0.3">
      <c r="B497" s="33"/>
    </row>
    <row r="498" spans="2:2" ht="15.75" customHeight="1" x14ac:dyDescent="0.3">
      <c r="B498" s="33"/>
    </row>
    <row r="499" spans="2:2" ht="15.75" customHeight="1" x14ac:dyDescent="0.3">
      <c r="B499" s="33"/>
    </row>
    <row r="500" spans="2:2" ht="15.75" customHeight="1" x14ac:dyDescent="0.3">
      <c r="B500" s="33"/>
    </row>
    <row r="501" spans="2:2" ht="15.75" customHeight="1" x14ac:dyDescent="0.3">
      <c r="B501" s="33"/>
    </row>
    <row r="502" spans="2:2" ht="15.75" customHeight="1" x14ac:dyDescent="0.3">
      <c r="B502" s="33"/>
    </row>
    <row r="503" spans="2:2" ht="15.75" customHeight="1" x14ac:dyDescent="0.3">
      <c r="B503" s="33"/>
    </row>
    <row r="504" spans="2:2" ht="15.75" customHeight="1" x14ac:dyDescent="0.3">
      <c r="B504" s="33"/>
    </row>
    <row r="505" spans="2:2" ht="15.75" customHeight="1" x14ac:dyDescent="0.3">
      <c r="B505" s="33"/>
    </row>
    <row r="506" spans="2:2" ht="15.75" customHeight="1" x14ac:dyDescent="0.3">
      <c r="B506" s="33"/>
    </row>
    <row r="507" spans="2:2" ht="15.75" customHeight="1" x14ac:dyDescent="0.3">
      <c r="B507" s="33"/>
    </row>
    <row r="508" spans="2:2" ht="15.75" customHeight="1" x14ac:dyDescent="0.3">
      <c r="B508" s="33"/>
    </row>
    <row r="509" spans="2:2" ht="15.75" customHeight="1" x14ac:dyDescent="0.3">
      <c r="B509" s="33"/>
    </row>
    <row r="510" spans="2:2" ht="15.75" customHeight="1" x14ac:dyDescent="0.3">
      <c r="B510" s="33"/>
    </row>
    <row r="511" spans="2:2" ht="15.75" customHeight="1" x14ac:dyDescent="0.3">
      <c r="B511" s="33"/>
    </row>
    <row r="512" spans="2:2" ht="15.75" customHeight="1" x14ac:dyDescent="0.3">
      <c r="B512" s="33"/>
    </row>
    <row r="513" spans="2:2" ht="15.75" customHeight="1" x14ac:dyDescent="0.3">
      <c r="B513" s="33"/>
    </row>
    <row r="514" spans="2:2" ht="15.75" customHeight="1" x14ac:dyDescent="0.3">
      <c r="B514" s="33"/>
    </row>
    <row r="515" spans="2:2" ht="15.75" customHeight="1" x14ac:dyDescent="0.3">
      <c r="B515" s="33"/>
    </row>
    <row r="516" spans="2:2" ht="15.75" customHeight="1" x14ac:dyDescent="0.3">
      <c r="B516" s="33"/>
    </row>
    <row r="517" spans="2:2" ht="15.75" customHeight="1" x14ac:dyDescent="0.3">
      <c r="B517" s="33"/>
    </row>
    <row r="518" spans="2:2" ht="15.75" customHeight="1" x14ac:dyDescent="0.3">
      <c r="B518" s="33"/>
    </row>
    <row r="519" spans="2:2" ht="15.75" customHeight="1" x14ac:dyDescent="0.3">
      <c r="B519" s="33"/>
    </row>
    <row r="520" spans="2:2" ht="15.75" customHeight="1" x14ac:dyDescent="0.3">
      <c r="B520" s="33"/>
    </row>
    <row r="521" spans="2:2" ht="15.75" customHeight="1" x14ac:dyDescent="0.3">
      <c r="B521" s="33"/>
    </row>
    <row r="522" spans="2:2" ht="15.75" customHeight="1" x14ac:dyDescent="0.3">
      <c r="B522" s="33"/>
    </row>
    <row r="523" spans="2:2" ht="15.75" customHeight="1" x14ac:dyDescent="0.3">
      <c r="B523" s="33"/>
    </row>
    <row r="524" spans="2:2" ht="15.75" customHeight="1" x14ac:dyDescent="0.3">
      <c r="B524" s="33"/>
    </row>
    <row r="525" spans="2:2" ht="15.75" customHeight="1" x14ac:dyDescent="0.3">
      <c r="B525" s="33"/>
    </row>
    <row r="526" spans="2:2" ht="15.75" customHeight="1" x14ac:dyDescent="0.3">
      <c r="B526" s="33"/>
    </row>
    <row r="527" spans="2:2" ht="15.75" customHeight="1" x14ac:dyDescent="0.3">
      <c r="B527" s="33"/>
    </row>
    <row r="528" spans="2:2" ht="15.75" customHeight="1" x14ac:dyDescent="0.3">
      <c r="B528" s="33"/>
    </row>
    <row r="529" spans="2:2" ht="15.75" customHeight="1" x14ac:dyDescent="0.3">
      <c r="B529" s="33"/>
    </row>
    <row r="530" spans="2:2" ht="15.75" customHeight="1" x14ac:dyDescent="0.3">
      <c r="B530" s="33"/>
    </row>
    <row r="531" spans="2:2" ht="15.75" customHeight="1" x14ac:dyDescent="0.3">
      <c r="B531" s="33"/>
    </row>
    <row r="532" spans="2:2" ht="15.75" customHeight="1" x14ac:dyDescent="0.3">
      <c r="B532" s="33"/>
    </row>
    <row r="533" spans="2:2" ht="15.75" customHeight="1" x14ac:dyDescent="0.3">
      <c r="B533" s="33"/>
    </row>
    <row r="534" spans="2:2" ht="15.75" customHeight="1" x14ac:dyDescent="0.3">
      <c r="B534" s="33"/>
    </row>
    <row r="535" spans="2:2" ht="15.75" customHeight="1" x14ac:dyDescent="0.3">
      <c r="B535" s="33"/>
    </row>
    <row r="536" spans="2:2" ht="15.75" customHeight="1" x14ac:dyDescent="0.3">
      <c r="B536" s="33"/>
    </row>
    <row r="537" spans="2:2" ht="15.75" customHeight="1" x14ac:dyDescent="0.3">
      <c r="B537" s="33"/>
    </row>
    <row r="538" spans="2:2" ht="15.75" customHeight="1" x14ac:dyDescent="0.3">
      <c r="B538" s="33"/>
    </row>
    <row r="539" spans="2:2" ht="15.75" customHeight="1" x14ac:dyDescent="0.3">
      <c r="B539" s="33"/>
    </row>
    <row r="540" spans="2:2" ht="15.75" customHeight="1" x14ac:dyDescent="0.3">
      <c r="B540" s="33"/>
    </row>
    <row r="541" spans="2:2" ht="15.75" customHeight="1" x14ac:dyDescent="0.3">
      <c r="B541" s="33"/>
    </row>
    <row r="542" spans="2:2" ht="15.75" customHeight="1" x14ac:dyDescent="0.3">
      <c r="B542" s="33"/>
    </row>
    <row r="543" spans="2:2" ht="15.75" customHeight="1" x14ac:dyDescent="0.3">
      <c r="B543" s="33"/>
    </row>
    <row r="544" spans="2:2" ht="15.75" customHeight="1" x14ac:dyDescent="0.3">
      <c r="B544" s="33"/>
    </row>
    <row r="545" spans="2:2" ht="15.75" customHeight="1" x14ac:dyDescent="0.3">
      <c r="B545" s="33"/>
    </row>
    <row r="546" spans="2:2" ht="15.75" customHeight="1" x14ac:dyDescent="0.3">
      <c r="B546" s="33"/>
    </row>
    <row r="547" spans="2:2" ht="15.75" customHeight="1" x14ac:dyDescent="0.3">
      <c r="B547" s="33"/>
    </row>
    <row r="548" spans="2:2" ht="15.75" customHeight="1" x14ac:dyDescent="0.3">
      <c r="B548" s="33"/>
    </row>
    <row r="549" spans="2:2" ht="15.75" customHeight="1" x14ac:dyDescent="0.3">
      <c r="B549" s="33"/>
    </row>
    <row r="550" spans="2:2" ht="15.75" customHeight="1" x14ac:dyDescent="0.3">
      <c r="B550" s="33"/>
    </row>
    <row r="551" spans="2:2" ht="15.75" customHeight="1" x14ac:dyDescent="0.3">
      <c r="B551" s="33"/>
    </row>
    <row r="552" spans="2:2" ht="15.75" customHeight="1" x14ac:dyDescent="0.3">
      <c r="B552" s="33"/>
    </row>
    <row r="553" spans="2:2" ht="15.75" customHeight="1" x14ac:dyDescent="0.3">
      <c r="B553" s="33"/>
    </row>
    <row r="554" spans="2:2" ht="15.75" customHeight="1" x14ac:dyDescent="0.3">
      <c r="B554" s="33"/>
    </row>
    <row r="555" spans="2:2" ht="15.75" customHeight="1" x14ac:dyDescent="0.3">
      <c r="B555" s="33"/>
    </row>
    <row r="556" spans="2:2" ht="15.75" customHeight="1" x14ac:dyDescent="0.3">
      <c r="B556" s="33"/>
    </row>
    <row r="557" spans="2:2" ht="15.75" customHeight="1" x14ac:dyDescent="0.3">
      <c r="B557" s="33"/>
    </row>
    <row r="558" spans="2:2" ht="15.75" customHeight="1" x14ac:dyDescent="0.3">
      <c r="B558" s="33"/>
    </row>
    <row r="559" spans="2:2" ht="15.75" customHeight="1" x14ac:dyDescent="0.3">
      <c r="B559" s="33"/>
    </row>
    <row r="560" spans="2:2" ht="15.75" customHeight="1" x14ac:dyDescent="0.3">
      <c r="B560" s="33"/>
    </row>
    <row r="561" spans="2:2" ht="15.75" customHeight="1" x14ac:dyDescent="0.3">
      <c r="B561" s="33"/>
    </row>
    <row r="562" spans="2:2" ht="15.75" customHeight="1" x14ac:dyDescent="0.3">
      <c r="B562" s="33"/>
    </row>
    <row r="563" spans="2:2" ht="15.75" customHeight="1" x14ac:dyDescent="0.3">
      <c r="B563" s="33"/>
    </row>
    <row r="564" spans="2:2" ht="15.75" customHeight="1" x14ac:dyDescent="0.3">
      <c r="B564" s="33"/>
    </row>
    <row r="565" spans="2:2" ht="15.75" customHeight="1" x14ac:dyDescent="0.3">
      <c r="B565" s="33"/>
    </row>
    <row r="566" spans="2:2" ht="15.75" customHeight="1" x14ac:dyDescent="0.3">
      <c r="B566" s="33"/>
    </row>
    <row r="567" spans="2:2" ht="15.75" customHeight="1" x14ac:dyDescent="0.3">
      <c r="B567" s="33"/>
    </row>
    <row r="568" spans="2:2" ht="15.75" customHeight="1" x14ac:dyDescent="0.3">
      <c r="B568" s="33"/>
    </row>
    <row r="569" spans="2:2" ht="15.75" customHeight="1" x14ac:dyDescent="0.3">
      <c r="B569" s="33"/>
    </row>
    <row r="570" spans="2:2" ht="15.75" customHeight="1" x14ac:dyDescent="0.3">
      <c r="B570" s="33"/>
    </row>
    <row r="571" spans="2:2" ht="15.75" customHeight="1" x14ac:dyDescent="0.3">
      <c r="B571" s="33"/>
    </row>
    <row r="572" spans="2:2" ht="15.75" customHeight="1" x14ac:dyDescent="0.3">
      <c r="B572" s="33"/>
    </row>
    <row r="573" spans="2:2" ht="15.75" customHeight="1" x14ac:dyDescent="0.3">
      <c r="B573" s="33"/>
    </row>
    <row r="574" spans="2:2" ht="15.75" customHeight="1" x14ac:dyDescent="0.3">
      <c r="B574" s="33"/>
    </row>
    <row r="575" spans="2:2" ht="15.75" customHeight="1" x14ac:dyDescent="0.3">
      <c r="B575" s="33"/>
    </row>
    <row r="576" spans="2:2" ht="15.75" customHeight="1" x14ac:dyDescent="0.3">
      <c r="B576" s="33"/>
    </row>
    <row r="577" spans="2:2" ht="15.75" customHeight="1" x14ac:dyDescent="0.3">
      <c r="B577" s="33"/>
    </row>
    <row r="578" spans="2:2" ht="15.75" customHeight="1" x14ac:dyDescent="0.3">
      <c r="B578" s="33"/>
    </row>
    <row r="579" spans="2:2" ht="15.75" customHeight="1" x14ac:dyDescent="0.3">
      <c r="B579" s="33"/>
    </row>
    <row r="580" spans="2:2" ht="15.75" customHeight="1" x14ac:dyDescent="0.3">
      <c r="B580" s="33"/>
    </row>
    <row r="581" spans="2:2" ht="15.75" customHeight="1" x14ac:dyDescent="0.3">
      <c r="B581" s="33"/>
    </row>
    <row r="582" spans="2:2" ht="15.75" customHeight="1" x14ac:dyDescent="0.3">
      <c r="B582" s="33"/>
    </row>
    <row r="583" spans="2:2" ht="15.75" customHeight="1" x14ac:dyDescent="0.3">
      <c r="B583" s="33"/>
    </row>
    <row r="584" spans="2:2" ht="15.75" customHeight="1" x14ac:dyDescent="0.3">
      <c r="B584" s="33"/>
    </row>
    <row r="585" spans="2:2" ht="15.75" customHeight="1" x14ac:dyDescent="0.3">
      <c r="B585" s="33"/>
    </row>
    <row r="586" spans="2:2" ht="15.75" customHeight="1" x14ac:dyDescent="0.3">
      <c r="B586" s="33"/>
    </row>
    <row r="587" spans="2:2" ht="15.75" customHeight="1" x14ac:dyDescent="0.3">
      <c r="B587" s="33"/>
    </row>
    <row r="588" spans="2:2" ht="15.75" customHeight="1" x14ac:dyDescent="0.3">
      <c r="B588" s="33"/>
    </row>
    <row r="589" spans="2:2" ht="15.75" customHeight="1" x14ac:dyDescent="0.3">
      <c r="B589" s="33"/>
    </row>
    <row r="590" spans="2:2" ht="15.75" customHeight="1" x14ac:dyDescent="0.3">
      <c r="B590" s="33"/>
    </row>
    <row r="591" spans="2:2" ht="15.75" customHeight="1" x14ac:dyDescent="0.3">
      <c r="B591" s="33"/>
    </row>
    <row r="592" spans="2:2" ht="15.75" customHeight="1" x14ac:dyDescent="0.3">
      <c r="B592" s="33"/>
    </row>
    <row r="593" spans="2:2" ht="15.75" customHeight="1" x14ac:dyDescent="0.3">
      <c r="B593" s="33"/>
    </row>
    <row r="594" spans="2:2" ht="15.75" customHeight="1" x14ac:dyDescent="0.3">
      <c r="B594" s="33"/>
    </row>
    <row r="595" spans="2:2" ht="15.75" customHeight="1" x14ac:dyDescent="0.3">
      <c r="B595" s="33"/>
    </row>
    <row r="596" spans="2:2" ht="15.75" customHeight="1" x14ac:dyDescent="0.3">
      <c r="B596" s="33"/>
    </row>
    <row r="597" spans="2:2" ht="15.75" customHeight="1" x14ac:dyDescent="0.3">
      <c r="B597" s="33"/>
    </row>
    <row r="598" spans="2:2" ht="15.75" customHeight="1" x14ac:dyDescent="0.3">
      <c r="B598" s="33"/>
    </row>
    <row r="599" spans="2:2" ht="15.75" customHeight="1" x14ac:dyDescent="0.3">
      <c r="B599" s="33"/>
    </row>
    <row r="600" spans="2:2" ht="15.75" customHeight="1" x14ac:dyDescent="0.3">
      <c r="B600" s="33"/>
    </row>
    <row r="601" spans="2:2" ht="15.75" customHeight="1" x14ac:dyDescent="0.3">
      <c r="B601" s="33"/>
    </row>
    <row r="602" spans="2:2" ht="15.75" customHeight="1" x14ac:dyDescent="0.3">
      <c r="B602" s="33"/>
    </row>
    <row r="603" spans="2:2" ht="15.75" customHeight="1" x14ac:dyDescent="0.3">
      <c r="B603" s="33"/>
    </row>
    <row r="604" spans="2:2" ht="15.75" customHeight="1" x14ac:dyDescent="0.3">
      <c r="B604" s="33"/>
    </row>
    <row r="605" spans="2:2" ht="15.75" customHeight="1" x14ac:dyDescent="0.3">
      <c r="B605" s="33"/>
    </row>
    <row r="606" spans="2:2" ht="15.75" customHeight="1" x14ac:dyDescent="0.3">
      <c r="B606" s="33"/>
    </row>
    <row r="607" spans="2:2" ht="15.75" customHeight="1" x14ac:dyDescent="0.3">
      <c r="B607" s="33"/>
    </row>
    <row r="608" spans="2:2" ht="15.75" customHeight="1" x14ac:dyDescent="0.3">
      <c r="B608" s="33"/>
    </row>
    <row r="609" spans="2:2" ht="15.75" customHeight="1" x14ac:dyDescent="0.3">
      <c r="B609" s="33"/>
    </row>
    <row r="610" spans="2:2" ht="15.75" customHeight="1" x14ac:dyDescent="0.3">
      <c r="B610" s="33"/>
    </row>
    <row r="611" spans="2:2" ht="15.75" customHeight="1" x14ac:dyDescent="0.3">
      <c r="B611" s="33"/>
    </row>
    <row r="612" spans="2:2" ht="15.75" customHeight="1" x14ac:dyDescent="0.3">
      <c r="B612" s="33"/>
    </row>
    <row r="613" spans="2:2" ht="15.75" customHeight="1" x14ac:dyDescent="0.3">
      <c r="B613" s="33"/>
    </row>
    <row r="614" spans="2:2" ht="15.75" customHeight="1" x14ac:dyDescent="0.3">
      <c r="B614" s="33"/>
    </row>
    <row r="615" spans="2:2" ht="15.75" customHeight="1" x14ac:dyDescent="0.3">
      <c r="B615" s="33"/>
    </row>
    <row r="616" spans="2:2" ht="15.75" customHeight="1" x14ac:dyDescent="0.3">
      <c r="B616" s="33"/>
    </row>
    <row r="617" spans="2:2" ht="15.75" customHeight="1" x14ac:dyDescent="0.3">
      <c r="B617" s="33"/>
    </row>
    <row r="618" spans="2:2" ht="15.75" customHeight="1" x14ac:dyDescent="0.3">
      <c r="B618" s="33"/>
    </row>
    <row r="619" spans="2:2" ht="15.75" customHeight="1" x14ac:dyDescent="0.3">
      <c r="B619" s="33"/>
    </row>
    <row r="620" spans="2:2" ht="15.75" customHeight="1" x14ac:dyDescent="0.3">
      <c r="B620" s="33"/>
    </row>
    <row r="621" spans="2:2" ht="15.75" customHeight="1" x14ac:dyDescent="0.3">
      <c r="B621" s="33"/>
    </row>
    <row r="622" spans="2:2" ht="15.75" customHeight="1" x14ac:dyDescent="0.3">
      <c r="B622" s="33"/>
    </row>
    <row r="623" spans="2:2" ht="15.75" customHeight="1" x14ac:dyDescent="0.3">
      <c r="B623" s="33"/>
    </row>
    <row r="624" spans="2:2" ht="15.75" customHeight="1" x14ac:dyDescent="0.3">
      <c r="B624" s="33"/>
    </row>
    <row r="625" spans="2:2" ht="15.75" customHeight="1" x14ac:dyDescent="0.3">
      <c r="B625" s="33"/>
    </row>
    <row r="626" spans="2:2" ht="15.75" customHeight="1" x14ac:dyDescent="0.3">
      <c r="B626" s="33"/>
    </row>
    <row r="627" spans="2:2" ht="15.75" customHeight="1" x14ac:dyDescent="0.3">
      <c r="B627" s="33"/>
    </row>
    <row r="628" spans="2:2" ht="15.75" customHeight="1" x14ac:dyDescent="0.3">
      <c r="B628" s="33"/>
    </row>
    <row r="629" spans="2:2" ht="15.75" customHeight="1" x14ac:dyDescent="0.3">
      <c r="B629" s="33"/>
    </row>
    <row r="630" spans="2:2" ht="15.75" customHeight="1" x14ac:dyDescent="0.3">
      <c r="B630" s="33"/>
    </row>
    <row r="631" spans="2:2" ht="15.75" customHeight="1" x14ac:dyDescent="0.3">
      <c r="B631" s="33"/>
    </row>
    <row r="632" spans="2:2" ht="15.75" customHeight="1" x14ac:dyDescent="0.3">
      <c r="B632" s="33"/>
    </row>
    <row r="633" spans="2:2" ht="15.75" customHeight="1" x14ac:dyDescent="0.3">
      <c r="B633" s="33"/>
    </row>
    <row r="634" spans="2:2" ht="15.75" customHeight="1" x14ac:dyDescent="0.3">
      <c r="B634" s="33"/>
    </row>
    <row r="635" spans="2:2" ht="15.75" customHeight="1" x14ac:dyDescent="0.3">
      <c r="B635" s="33"/>
    </row>
    <row r="636" spans="2:2" ht="15.75" customHeight="1" x14ac:dyDescent="0.3">
      <c r="B636" s="33"/>
    </row>
    <row r="637" spans="2:2" ht="15.75" customHeight="1" x14ac:dyDescent="0.3">
      <c r="B637" s="33"/>
    </row>
    <row r="638" spans="2:2" ht="15.75" customHeight="1" x14ac:dyDescent="0.3">
      <c r="B638" s="33"/>
    </row>
    <row r="639" spans="2:2" ht="15.75" customHeight="1" x14ac:dyDescent="0.3">
      <c r="B639" s="33"/>
    </row>
    <row r="640" spans="2:2" ht="15.75" customHeight="1" x14ac:dyDescent="0.3">
      <c r="B640" s="33"/>
    </row>
    <row r="641" spans="2:2" ht="15.75" customHeight="1" x14ac:dyDescent="0.3">
      <c r="B641" s="33"/>
    </row>
    <row r="642" spans="2:2" ht="15.75" customHeight="1" x14ac:dyDescent="0.3">
      <c r="B642" s="33"/>
    </row>
    <row r="643" spans="2:2" ht="15.75" customHeight="1" x14ac:dyDescent="0.3">
      <c r="B643" s="33"/>
    </row>
    <row r="644" spans="2:2" ht="15.75" customHeight="1" x14ac:dyDescent="0.3">
      <c r="B644" s="33"/>
    </row>
    <row r="645" spans="2:2" ht="15.75" customHeight="1" x14ac:dyDescent="0.3">
      <c r="B645" s="33"/>
    </row>
    <row r="646" spans="2:2" ht="15.75" customHeight="1" x14ac:dyDescent="0.3">
      <c r="B646" s="33"/>
    </row>
    <row r="647" spans="2:2" ht="15.75" customHeight="1" x14ac:dyDescent="0.3">
      <c r="B647" s="33"/>
    </row>
    <row r="648" spans="2:2" ht="15.75" customHeight="1" x14ac:dyDescent="0.3">
      <c r="B648" s="33"/>
    </row>
    <row r="649" spans="2:2" ht="15.75" customHeight="1" x14ac:dyDescent="0.3">
      <c r="B649" s="33"/>
    </row>
    <row r="650" spans="2:2" ht="15.75" customHeight="1" x14ac:dyDescent="0.3">
      <c r="B650" s="33"/>
    </row>
    <row r="651" spans="2:2" ht="15.75" customHeight="1" x14ac:dyDescent="0.3">
      <c r="B651" s="33"/>
    </row>
    <row r="652" spans="2:2" ht="15.75" customHeight="1" x14ac:dyDescent="0.3">
      <c r="B652" s="33"/>
    </row>
    <row r="653" spans="2:2" ht="15.75" customHeight="1" x14ac:dyDescent="0.3">
      <c r="B653" s="33"/>
    </row>
    <row r="654" spans="2:2" ht="15.75" customHeight="1" x14ac:dyDescent="0.3">
      <c r="B654" s="33"/>
    </row>
    <row r="655" spans="2:2" ht="15.75" customHeight="1" x14ac:dyDescent="0.3">
      <c r="B655" s="33"/>
    </row>
    <row r="656" spans="2:2" ht="15.75" customHeight="1" x14ac:dyDescent="0.3">
      <c r="B656" s="33"/>
    </row>
    <row r="657" spans="2:2" ht="15.75" customHeight="1" x14ac:dyDescent="0.3">
      <c r="B657" s="33"/>
    </row>
    <row r="658" spans="2:2" ht="15.75" customHeight="1" x14ac:dyDescent="0.3">
      <c r="B658" s="33"/>
    </row>
    <row r="659" spans="2:2" ht="15.75" customHeight="1" x14ac:dyDescent="0.3">
      <c r="B659" s="33"/>
    </row>
    <row r="660" spans="2:2" ht="15.75" customHeight="1" x14ac:dyDescent="0.3">
      <c r="B660" s="33"/>
    </row>
    <row r="661" spans="2:2" ht="15.75" customHeight="1" x14ac:dyDescent="0.3">
      <c r="B661" s="33"/>
    </row>
    <row r="662" spans="2:2" ht="15.75" customHeight="1" x14ac:dyDescent="0.3">
      <c r="B662" s="33"/>
    </row>
    <row r="663" spans="2:2" ht="15.75" customHeight="1" x14ac:dyDescent="0.3">
      <c r="B663" s="33"/>
    </row>
    <row r="664" spans="2:2" ht="15.75" customHeight="1" x14ac:dyDescent="0.3">
      <c r="B664" s="33"/>
    </row>
    <row r="665" spans="2:2" ht="15.75" customHeight="1" x14ac:dyDescent="0.3">
      <c r="B665" s="33"/>
    </row>
    <row r="666" spans="2:2" ht="15.75" customHeight="1" x14ac:dyDescent="0.3">
      <c r="B666" s="33"/>
    </row>
    <row r="667" spans="2:2" ht="15.75" customHeight="1" x14ac:dyDescent="0.3">
      <c r="B667" s="33"/>
    </row>
    <row r="668" spans="2:2" ht="15.75" customHeight="1" x14ac:dyDescent="0.3">
      <c r="B668" s="33"/>
    </row>
    <row r="669" spans="2:2" ht="15.75" customHeight="1" x14ac:dyDescent="0.3">
      <c r="B669" s="33"/>
    </row>
    <row r="670" spans="2:2" ht="15.75" customHeight="1" x14ac:dyDescent="0.3">
      <c r="B670" s="33"/>
    </row>
    <row r="671" spans="2:2" ht="15.75" customHeight="1" x14ac:dyDescent="0.3">
      <c r="B671" s="33"/>
    </row>
    <row r="672" spans="2:2" ht="15.75" customHeight="1" x14ac:dyDescent="0.3">
      <c r="B672" s="33"/>
    </row>
    <row r="673" spans="2:2" ht="15.75" customHeight="1" x14ac:dyDescent="0.3">
      <c r="B673" s="33"/>
    </row>
    <row r="674" spans="2:2" ht="15.75" customHeight="1" x14ac:dyDescent="0.3">
      <c r="B674" s="33"/>
    </row>
    <row r="675" spans="2:2" ht="15.75" customHeight="1" x14ac:dyDescent="0.3">
      <c r="B675" s="33"/>
    </row>
    <row r="676" spans="2:2" ht="15.75" customHeight="1" x14ac:dyDescent="0.3">
      <c r="B676" s="33"/>
    </row>
    <row r="677" spans="2:2" ht="15.75" customHeight="1" x14ac:dyDescent="0.3">
      <c r="B677" s="33"/>
    </row>
    <row r="678" spans="2:2" ht="15.75" customHeight="1" x14ac:dyDescent="0.3">
      <c r="B678" s="33"/>
    </row>
    <row r="679" spans="2:2" ht="15.75" customHeight="1" x14ac:dyDescent="0.3">
      <c r="B679" s="33"/>
    </row>
    <row r="680" spans="2:2" ht="15.75" customHeight="1" x14ac:dyDescent="0.3">
      <c r="B680" s="33"/>
    </row>
    <row r="681" spans="2:2" ht="15.75" customHeight="1" x14ac:dyDescent="0.3">
      <c r="B681" s="33"/>
    </row>
    <row r="682" spans="2:2" ht="15.75" customHeight="1" x14ac:dyDescent="0.3">
      <c r="B682" s="33"/>
    </row>
    <row r="683" spans="2:2" ht="15.75" customHeight="1" x14ac:dyDescent="0.3">
      <c r="B683" s="33"/>
    </row>
    <row r="684" spans="2:2" ht="15.75" customHeight="1" x14ac:dyDescent="0.3">
      <c r="B684" s="33"/>
    </row>
    <row r="685" spans="2:2" ht="15.75" customHeight="1" x14ac:dyDescent="0.3">
      <c r="B685" s="33"/>
    </row>
    <row r="686" spans="2:2" ht="15.75" customHeight="1" x14ac:dyDescent="0.3">
      <c r="B686" s="33"/>
    </row>
    <row r="687" spans="2:2" ht="15.75" customHeight="1" x14ac:dyDescent="0.3">
      <c r="B687" s="33"/>
    </row>
    <row r="688" spans="2:2" ht="15.75" customHeight="1" x14ac:dyDescent="0.3">
      <c r="B688" s="33"/>
    </row>
    <row r="689" spans="2:2" ht="15.75" customHeight="1" x14ac:dyDescent="0.3">
      <c r="B689" s="33"/>
    </row>
    <row r="690" spans="2:2" ht="15.75" customHeight="1" x14ac:dyDescent="0.3">
      <c r="B690" s="33"/>
    </row>
    <row r="691" spans="2:2" ht="15.75" customHeight="1" x14ac:dyDescent="0.3">
      <c r="B691" s="33"/>
    </row>
    <row r="692" spans="2:2" ht="15.75" customHeight="1" x14ac:dyDescent="0.3">
      <c r="B692" s="33"/>
    </row>
    <row r="693" spans="2:2" ht="15.75" customHeight="1" x14ac:dyDescent="0.3">
      <c r="B693" s="33"/>
    </row>
    <row r="694" spans="2:2" ht="15.75" customHeight="1" x14ac:dyDescent="0.3">
      <c r="B694" s="33"/>
    </row>
    <row r="695" spans="2:2" ht="15.75" customHeight="1" x14ac:dyDescent="0.3">
      <c r="B695" s="33"/>
    </row>
    <row r="696" spans="2:2" ht="15.75" customHeight="1" x14ac:dyDescent="0.3">
      <c r="B696" s="33"/>
    </row>
    <row r="697" spans="2:2" ht="15.75" customHeight="1" x14ac:dyDescent="0.3">
      <c r="B697" s="33"/>
    </row>
    <row r="698" spans="2:2" ht="15.75" customHeight="1" x14ac:dyDescent="0.3">
      <c r="B698" s="33"/>
    </row>
    <row r="699" spans="2:2" ht="15.75" customHeight="1" x14ac:dyDescent="0.3">
      <c r="B699" s="33"/>
    </row>
    <row r="700" spans="2:2" ht="15.75" customHeight="1" x14ac:dyDescent="0.3">
      <c r="B700" s="33"/>
    </row>
    <row r="701" spans="2:2" ht="15.75" customHeight="1" x14ac:dyDescent="0.3">
      <c r="B701" s="33"/>
    </row>
    <row r="702" spans="2:2" ht="15.75" customHeight="1" x14ac:dyDescent="0.3">
      <c r="B702" s="33"/>
    </row>
    <row r="703" spans="2:2" ht="15.75" customHeight="1" x14ac:dyDescent="0.3">
      <c r="B703" s="33"/>
    </row>
    <row r="704" spans="2:2" ht="15.75" customHeight="1" x14ac:dyDescent="0.3">
      <c r="B704" s="33"/>
    </row>
    <row r="705" spans="2:2" ht="15.75" customHeight="1" x14ac:dyDescent="0.3">
      <c r="B705" s="33"/>
    </row>
    <row r="706" spans="2:2" ht="15.75" customHeight="1" x14ac:dyDescent="0.3">
      <c r="B706" s="33"/>
    </row>
    <row r="707" spans="2:2" ht="15.75" customHeight="1" x14ac:dyDescent="0.3">
      <c r="B707" s="33"/>
    </row>
    <row r="708" spans="2:2" ht="15.75" customHeight="1" x14ac:dyDescent="0.3">
      <c r="B708" s="33"/>
    </row>
    <row r="709" spans="2:2" ht="15.75" customHeight="1" x14ac:dyDescent="0.3">
      <c r="B709" s="33"/>
    </row>
    <row r="710" spans="2:2" ht="15.75" customHeight="1" x14ac:dyDescent="0.3">
      <c r="B710" s="33"/>
    </row>
    <row r="711" spans="2:2" ht="15.75" customHeight="1" x14ac:dyDescent="0.3">
      <c r="B711" s="33"/>
    </row>
    <row r="712" spans="2:2" ht="15.75" customHeight="1" x14ac:dyDescent="0.3">
      <c r="B712" s="33"/>
    </row>
    <row r="713" spans="2:2" ht="15.75" customHeight="1" x14ac:dyDescent="0.3">
      <c r="B713" s="33"/>
    </row>
    <row r="714" spans="2:2" ht="15.75" customHeight="1" x14ac:dyDescent="0.3">
      <c r="B714" s="33"/>
    </row>
    <row r="715" spans="2:2" ht="15.75" customHeight="1" x14ac:dyDescent="0.3">
      <c r="B715" s="33"/>
    </row>
    <row r="716" spans="2:2" ht="15.75" customHeight="1" x14ac:dyDescent="0.3">
      <c r="B716" s="33"/>
    </row>
    <row r="717" spans="2:2" ht="15.75" customHeight="1" x14ac:dyDescent="0.3">
      <c r="B717" s="33"/>
    </row>
    <row r="718" spans="2:2" ht="15.75" customHeight="1" x14ac:dyDescent="0.3">
      <c r="B718" s="33"/>
    </row>
    <row r="719" spans="2:2" ht="15.75" customHeight="1" x14ac:dyDescent="0.3">
      <c r="B719" s="33"/>
    </row>
    <row r="720" spans="2:2" ht="15.75" customHeight="1" x14ac:dyDescent="0.3">
      <c r="B720" s="33"/>
    </row>
    <row r="721" spans="2:2" ht="15.75" customHeight="1" x14ac:dyDescent="0.3">
      <c r="B721" s="33"/>
    </row>
    <row r="722" spans="2:2" ht="15.75" customHeight="1" x14ac:dyDescent="0.3">
      <c r="B722" s="33"/>
    </row>
    <row r="723" spans="2:2" ht="15.75" customHeight="1" x14ac:dyDescent="0.3">
      <c r="B723" s="33"/>
    </row>
    <row r="724" spans="2:2" ht="15.75" customHeight="1" x14ac:dyDescent="0.3">
      <c r="B724" s="33"/>
    </row>
    <row r="725" spans="2:2" ht="15.75" customHeight="1" x14ac:dyDescent="0.3">
      <c r="B725" s="33"/>
    </row>
    <row r="726" spans="2:2" ht="15.75" customHeight="1" x14ac:dyDescent="0.3">
      <c r="B726" s="33"/>
    </row>
    <row r="727" spans="2:2" ht="15.75" customHeight="1" x14ac:dyDescent="0.3">
      <c r="B727" s="33"/>
    </row>
    <row r="728" spans="2:2" ht="15.75" customHeight="1" x14ac:dyDescent="0.3">
      <c r="B728" s="33"/>
    </row>
    <row r="729" spans="2:2" ht="15.75" customHeight="1" x14ac:dyDescent="0.3">
      <c r="B729" s="33"/>
    </row>
    <row r="730" spans="2:2" ht="15.75" customHeight="1" x14ac:dyDescent="0.3">
      <c r="B730" s="33"/>
    </row>
    <row r="731" spans="2:2" ht="15.75" customHeight="1" x14ac:dyDescent="0.3">
      <c r="B731" s="33"/>
    </row>
    <row r="732" spans="2:2" ht="15.75" customHeight="1" x14ac:dyDescent="0.3">
      <c r="B732" s="33"/>
    </row>
    <row r="733" spans="2:2" ht="15.75" customHeight="1" x14ac:dyDescent="0.3">
      <c r="B733" s="33"/>
    </row>
    <row r="734" spans="2:2" ht="15.75" customHeight="1" x14ac:dyDescent="0.3">
      <c r="B734" s="33"/>
    </row>
    <row r="735" spans="2:2" ht="15.75" customHeight="1" x14ac:dyDescent="0.3">
      <c r="B735" s="33"/>
    </row>
    <row r="736" spans="2:2" ht="15.75" customHeight="1" x14ac:dyDescent="0.3">
      <c r="B736" s="33"/>
    </row>
    <row r="737" spans="2:2" ht="15.75" customHeight="1" x14ac:dyDescent="0.3">
      <c r="B737" s="33"/>
    </row>
    <row r="738" spans="2:2" ht="15.75" customHeight="1" x14ac:dyDescent="0.3">
      <c r="B738" s="33"/>
    </row>
    <row r="739" spans="2:2" ht="15.75" customHeight="1" x14ac:dyDescent="0.3">
      <c r="B739" s="33"/>
    </row>
    <row r="740" spans="2:2" ht="15.75" customHeight="1" x14ac:dyDescent="0.3">
      <c r="B740" s="33"/>
    </row>
    <row r="741" spans="2:2" ht="15.75" customHeight="1" x14ac:dyDescent="0.3">
      <c r="B741" s="33"/>
    </row>
    <row r="742" spans="2:2" ht="15.75" customHeight="1" x14ac:dyDescent="0.3">
      <c r="B742" s="33"/>
    </row>
    <row r="743" spans="2:2" ht="15.75" customHeight="1" x14ac:dyDescent="0.3">
      <c r="B743" s="33"/>
    </row>
    <row r="744" spans="2:2" ht="15.75" customHeight="1" x14ac:dyDescent="0.3">
      <c r="B744" s="33"/>
    </row>
    <row r="745" spans="2:2" ht="15.75" customHeight="1" x14ac:dyDescent="0.3">
      <c r="B745" s="33"/>
    </row>
    <row r="746" spans="2:2" ht="15.75" customHeight="1" x14ac:dyDescent="0.3">
      <c r="B746" s="33"/>
    </row>
    <row r="747" spans="2:2" ht="15.75" customHeight="1" x14ac:dyDescent="0.3">
      <c r="B747" s="33"/>
    </row>
    <row r="748" spans="2:2" ht="15.75" customHeight="1" x14ac:dyDescent="0.3">
      <c r="B748" s="33"/>
    </row>
    <row r="749" spans="2:2" ht="15.75" customHeight="1" x14ac:dyDescent="0.3">
      <c r="B749" s="33"/>
    </row>
    <row r="750" spans="2:2" ht="15.75" customHeight="1" x14ac:dyDescent="0.3">
      <c r="B750" s="33"/>
    </row>
    <row r="751" spans="2:2" ht="15.75" customHeight="1" x14ac:dyDescent="0.3">
      <c r="B751" s="33"/>
    </row>
    <row r="752" spans="2:2" ht="15.75" customHeight="1" x14ac:dyDescent="0.3">
      <c r="B752" s="33"/>
    </row>
    <row r="753" spans="2:2" ht="15.75" customHeight="1" x14ac:dyDescent="0.3">
      <c r="B753" s="33"/>
    </row>
    <row r="754" spans="2:2" ht="15.75" customHeight="1" x14ac:dyDescent="0.3">
      <c r="B754" s="33"/>
    </row>
    <row r="755" spans="2:2" ht="15.75" customHeight="1" x14ac:dyDescent="0.3">
      <c r="B755" s="33"/>
    </row>
    <row r="756" spans="2:2" ht="15.75" customHeight="1" x14ac:dyDescent="0.3">
      <c r="B756" s="33"/>
    </row>
    <row r="757" spans="2:2" ht="15.75" customHeight="1" x14ac:dyDescent="0.3">
      <c r="B757" s="33"/>
    </row>
    <row r="758" spans="2:2" ht="15.75" customHeight="1" x14ac:dyDescent="0.3">
      <c r="B758" s="33"/>
    </row>
    <row r="759" spans="2:2" ht="15.75" customHeight="1" x14ac:dyDescent="0.3">
      <c r="B759" s="33"/>
    </row>
    <row r="760" spans="2:2" ht="15.75" customHeight="1" x14ac:dyDescent="0.3">
      <c r="B760" s="33"/>
    </row>
    <row r="761" spans="2:2" ht="15.75" customHeight="1" x14ac:dyDescent="0.3">
      <c r="B761" s="33"/>
    </row>
    <row r="762" spans="2:2" ht="15.75" customHeight="1" x14ac:dyDescent="0.3">
      <c r="B762" s="33"/>
    </row>
    <row r="763" spans="2:2" ht="15.75" customHeight="1" x14ac:dyDescent="0.3">
      <c r="B763" s="33"/>
    </row>
    <row r="764" spans="2:2" ht="15.75" customHeight="1" x14ac:dyDescent="0.3">
      <c r="B764" s="33"/>
    </row>
    <row r="765" spans="2:2" ht="15.75" customHeight="1" x14ac:dyDescent="0.3">
      <c r="B765" s="33"/>
    </row>
    <row r="766" spans="2:2" ht="15.75" customHeight="1" x14ac:dyDescent="0.3">
      <c r="B766" s="33"/>
    </row>
    <row r="767" spans="2:2" ht="15.75" customHeight="1" x14ac:dyDescent="0.3">
      <c r="B767" s="33"/>
    </row>
    <row r="768" spans="2:2" ht="15.75" customHeight="1" x14ac:dyDescent="0.3">
      <c r="B768" s="33"/>
    </row>
    <row r="769" spans="2:2" ht="15.75" customHeight="1" x14ac:dyDescent="0.3">
      <c r="B769" s="33"/>
    </row>
    <row r="770" spans="2:2" ht="15.75" customHeight="1" x14ac:dyDescent="0.3">
      <c r="B770" s="33"/>
    </row>
    <row r="771" spans="2:2" ht="15.75" customHeight="1" x14ac:dyDescent="0.3">
      <c r="B771" s="33"/>
    </row>
    <row r="772" spans="2:2" ht="15.75" customHeight="1" x14ac:dyDescent="0.3">
      <c r="B772" s="33"/>
    </row>
    <row r="773" spans="2:2" ht="15.75" customHeight="1" x14ac:dyDescent="0.3">
      <c r="B773" s="33"/>
    </row>
    <row r="774" spans="2:2" ht="15.75" customHeight="1" x14ac:dyDescent="0.3">
      <c r="B774" s="33"/>
    </row>
    <row r="775" spans="2:2" ht="15.75" customHeight="1" x14ac:dyDescent="0.3">
      <c r="B775" s="33"/>
    </row>
    <row r="776" spans="2:2" ht="15.75" customHeight="1" x14ac:dyDescent="0.3">
      <c r="B776" s="33"/>
    </row>
    <row r="777" spans="2:2" ht="15.75" customHeight="1" x14ac:dyDescent="0.3">
      <c r="B777" s="33"/>
    </row>
    <row r="778" spans="2:2" ht="15.75" customHeight="1" x14ac:dyDescent="0.3">
      <c r="B778" s="33"/>
    </row>
    <row r="779" spans="2:2" ht="15.75" customHeight="1" x14ac:dyDescent="0.3">
      <c r="B779" s="33"/>
    </row>
    <row r="780" spans="2:2" ht="15.75" customHeight="1" x14ac:dyDescent="0.3">
      <c r="B780" s="33"/>
    </row>
    <row r="781" spans="2:2" ht="15.75" customHeight="1" x14ac:dyDescent="0.3">
      <c r="B781" s="33"/>
    </row>
    <row r="782" spans="2:2" ht="15.75" customHeight="1" x14ac:dyDescent="0.3">
      <c r="B782" s="33"/>
    </row>
    <row r="783" spans="2:2" ht="15.75" customHeight="1" x14ac:dyDescent="0.3">
      <c r="B783" s="33"/>
    </row>
    <row r="784" spans="2:2" ht="15.75" customHeight="1" x14ac:dyDescent="0.3">
      <c r="B784" s="33"/>
    </row>
    <row r="785" spans="2:2" ht="15.75" customHeight="1" x14ac:dyDescent="0.3">
      <c r="B785" s="33"/>
    </row>
    <row r="786" spans="2:2" ht="15.75" customHeight="1" x14ac:dyDescent="0.3">
      <c r="B786" s="33"/>
    </row>
    <row r="787" spans="2:2" ht="15.75" customHeight="1" x14ac:dyDescent="0.3">
      <c r="B787" s="33"/>
    </row>
    <row r="788" spans="2:2" ht="15.75" customHeight="1" x14ac:dyDescent="0.3">
      <c r="B788" s="33"/>
    </row>
    <row r="789" spans="2:2" ht="15.75" customHeight="1" x14ac:dyDescent="0.3">
      <c r="B789" s="33"/>
    </row>
    <row r="790" spans="2:2" ht="15.75" customHeight="1" x14ac:dyDescent="0.3">
      <c r="B790" s="33"/>
    </row>
    <row r="791" spans="2:2" ht="15.75" customHeight="1" x14ac:dyDescent="0.3">
      <c r="B791" s="33"/>
    </row>
    <row r="792" spans="2:2" ht="15.75" customHeight="1" x14ac:dyDescent="0.3">
      <c r="B792" s="33"/>
    </row>
    <row r="793" spans="2:2" ht="15.75" customHeight="1" x14ac:dyDescent="0.3">
      <c r="B793" s="33"/>
    </row>
    <row r="794" spans="2:2" ht="15.75" customHeight="1" x14ac:dyDescent="0.3">
      <c r="B794" s="33"/>
    </row>
    <row r="795" spans="2:2" ht="15.75" customHeight="1" x14ac:dyDescent="0.3">
      <c r="B795" s="33"/>
    </row>
    <row r="796" spans="2:2" ht="15.75" customHeight="1" x14ac:dyDescent="0.3">
      <c r="B796" s="33"/>
    </row>
    <row r="797" spans="2:2" ht="15.75" customHeight="1" x14ac:dyDescent="0.3">
      <c r="B797" s="33"/>
    </row>
    <row r="798" spans="2:2" ht="15.75" customHeight="1" x14ac:dyDescent="0.3">
      <c r="B798" s="33"/>
    </row>
    <row r="799" spans="2:2" ht="15.75" customHeight="1" x14ac:dyDescent="0.3">
      <c r="B799" s="33"/>
    </row>
    <row r="800" spans="2:2" ht="15.75" customHeight="1" x14ac:dyDescent="0.3">
      <c r="B800" s="33"/>
    </row>
    <row r="801" spans="2:2" ht="15.75" customHeight="1" x14ac:dyDescent="0.3">
      <c r="B801" s="33"/>
    </row>
    <row r="802" spans="2:2" ht="15.75" customHeight="1" x14ac:dyDescent="0.3">
      <c r="B802" s="33"/>
    </row>
    <row r="803" spans="2:2" ht="15.75" customHeight="1" x14ac:dyDescent="0.3">
      <c r="B803" s="33"/>
    </row>
    <row r="804" spans="2:2" ht="15.75" customHeight="1" x14ac:dyDescent="0.3">
      <c r="B804" s="33"/>
    </row>
    <row r="805" spans="2:2" ht="15.75" customHeight="1" x14ac:dyDescent="0.3">
      <c r="B805" s="33"/>
    </row>
    <row r="806" spans="2:2" ht="15.75" customHeight="1" x14ac:dyDescent="0.3">
      <c r="B806" s="33"/>
    </row>
    <row r="807" spans="2:2" ht="15.75" customHeight="1" x14ac:dyDescent="0.3">
      <c r="B807" s="33"/>
    </row>
    <row r="808" spans="2:2" ht="15.75" customHeight="1" x14ac:dyDescent="0.3">
      <c r="B808" s="33"/>
    </row>
    <row r="809" spans="2:2" ht="15.75" customHeight="1" x14ac:dyDescent="0.3">
      <c r="B809" s="33"/>
    </row>
    <row r="810" spans="2:2" ht="15.75" customHeight="1" x14ac:dyDescent="0.3">
      <c r="B810" s="33"/>
    </row>
    <row r="811" spans="2:2" ht="15.75" customHeight="1" x14ac:dyDescent="0.3">
      <c r="B811" s="33"/>
    </row>
    <row r="812" spans="2:2" ht="15.75" customHeight="1" x14ac:dyDescent="0.3">
      <c r="B812" s="33"/>
    </row>
    <row r="813" spans="2:2" ht="15.75" customHeight="1" x14ac:dyDescent="0.3">
      <c r="B813" s="33"/>
    </row>
    <row r="814" spans="2:2" ht="15.75" customHeight="1" x14ac:dyDescent="0.3">
      <c r="B814" s="33"/>
    </row>
    <row r="815" spans="2:2" ht="15.75" customHeight="1" x14ac:dyDescent="0.3">
      <c r="B815" s="33"/>
    </row>
    <row r="816" spans="2:2" ht="15.75" customHeight="1" x14ac:dyDescent="0.3">
      <c r="B816" s="33"/>
    </row>
    <row r="817" spans="2:2" ht="15.75" customHeight="1" x14ac:dyDescent="0.3">
      <c r="B817" s="33"/>
    </row>
    <row r="818" spans="2:2" ht="15.75" customHeight="1" x14ac:dyDescent="0.3">
      <c r="B818" s="33"/>
    </row>
    <row r="819" spans="2:2" ht="15.75" customHeight="1" x14ac:dyDescent="0.3">
      <c r="B819" s="33"/>
    </row>
    <row r="820" spans="2:2" ht="15.75" customHeight="1" x14ac:dyDescent="0.3">
      <c r="B820" s="33"/>
    </row>
    <row r="821" spans="2:2" ht="15.75" customHeight="1" x14ac:dyDescent="0.3">
      <c r="B821" s="33"/>
    </row>
    <row r="822" spans="2:2" ht="15.75" customHeight="1" x14ac:dyDescent="0.3">
      <c r="B822" s="33"/>
    </row>
    <row r="823" spans="2:2" ht="15.75" customHeight="1" x14ac:dyDescent="0.3">
      <c r="B823" s="33"/>
    </row>
    <row r="824" spans="2:2" ht="15.75" customHeight="1" x14ac:dyDescent="0.3">
      <c r="B824" s="33"/>
    </row>
    <row r="825" spans="2:2" ht="15.75" customHeight="1" x14ac:dyDescent="0.3">
      <c r="B825" s="33"/>
    </row>
    <row r="826" spans="2:2" ht="15.75" customHeight="1" x14ac:dyDescent="0.3">
      <c r="B826" s="33"/>
    </row>
    <row r="827" spans="2:2" ht="15.75" customHeight="1" x14ac:dyDescent="0.3">
      <c r="B827" s="33"/>
    </row>
    <row r="828" spans="2:2" ht="15.75" customHeight="1" x14ac:dyDescent="0.3">
      <c r="B828" s="33"/>
    </row>
    <row r="829" spans="2:2" ht="15.75" customHeight="1" x14ac:dyDescent="0.3">
      <c r="B829" s="33"/>
    </row>
    <row r="830" spans="2:2" ht="15.75" customHeight="1" x14ac:dyDescent="0.3">
      <c r="B830" s="33"/>
    </row>
    <row r="831" spans="2:2" ht="15.75" customHeight="1" x14ac:dyDescent="0.3">
      <c r="B831" s="33"/>
    </row>
    <row r="832" spans="2:2" ht="15.75" customHeight="1" x14ac:dyDescent="0.3">
      <c r="B832" s="33"/>
    </row>
    <row r="833" spans="2:2" ht="15.75" customHeight="1" x14ac:dyDescent="0.3">
      <c r="B833" s="33"/>
    </row>
    <row r="834" spans="2:2" ht="15.75" customHeight="1" x14ac:dyDescent="0.3">
      <c r="B834" s="33"/>
    </row>
    <row r="835" spans="2:2" ht="15.75" customHeight="1" x14ac:dyDescent="0.3">
      <c r="B835" s="33"/>
    </row>
    <row r="836" spans="2:2" ht="15.75" customHeight="1" x14ac:dyDescent="0.3">
      <c r="B836" s="33"/>
    </row>
    <row r="837" spans="2:2" ht="15.75" customHeight="1" x14ac:dyDescent="0.3">
      <c r="B837" s="33"/>
    </row>
    <row r="838" spans="2:2" ht="15.75" customHeight="1" x14ac:dyDescent="0.3">
      <c r="B838" s="33"/>
    </row>
    <row r="839" spans="2:2" ht="15.75" customHeight="1" x14ac:dyDescent="0.3">
      <c r="B839" s="33"/>
    </row>
    <row r="840" spans="2:2" ht="15.75" customHeight="1" x14ac:dyDescent="0.3">
      <c r="B840" s="33"/>
    </row>
    <row r="841" spans="2:2" ht="15.75" customHeight="1" x14ac:dyDescent="0.3">
      <c r="B841" s="33"/>
    </row>
    <row r="842" spans="2:2" ht="15.75" customHeight="1" x14ac:dyDescent="0.3">
      <c r="B842" s="33"/>
    </row>
    <row r="843" spans="2:2" ht="15.75" customHeight="1" x14ac:dyDescent="0.3">
      <c r="B843" s="33"/>
    </row>
    <row r="844" spans="2:2" ht="15.75" customHeight="1" x14ac:dyDescent="0.3">
      <c r="B844" s="33"/>
    </row>
    <row r="845" spans="2:2" ht="15.75" customHeight="1" x14ac:dyDescent="0.3">
      <c r="B845" s="33"/>
    </row>
    <row r="846" spans="2:2" ht="15.75" customHeight="1" x14ac:dyDescent="0.3">
      <c r="B846" s="33"/>
    </row>
    <row r="847" spans="2:2" ht="15.75" customHeight="1" x14ac:dyDescent="0.3">
      <c r="B847" s="33"/>
    </row>
    <row r="848" spans="2:2" ht="15.75" customHeight="1" x14ac:dyDescent="0.3">
      <c r="B848" s="33"/>
    </row>
    <row r="849" spans="2:2" ht="15.75" customHeight="1" x14ac:dyDescent="0.3">
      <c r="B849" s="33"/>
    </row>
    <row r="850" spans="2:2" ht="15.75" customHeight="1" x14ac:dyDescent="0.3">
      <c r="B850" s="33"/>
    </row>
    <row r="851" spans="2:2" ht="15.75" customHeight="1" x14ac:dyDescent="0.3">
      <c r="B851" s="33"/>
    </row>
    <row r="852" spans="2:2" ht="15.75" customHeight="1" x14ac:dyDescent="0.3">
      <c r="B852" s="33"/>
    </row>
    <row r="853" spans="2:2" ht="15.75" customHeight="1" x14ac:dyDescent="0.3">
      <c r="B853" s="33"/>
    </row>
    <row r="854" spans="2:2" ht="15.75" customHeight="1" x14ac:dyDescent="0.3">
      <c r="B854" s="33"/>
    </row>
    <row r="855" spans="2:2" ht="15.75" customHeight="1" x14ac:dyDescent="0.3">
      <c r="B855" s="33"/>
    </row>
    <row r="856" spans="2:2" ht="15.75" customHeight="1" x14ac:dyDescent="0.3">
      <c r="B856" s="33"/>
    </row>
    <row r="857" spans="2:2" ht="15.75" customHeight="1" x14ac:dyDescent="0.3">
      <c r="B857" s="33"/>
    </row>
    <row r="858" spans="2:2" ht="15.75" customHeight="1" x14ac:dyDescent="0.3">
      <c r="B858" s="33"/>
    </row>
    <row r="859" spans="2:2" ht="15.75" customHeight="1" x14ac:dyDescent="0.3">
      <c r="B859" s="33"/>
    </row>
    <row r="860" spans="2:2" ht="15.75" customHeight="1" x14ac:dyDescent="0.3">
      <c r="B860" s="33"/>
    </row>
    <row r="861" spans="2:2" ht="15.75" customHeight="1" x14ac:dyDescent="0.3">
      <c r="B861" s="33"/>
    </row>
    <row r="862" spans="2:2" ht="15.75" customHeight="1" x14ac:dyDescent="0.3">
      <c r="B862" s="33"/>
    </row>
    <row r="863" spans="2:2" ht="15.75" customHeight="1" x14ac:dyDescent="0.3">
      <c r="B863" s="33"/>
    </row>
    <row r="864" spans="2:2" ht="15.75" customHeight="1" x14ac:dyDescent="0.3">
      <c r="B864" s="33"/>
    </row>
    <row r="865" spans="2:2" ht="15.75" customHeight="1" x14ac:dyDescent="0.3">
      <c r="B865" s="33"/>
    </row>
    <row r="866" spans="2:2" ht="15.75" customHeight="1" x14ac:dyDescent="0.3">
      <c r="B866" s="33"/>
    </row>
    <row r="867" spans="2:2" ht="15.75" customHeight="1" x14ac:dyDescent="0.3">
      <c r="B867" s="33"/>
    </row>
    <row r="868" spans="2:2" ht="15.75" customHeight="1" x14ac:dyDescent="0.3">
      <c r="B868" s="33"/>
    </row>
    <row r="869" spans="2:2" ht="15.75" customHeight="1" x14ac:dyDescent="0.3">
      <c r="B869" s="33"/>
    </row>
    <row r="870" spans="2:2" ht="15.75" customHeight="1" x14ac:dyDescent="0.3">
      <c r="B870" s="33"/>
    </row>
    <row r="871" spans="2:2" ht="15.75" customHeight="1" x14ac:dyDescent="0.3">
      <c r="B871" s="33"/>
    </row>
    <row r="872" spans="2:2" ht="15.75" customHeight="1" x14ac:dyDescent="0.3">
      <c r="B872" s="33"/>
    </row>
    <row r="873" spans="2:2" ht="15.75" customHeight="1" x14ac:dyDescent="0.3">
      <c r="B873" s="33"/>
    </row>
    <row r="874" spans="2:2" ht="15.75" customHeight="1" x14ac:dyDescent="0.3">
      <c r="B874" s="33"/>
    </row>
    <row r="875" spans="2:2" ht="15.75" customHeight="1" x14ac:dyDescent="0.3">
      <c r="B875" s="33"/>
    </row>
    <row r="876" spans="2:2" ht="15.75" customHeight="1" x14ac:dyDescent="0.3">
      <c r="B876" s="33"/>
    </row>
    <row r="877" spans="2:2" ht="15.75" customHeight="1" x14ac:dyDescent="0.3">
      <c r="B877" s="33"/>
    </row>
    <row r="878" spans="2:2" ht="15.75" customHeight="1" x14ac:dyDescent="0.3">
      <c r="B878" s="33"/>
    </row>
    <row r="879" spans="2:2" ht="15.75" customHeight="1" x14ac:dyDescent="0.3">
      <c r="B879" s="33"/>
    </row>
    <row r="880" spans="2:2" ht="15.75" customHeight="1" x14ac:dyDescent="0.3">
      <c r="B880" s="33"/>
    </row>
    <row r="881" spans="2:2" ht="15.75" customHeight="1" x14ac:dyDescent="0.3">
      <c r="B881" s="33"/>
    </row>
    <row r="882" spans="2:2" ht="15.75" customHeight="1" x14ac:dyDescent="0.3">
      <c r="B882" s="33"/>
    </row>
    <row r="883" spans="2:2" ht="15.75" customHeight="1" x14ac:dyDescent="0.3">
      <c r="B883" s="33"/>
    </row>
    <row r="884" spans="2:2" ht="15.75" customHeight="1" x14ac:dyDescent="0.3">
      <c r="B884" s="33"/>
    </row>
    <row r="885" spans="2:2" ht="15.75" customHeight="1" x14ac:dyDescent="0.3">
      <c r="B885" s="33"/>
    </row>
    <row r="886" spans="2:2" ht="15.75" customHeight="1" x14ac:dyDescent="0.3">
      <c r="B886" s="33"/>
    </row>
    <row r="887" spans="2:2" ht="15.75" customHeight="1" x14ac:dyDescent="0.3">
      <c r="B887" s="33"/>
    </row>
    <row r="888" spans="2:2" ht="15.75" customHeight="1" x14ac:dyDescent="0.3">
      <c r="B888" s="33"/>
    </row>
    <row r="889" spans="2:2" ht="15.75" customHeight="1" x14ac:dyDescent="0.3">
      <c r="B889" s="33"/>
    </row>
    <row r="890" spans="2:2" ht="15.75" customHeight="1" x14ac:dyDescent="0.3">
      <c r="B890" s="33"/>
    </row>
    <row r="891" spans="2:2" ht="15.75" customHeight="1" x14ac:dyDescent="0.3">
      <c r="B891" s="33"/>
    </row>
    <row r="892" spans="2:2" ht="15.75" customHeight="1" x14ac:dyDescent="0.3">
      <c r="B892" s="33"/>
    </row>
    <row r="893" spans="2:2" ht="15.75" customHeight="1" x14ac:dyDescent="0.3">
      <c r="B893" s="33"/>
    </row>
    <row r="894" spans="2:2" ht="15.75" customHeight="1" x14ac:dyDescent="0.3">
      <c r="B894" s="33"/>
    </row>
    <row r="895" spans="2:2" ht="15.75" customHeight="1" x14ac:dyDescent="0.3">
      <c r="B895" s="33"/>
    </row>
    <row r="896" spans="2:2" ht="15.75" customHeight="1" x14ac:dyDescent="0.3">
      <c r="B896" s="33"/>
    </row>
    <row r="897" spans="2:2" ht="15.75" customHeight="1" x14ac:dyDescent="0.3">
      <c r="B897" s="33"/>
    </row>
    <row r="898" spans="2:2" ht="15.75" customHeight="1" x14ac:dyDescent="0.3">
      <c r="B898" s="33"/>
    </row>
    <row r="899" spans="2:2" ht="15.75" customHeight="1" x14ac:dyDescent="0.3">
      <c r="B899" s="33"/>
    </row>
    <row r="900" spans="2:2" ht="15.75" customHeight="1" x14ac:dyDescent="0.3">
      <c r="B900" s="33"/>
    </row>
    <row r="901" spans="2:2" ht="15.75" customHeight="1" x14ac:dyDescent="0.3">
      <c r="B901" s="33"/>
    </row>
    <row r="902" spans="2:2" ht="15.75" customHeight="1" x14ac:dyDescent="0.3">
      <c r="B902" s="33"/>
    </row>
    <row r="903" spans="2:2" ht="15.75" customHeight="1" x14ac:dyDescent="0.3">
      <c r="B903" s="33"/>
    </row>
    <row r="904" spans="2:2" ht="15.75" customHeight="1" x14ac:dyDescent="0.3">
      <c r="B904" s="33"/>
    </row>
    <row r="905" spans="2:2" ht="15.75" customHeight="1" x14ac:dyDescent="0.3">
      <c r="B905" s="33"/>
    </row>
    <row r="906" spans="2:2" ht="15.75" customHeight="1" x14ac:dyDescent="0.3">
      <c r="B906" s="33"/>
    </row>
    <row r="907" spans="2:2" ht="15.75" customHeight="1" x14ac:dyDescent="0.3">
      <c r="B907" s="33"/>
    </row>
    <row r="908" spans="2:2" ht="15.75" customHeight="1" x14ac:dyDescent="0.3">
      <c r="B908" s="33"/>
    </row>
    <row r="909" spans="2:2" ht="15.75" customHeight="1" x14ac:dyDescent="0.3">
      <c r="B909" s="33"/>
    </row>
    <row r="910" spans="2:2" ht="15.75" customHeight="1" x14ac:dyDescent="0.3">
      <c r="B910" s="33"/>
    </row>
    <row r="911" spans="2:2" ht="15.75" customHeight="1" x14ac:dyDescent="0.3">
      <c r="B911" s="33"/>
    </row>
    <row r="912" spans="2:2" ht="15.75" customHeight="1" x14ac:dyDescent="0.3">
      <c r="B912" s="33"/>
    </row>
    <row r="913" spans="2:2" ht="15.75" customHeight="1" x14ac:dyDescent="0.3">
      <c r="B913" s="33"/>
    </row>
    <row r="914" spans="2:2" ht="15.75" customHeight="1" x14ac:dyDescent="0.3">
      <c r="B914" s="33"/>
    </row>
    <row r="915" spans="2:2" ht="15.75" customHeight="1" x14ac:dyDescent="0.3">
      <c r="B915" s="33"/>
    </row>
    <row r="916" spans="2:2" ht="15.75" customHeight="1" x14ac:dyDescent="0.3">
      <c r="B916" s="33"/>
    </row>
    <row r="917" spans="2:2" ht="15.75" customHeight="1" x14ac:dyDescent="0.3">
      <c r="B917" s="33"/>
    </row>
    <row r="918" spans="2:2" ht="15.75" customHeight="1" x14ac:dyDescent="0.3">
      <c r="B918" s="33"/>
    </row>
    <row r="919" spans="2:2" ht="15.75" customHeight="1" x14ac:dyDescent="0.3">
      <c r="B919" s="33"/>
    </row>
    <row r="920" spans="2:2" ht="15.75" customHeight="1" x14ac:dyDescent="0.3">
      <c r="B920" s="33"/>
    </row>
    <row r="921" spans="2:2" ht="15.75" customHeight="1" x14ac:dyDescent="0.3">
      <c r="B921" s="33"/>
    </row>
    <row r="922" spans="2:2" ht="15.75" customHeight="1" x14ac:dyDescent="0.3">
      <c r="B922" s="33"/>
    </row>
    <row r="923" spans="2:2" ht="15.75" customHeight="1" x14ac:dyDescent="0.3">
      <c r="B923" s="33"/>
    </row>
    <row r="924" spans="2:2" ht="15.75" customHeight="1" x14ac:dyDescent="0.3">
      <c r="B924" s="33"/>
    </row>
    <row r="925" spans="2:2" ht="15.75" customHeight="1" x14ac:dyDescent="0.3">
      <c r="B925" s="33"/>
    </row>
    <row r="926" spans="2:2" ht="15.75" customHeight="1" x14ac:dyDescent="0.3">
      <c r="B926" s="33"/>
    </row>
    <row r="927" spans="2:2" ht="15.75" customHeight="1" x14ac:dyDescent="0.3">
      <c r="B927" s="33"/>
    </row>
    <row r="928" spans="2:2" ht="15.75" customHeight="1" x14ac:dyDescent="0.3">
      <c r="B928" s="33"/>
    </row>
    <row r="929" spans="2:2" ht="15.75" customHeight="1" x14ac:dyDescent="0.3">
      <c r="B929" s="33"/>
    </row>
    <row r="930" spans="2:2" ht="15.75" customHeight="1" x14ac:dyDescent="0.3">
      <c r="B930" s="33"/>
    </row>
    <row r="931" spans="2:2" ht="15.75" customHeight="1" x14ac:dyDescent="0.3">
      <c r="B931" s="33"/>
    </row>
    <row r="932" spans="2:2" ht="15.75" customHeight="1" x14ac:dyDescent="0.3">
      <c r="B932" s="33"/>
    </row>
    <row r="933" spans="2:2" ht="15.75" customHeight="1" x14ac:dyDescent="0.3">
      <c r="B933" s="33"/>
    </row>
    <row r="934" spans="2:2" ht="15.75" customHeight="1" x14ac:dyDescent="0.3">
      <c r="B934" s="33"/>
    </row>
    <row r="935" spans="2:2" ht="15.75" customHeight="1" x14ac:dyDescent="0.3">
      <c r="B935" s="33"/>
    </row>
    <row r="936" spans="2:2" ht="15.75" customHeight="1" x14ac:dyDescent="0.3">
      <c r="B936" s="33"/>
    </row>
    <row r="937" spans="2:2" ht="15.75" customHeight="1" x14ac:dyDescent="0.3">
      <c r="B937" s="33"/>
    </row>
    <row r="938" spans="2:2" ht="15.75" customHeight="1" x14ac:dyDescent="0.3">
      <c r="B938" s="33"/>
    </row>
    <row r="939" spans="2:2" ht="15.75" customHeight="1" x14ac:dyDescent="0.3">
      <c r="B939" s="33"/>
    </row>
    <row r="940" spans="2:2" ht="15.75" customHeight="1" x14ac:dyDescent="0.3">
      <c r="B940" s="33"/>
    </row>
    <row r="941" spans="2:2" ht="15.75" customHeight="1" x14ac:dyDescent="0.3">
      <c r="B941" s="33"/>
    </row>
    <row r="942" spans="2:2" ht="15.75" customHeight="1" x14ac:dyDescent="0.3">
      <c r="B942" s="33"/>
    </row>
    <row r="943" spans="2:2" ht="15.75" customHeight="1" x14ac:dyDescent="0.3">
      <c r="B943" s="33"/>
    </row>
    <row r="944" spans="2:2" ht="15.75" customHeight="1" x14ac:dyDescent="0.3">
      <c r="B944" s="33"/>
    </row>
    <row r="945" spans="2:2" ht="15.75" customHeight="1" x14ac:dyDescent="0.3">
      <c r="B945" s="33"/>
    </row>
    <row r="946" spans="2:2" ht="15.75" customHeight="1" x14ac:dyDescent="0.3">
      <c r="B946" s="33"/>
    </row>
    <row r="947" spans="2:2" ht="15.75" customHeight="1" x14ac:dyDescent="0.3">
      <c r="B947" s="33"/>
    </row>
    <row r="948" spans="2:2" ht="15.75" customHeight="1" x14ac:dyDescent="0.3">
      <c r="B948" s="33"/>
    </row>
    <row r="949" spans="2:2" ht="15.75" customHeight="1" x14ac:dyDescent="0.3">
      <c r="B949" s="33"/>
    </row>
    <row r="950" spans="2:2" ht="15.75" customHeight="1" x14ac:dyDescent="0.3">
      <c r="B950" s="33"/>
    </row>
    <row r="951" spans="2:2" ht="15.75" customHeight="1" x14ac:dyDescent="0.3">
      <c r="B951" s="33"/>
    </row>
    <row r="952" spans="2:2" ht="15.75" customHeight="1" x14ac:dyDescent="0.3">
      <c r="B952" s="33"/>
    </row>
    <row r="953" spans="2:2" ht="15.75" customHeight="1" x14ac:dyDescent="0.3">
      <c r="B953" s="33"/>
    </row>
    <row r="954" spans="2:2" ht="15.75" customHeight="1" x14ac:dyDescent="0.3">
      <c r="B954" s="33"/>
    </row>
    <row r="955" spans="2:2" ht="15.75" customHeight="1" x14ac:dyDescent="0.3">
      <c r="B955" s="33"/>
    </row>
    <row r="956" spans="2:2" ht="15.75" customHeight="1" x14ac:dyDescent="0.3">
      <c r="B956" s="33"/>
    </row>
    <row r="957" spans="2:2" ht="15.75" customHeight="1" x14ac:dyDescent="0.3">
      <c r="B957" s="33"/>
    </row>
    <row r="958" spans="2:2" ht="15.75" customHeight="1" x14ac:dyDescent="0.3">
      <c r="B958" s="33"/>
    </row>
    <row r="959" spans="2:2" ht="15.75" customHeight="1" x14ac:dyDescent="0.3">
      <c r="B959" s="33"/>
    </row>
    <row r="960" spans="2:2" ht="15.75" customHeight="1" x14ac:dyDescent="0.3">
      <c r="B960" s="33"/>
    </row>
    <row r="961" spans="2:2" ht="15.75" customHeight="1" x14ac:dyDescent="0.3">
      <c r="B961" s="33"/>
    </row>
    <row r="962" spans="2:2" ht="15.75" customHeight="1" x14ac:dyDescent="0.3">
      <c r="B962" s="33"/>
    </row>
    <row r="963" spans="2:2" ht="15.75" customHeight="1" x14ac:dyDescent="0.3">
      <c r="B963" s="33"/>
    </row>
    <row r="964" spans="2:2" ht="15.75" customHeight="1" x14ac:dyDescent="0.3">
      <c r="B964" s="33"/>
    </row>
    <row r="965" spans="2:2" ht="15.75" customHeight="1" x14ac:dyDescent="0.3">
      <c r="B965" s="33"/>
    </row>
    <row r="966" spans="2:2" ht="15.75" customHeight="1" x14ac:dyDescent="0.3">
      <c r="B966" s="33"/>
    </row>
    <row r="967" spans="2:2" ht="15.75" customHeight="1" x14ac:dyDescent="0.3">
      <c r="B967" s="33"/>
    </row>
    <row r="968" spans="2:2" ht="15.75" customHeight="1" x14ac:dyDescent="0.3">
      <c r="B968" s="33"/>
    </row>
    <row r="969" spans="2:2" ht="15.75" customHeight="1" x14ac:dyDescent="0.3">
      <c r="B969" s="33"/>
    </row>
    <row r="970" spans="2:2" ht="15.75" customHeight="1" x14ac:dyDescent="0.3">
      <c r="B970" s="33"/>
    </row>
    <row r="971" spans="2:2" ht="15.75" customHeight="1" x14ac:dyDescent="0.3">
      <c r="B971" s="33"/>
    </row>
    <row r="972" spans="2:2" ht="15.75" customHeight="1" x14ac:dyDescent="0.3">
      <c r="B972" s="33"/>
    </row>
    <row r="973" spans="2:2" ht="15.75" customHeight="1" x14ac:dyDescent="0.3">
      <c r="B973" s="33"/>
    </row>
    <row r="974" spans="2:2" ht="15.75" customHeight="1" x14ac:dyDescent="0.3">
      <c r="B974" s="33"/>
    </row>
    <row r="975" spans="2:2" ht="15.75" customHeight="1" x14ac:dyDescent="0.3">
      <c r="B975" s="33"/>
    </row>
    <row r="976" spans="2:2" ht="15.75" customHeight="1" x14ac:dyDescent="0.3">
      <c r="B976" s="33"/>
    </row>
    <row r="977" spans="2:2" ht="15.75" customHeight="1" x14ac:dyDescent="0.3">
      <c r="B977" s="33"/>
    </row>
    <row r="978" spans="2:2" ht="15.75" customHeight="1" x14ac:dyDescent="0.3">
      <c r="B978" s="33"/>
    </row>
    <row r="979" spans="2:2" ht="15.75" customHeight="1" x14ac:dyDescent="0.3">
      <c r="B979" s="33"/>
    </row>
    <row r="980" spans="2:2" ht="15.75" customHeight="1" x14ac:dyDescent="0.3">
      <c r="B980" s="33"/>
    </row>
    <row r="981" spans="2:2" ht="15.75" customHeight="1" x14ac:dyDescent="0.3">
      <c r="B981" s="33"/>
    </row>
    <row r="982" spans="2:2" ht="15.75" customHeight="1" x14ac:dyDescent="0.3">
      <c r="B982" s="33"/>
    </row>
    <row r="983" spans="2:2" ht="15.75" customHeight="1" x14ac:dyDescent="0.3">
      <c r="B983" s="33"/>
    </row>
    <row r="984" spans="2:2" ht="15.75" customHeight="1" x14ac:dyDescent="0.3">
      <c r="B984" s="33"/>
    </row>
    <row r="985" spans="2:2" ht="15.75" customHeight="1" x14ac:dyDescent="0.3">
      <c r="B985" s="33"/>
    </row>
    <row r="986" spans="2:2" ht="15.75" customHeight="1" x14ac:dyDescent="0.3">
      <c r="B986" s="33"/>
    </row>
    <row r="987" spans="2:2" ht="15.75" customHeight="1" x14ac:dyDescent="0.3">
      <c r="B987" s="33"/>
    </row>
    <row r="988" spans="2:2" ht="15.75" customHeight="1" x14ac:dyDescent="0.3">
      <c r="B988" s="33"/>
    </row>
    <row r="989" spans="2:2" ht="15.75" customHeight="1" x14ac:dyDescent="0.3">
      <c r="B989" s="33"/>
    </row>
    <row r="990" spans="2:2" ht="15.75" customHeight="1" x14ac:dyDescent="0.3">
      <c r="B990" s="33"/>
    </row>
    <row r="991" spans="2:2" ht="15.75" customHeight="1" x14ac:dyDescent="0.3">
      <c r="B991" s="33"/>
    </row>
    <row r="992" spans="2:2" ht="15.75" customHeight="1" x14ac:dyDescent="0.3">
      <c r="B992" s="33"/>
    </row>
    <row r="993" spans="2:2" ht="15.75" customHeight="1" x14ac:dyDescent="0.3">
      <c r="B993" s="33"/>
    </row>
    <row r="994" spans="2:2" ht="15.75" customHeight="1" x14ac:dyDescent="0.3">
      <c r="B994" s="33"/>
    </row>
    <row r="995" spans="2:2" ht="15.75" customHeight="1" x14ac:dyDescent="0.3">
      <c r="B995" s="33"/>
    </row>
    <row r="996" spans="2:2" ht="15.75" customHeight="1" x14ac:dyDescent="0.3">
      <c r="B996" s="33"/>
    </row>
    <row r="997" spans="2:2" ht="15.75" customHeight="1" x14ac:dyDescent="0.3">
      <c r="B997" s="33"/>
    </row>
    <row r="998" spans="2:2" ht="15.75" customHeight="1" x14ac:dyDescent="0.3">
      <c r="B998" s="33"/>
    </row>
    <row r="999" spans="2:2" ht="15.75" customHeight="1" x14ac:dyDescent="0.3">
      <c r="B999" s="33"/>
    </row>
    <row r="1000" spans="2:2" ht="15.75" customHeight="1" x14ac:dyDescent="0.3">
      <c r="B1000" s="33"/>
    </row>
  </sheetData>
  <autoFilter ref="A2:P15" xr:uid="{00000000-0009-0000-0000-000003000000}"/>
  <mergeCells count="1">
    <mergeCell ref="B1:D1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00"/>
  <sheetViews>
    <sheetView topLeftCell="A2" workbookViewId="0">
      <selection activeCell="D2" sqref="D2"/>
    </sheetView>
  </sheetViews>
  <sheetFormatPr baseColWidth="10" defaultColWidth="14.44140625" defaultRowHeight="15" customHeight="1" x14ac:dyDescent="0.3"/>
  <cols>
    <col min="1" max="1" width="13.33203125" customWidth="1"/>
    <col min="2" max="2" width="34.109375" customWidth="1"/>
    <col min="3" max="4" width="28.33203125" customWidth="1"/>
    <col min="5" max="5" width="27.44140625" customWidth="1"/>
    <col min="6" max="6" width="4.109375" customWidth="1"/>
    <col min="7" max="7" width="13" customWidth="1"/>
    <col min="8" max="8" width="27.6640625" customWidth="1"/>
    <col min="9" max="9" width="9.5546875" customWidth="1"/>
    <col min="10" max="10" width="16.109375" customWidth="1"/>
    <col min="11" max="11" width="10" customWidth="1"/>
    <col min="12" max="13" width="10.6640625" customWidth="1"/>
    <col min="14" max="14" width="17.88671875" customWidth="1"/>
    <col min="16" max="16" width="14.5546875" customWidth="1"/>
  </cols>
  <sheetData>
    <row r="1" spans="1:17" ht="15" customHeight="1" x14ac:dyDescent="0.3">
      <c r="A1" s="20" t="s">
        <v>410</v>
      </c>
      <c r="B1" s="181" t="str">
        <f>'Formato Cronograma'!C7</f>
        <v>Gestión pública y transparencia</v>
      </c>
      <c r="C1" s="182"/>
      <c r="D1" s="182"/>
      <c r="E1" s="182"/>
    </row>
    <row r="2" spans="1:17" ht="15" customHeight="1" x14ac:dyDescent="0.3">
      <c r="A2" s="20" t="s">
        <v>411</v>
      </c>
      <c r="B2" s="21" t="s">
        <v>412</v>
      </c>
      <c r="C2" s="22" t="s">
        <v>413</v>
      </c>
      <c r="D2" s="22" t="s">
        <v>419</v>
      </c>
      <c r="E2" s="23" t="s">
        <v>414</v>
      </c>
      <c r="F2" s="24"/>
      <c r="G2" s="25"/>
      <c r="H2" s="25"/>
      <c r="I2" s="25"/>
      <c r="J2" s="25"/>
      <c r="K2" s="25"/>
      <c r="L2" s="25"/>
      <c r="M2" s="25"/>
      <c r="N2" s="25"/>
      <c r="O2" s="24"/>
      <c r="P2" s="24"/>
      <c r="Q2" s="24"/>
    </row>
    <row r="3" spans="1:17" ht="15" customHeight="1" x14ac:dyDescent="0.3">
      <c r="A3" s="26">
        <v>1</v>
      </c>
      <c r="B3" s="27">
        <f>VLOOKUP((MATCH(A3,'Formato Cronograma'!$N$7:$LJ$7,0)),Datos!A:D,4,FALSE)</f>
        <v>46162</v>
      </c>
      <c r="C3" s="26" t="s">
        <v>415</v>
      </c>
      <c r="D3" s="26" t="s">
        <v>420</v>
      </c>
      <c r="E3" s="26" t="s">
        <v>421</v>
      </c>
      <c r="F3" s="24"/>
      <c r="G3" s="28"/>
      <c r="H3" s="28"/>
      <c r="I3" s="25"/>
      <c r="J3" s="28"/>
      <c r="K3" s="28"/>
      <c r="L3" s="28"/>
      <c r="M3" s="28"/>
      <c r="N3" s="28"/>
      <c r="O3" s="24"/>
      <c r="P3" s="24"/>
      <c r="Q3" s="24"/>
    </row>
    <row r="4" spans="1:17" ht="15" customHeight="1" x14ac:dyDescent="0.3">
      <c r="A4" s="26">
        <v>2</v>
      </c>
      <c r="B4" s="27">
        <f>VLOOKUP((MATCH(A4,'Formato Cronograma'!$N$7:$LJ$7,0)),Datos!A:D,4,FALSE)</f>
        <v>46164</v>
      </c>
      <c r="C4" s="26" t="s">
        <v>417</v>
      </c>
      <c r="D4" s="26" t="s">
        <v>420</v>
      </c>
      <c r="E4" s="26" t="s">
        <v>422</v>
      </c>
      <c r="F4" s="24"/>
      <c r="G4" s="29"/>
      <c r="H4" s="30"/>
      <c r="I4" s="29"/>
      <c r="J4" s="29"/>
      <c r="K4" s="29"/>
      <c r="L4" s="31"/>
      <c r="M4" s="31"/>
      <c r="N4" s="29"/>
      <c r="O4" s="24"/>
      <c r="P4" s="24"/>
      <c r="Q4" s="24"/>
    </row>
    <row r="5" spans="1:17" ht="15" customHeight="1" x14ac:dyDescent="0.3">
      <c r="A5" s="26">
        <v>3</v>
      </c>
      <c r="B5" s="27">
        <f>VLOOKUP((MATCH(A5,'Formato Cronograma'!$N$7:$LJ$7,0)),Datos!A:D,4,FALSE)</f>
        <v>46167</v>
      </c>
      <c r="C5" s="26" t="s">
        <v>417</v>
      </c>
      <c r="D5" s="26" t="s">
        <v>420</v>
      </c>
      <c r="E5" s="26" t="s">
        <v>422</v>
      </c>
      <c r="F5" s="24"/>
      <c r="G5" s="29"/>
      <c r="H5" s="30"/>
      <c r="I5" s="29"/>
      <c r="J5" s="29"/>
      <c r="K5" s="29"/>
      <c r="L5" s="31"/>
      <c r="M5" s="31"/>
      <c r="N5" s="29"/>
      <c r="O5" s="24"/>
      <c r="P5" s="24"/>
      <c r="Q5" s="24"/>
    </row>
    <row r="6" spans="1:17" ht="15" customHeight="1" x14ac:dyDescent="0.3">
      <c r="A6" s="26">
        <v>4</v>
      </c>
      <c r="B6" s="27">
        <f>VLOOKUP((MATCH(A6,'Formato Cronograma'!$N$7:$LJ$7,0)),Datos!A:D,4,FALSE)</f>
        <v>46174</v>
      </c>
      <c r="C6" s="26" t="s">
        <v>417</v>
      </c>
      <c r="D6" s="26" t="s">
        <v>420</v>
      </c>
      <c r="E6" s="26" t="s">
        <v>422</v>
      </c>
      <c r="F6" s="24"/>
      <c r="G6" s="29"/>
      <c r="H6" s="30"/>
      <c r="I6" s="29"/>
      <c r="J6" s="29"/>
      <c r="K6" s="29"/>
      <c r="L6" s="31"/>
      <c r="M6" s="31"/>
      <c r="N6" s="29"/>
      <c r="O6" s="24"/>
      <c r="P6" s="24"/>
      <c r="Q6" s="24"/>
    </row>
    <row r="7" spans="1:17" ht="15" customHeight="1" x14ac:dyDescent="0.3">
      <c r="A7" s="26">
        <v>5</v>
      </c>
      <c r="B7" s="27">
        <f>VLOOKUP((MATCH(A7,'Formato Cronograma'!$N$7:$LJ$7,0)),Datos!A:D,4,FALSE)</f>
        <v>46176</v>
      </c>
      <c r="C7" s="26" t="s">
        <v>417</v>
      </c>
      <c r="D7" s="26" t="s">
        <v>420</v>
      </c>
      <c r="E7" s="26" t="s">
        <v>422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</row>
    <row r="8" spans="1:17" ht="15" customHeight="1" x14ac:dyDescent="0.3">
      <c r="A8" s="26">
        <v>6</v>
      </c>
      <c r="B8" s="27">
        <f>VLOOKUP((MATCH(A8,'Formato Cronograma'!$N$7:$LJ$7,0)),Datos!A:D,4,FALSE)</f>
        <v>46178</v>
      </c>
      <c r="C8" s="26" t="s">
        <v>417</v>
      </c>
      <c r="D8" s="26" t="s">
        <v>420</v>
      </c>
      <c r="E8" s="26" t="s">
        <v>422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</row>
    <row r="9" spans="1:17" ht="15" customHeight="1" x14ac:dyDescent="0.3">
      <c r="A9" s="26">
        <v>7</v>
      </c>
      <c r="B9" s="27">
        <f>VLOOKUP((MATCH(A9,'Formato Cronograma'!$N$7:$LJ$7,0)),Datos!A:D,4,FALSE)</f>
        <v>46185</v>
      </c>
      <c r="C9" s="26" t="s">
        <v>417</v>
      </c>
      <c r="D9" s="26" t="s">
        <v>423</v>
      </c>
      <c r="E9" s="26" t="s">
        <v>422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</row>
    <row r="10" spans="1:17" ht="15" customHeight="1" x14ac:dyDescent="0.3">
      <c r="A10" s="26">
        <v>8</v>
      </c>
      <c r="B10" s="27">
        <f>VLOOKUP((MATCH(A10,'Formato Cronograma'!$N$7:$LJ$7,0)),Datos!A:D,4,FALSE)</f>
        <v>46190</v>
      </c>
      <c r="C10" s="26" t="s">
        <v>417</v>
      </c>
      <c r="D10" s="26" t="s">
        <v>423</v>
      </c>
      <c r="E10" s="26" t="s">
        <v>422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</row>
    <row r="11" spans="1:17" ht="14.4" x14ac:dyDescent="0.3">
      <c r="A11" s="26">
        <v>9</v>
      </c>
      <c r="B11" s="27">
        <f>VLOOKUP((MATCH(A11,'Formato Cronograma'!$N$7:$LJ$7,0)),Datos!A:D,4,FALSE)</f>
        <v>46195</v>
      </c>
      <c r="C11" s="26" t="s">
        <v>417</v>
      </c>
      <c r="D11" s="26" t="s">
        <v>423</v>
      </c>
      <c r="E11" s="26" t="s">
        <v>422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</row>
    <row r="12" spans="1:17" ht="14.4" x14ac:dyDescent="0.3">
      <c r="A12" s="26">
        <v>10</v>
      </c>
      <c r="B12" s="27">
        <f>VLOOKUP((MATCH(A12,'Formato Cronograma'!$N$7:$LJ$7,0)),Datos!A:D,4,FALSE)</f>
        <v>46199</v>
      </c>
      <c r="C12" s="26" t="s">
        <v>417</v>
      </c>
      <c r="D12" s="26" t="s">
        <v>423</v>
      </c>
      <c r="E12" s="26" t="s">
        <v>422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</row>
    <row r="13" spans="1:17" ht="14.4" x14ac:dyDescent="0.3">
      <c r="A13" s="26">
        <v>11</v>
      </c>
      <c r="B13" s="27">
        <f>VLOOKUP((MATCH(A13,'Formato Cronograma'!$N$7:$LJ$7,0)),Datos!A:D,4,FALSE)</f>
        <v>46206</v>
      </c>
      <c r="C13" s="26" t="s">
        <v>417</v>
      </c>
      <c r="D13" s="26" t="s">
        <v>420</v>
      </c>
      <c r="E13" s="26" t="s">
        <v>422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</row>
    <row r="14" spans="1:17" ht="14.4" x14ac:dyDescent="0.3">
      <c r="A14" s="26">
        <v>12</v>
      </c>
      <c r="B14" s="27">
        <f>VLOOKUP((MATCH(A14,'Formato Cronograma'!$N$7:$LJ$7,0)),Datos!A:D,4,FALSE)</f>
        <v>46209</v>
      </c>
      <c r="C14" s="26" t="s">
        <v>417</v>
      </c>
      <c r="D14" s="26" t="s">
        <v>420</v>
      </c>
      <c r="E14" s="26" t="s">
        <v>422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</row>
    <row r="15" spans="1:17" ht="14.4" x14ac:dyDescent="0.3">
      <c r="A15" s="26">
        <v>13</v>
      </c>
      <c r="B15" s="27">
        <f>VLOOKUP((MATCH(A15,'Formato Cronograma'!$N$7:$LJ$7,0)),Datos!A:D,4,FALSE)</f>
        <v>46211</v>
      </c>
      <c r="C15" s="26" t="s">
        <v>417</v>
      </c>
      <c r="D15" s="26" t="s">
        <v>420</v>
      </c>
      <c r="E15" s="26" t="s">
        <v>422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</row>
    <row r="16" spans="1:17" ht="14.4" x14ac:dyDescent="0.3">
      <c r="A16" s="26">
        <v>14</v>
      </c>
      <c r="B16" s="27">
        <f>VLOOKUP((MATCH(A16,'Formato Cronograma'!$N$7:$LJ$7,0)),Datos!A:D,4,FALSE)</f>
        <v>46216</v>
      </c>
      <c r="C16" s="26" t="s">
        <v>417</v>
      </c>
      <c r="D16" s="26" t="s">
        <v>420</v>
      </c>
      <c r="E16" s="26" t="s">
        <v>422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</row>
    <row r="17" spans="1:17" ht="14.4" x14ac:dyDescent="0.3">
      <c r="A17" s="26">
        <v>15</v>
      </c>
      <c r="B17" s="27">
        <f>VLOOKUP((MATCH(A17,'Formato Cronograma'!$N$7:$LJ$7,0)),Datos!A:D,4,FALSE)</f>
        <v>46220</v>
      </c>
      <c r="C17" s="26" t="s">
        <v>415</v>
      </c>
      <c r="D17" s="26" t="s">
        <v>420</v>
      </c>
      <c r="E17" s="26" t="s">
        <v>421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</row>
    <row r="18" spans="1:17" ht="14.4" x14ac:dyDescent="0.3">
      <c r="A18" s="24"/>
      <c r="B18" s="32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</row>
    <row r="19" spans="1:17" ht="14.4" x14ac:dyDescent="0.3">
      <c r="A19" s="24"/>
      <c r="B19" s="32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</row>
    <row r="20" spans="1:17" ht="14.4" x14ac:dyDescent="0.3">
      <c r="A20" s="24"/>
      <c r="B20" s="32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</row>
    <row r="21" spans="1:17" ht="15.75" customHeight="1" x14ac:dyDescent="0.3">
      <c r="A21" s="24"/>
      <c r="B21" s="32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</row>
    <row r="22" spans="1:17" ht="15.75" customHeight="1" x14ac:dyDescent="0.3">
      <c r="A22" s="24"/>
      <c r="B22" s="32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</row>
    <row r="23" spans="1:17" ht="15.75" customHeight="1" x14ac:dyDescent="0.3">
      <c r="A23" s="24"/>
      <c r="B23" s="32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</row>
    <row r="24" spans="1:17" ht="15.75" customHeight="1" x14ac:dyDescent="0.3">
      <c r="A24" s="24"/>
      <c r="B24" s="32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</row>
    <row r="25" spans="1:17" ht="15.75" customHeight="1" x14ac:dyDescent="0.3">
      <c r="A25" s="24"/>
      <c r="B25" s="32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</row>
    <row r="26" spans="1:17" ht="15.75" customHeight="1" x14ac:dyDescent="0.3">
      <c r="A26" s="24"/>
      <c r="B26" s="32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</row>
    <row r="27" spans="1:17" ht="15.75" customHeight="1" x14ac:dyDescent="0.3">
      <c r="A27" s="24"/>
      <c r="B27" s="32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</row>
    <row r="28" spans="1:17" ht="15.75" customHeight="1" x14ac:dyDescent="0.3">
      <c r="A28" s="24"/>
      <c r="B28" s="32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</row>
    <row r="29" spans="1:17" ht="15.75" customHeight="1" x14ac:dyDescent="0.3">
      <c r="A29" s="24"/>
      <c r="B29" s="32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</row>
    <row r="30" spans="1:17" ht="15.75" customHeight="1" x14ac:dyDescent="0.3">
      <c r="A30" s="24"/>
      <c r="B30" s="32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</row>
    <row r="31" spans="1:17" ht="15.75" customHeight="1" x14ac:dyDescent="0.3">
      <c r="A31" s="24"/>
      <c r="B31" s="32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</row>
    <row r="32" spans="1:17" ht="15.75" customHeight="1" x14ac:dyDescent="0.3">
      <c r="A32" s="24"/>
      <c r="B32" s="32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</row>
    <row r="33" spans="1:17" ht="15.75" customHeight="1" x14ac:dyDescent="0.3">
      <c r="A33" s="24"/>
      <c r="B33" s="32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</row>
    <row r="34" spans="1:17" ht="15.75" customHeight="1" x14ac:dyDescent="0.3">
      <c r="A34" s="24"/>
      <c r="B34" s="32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</row>
    <row r="35" spans="1:17" ht="15.75" customHeight="1" x14ac:dyDescent="0.3">
      <c r="A35" s="24"/>
      <c r="B35" s="32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</row>
    <row r="36" spans="1:17" ht="15.75" customHeight="1" x14ac:dyDescent="0.3">
      <c r="A36" s="24"/>
      <c r="B36" s="32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</row>
    <row r="37" spans="1:17" ht="15.75" customHeight="1" x14ac:dyDescent="0.3">
      <c r="A37" s="24"/>
      <c r="B37" s="32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</row>
    <row r="38" spans="1:17" ht="15.75" customHeight="1" x14ac:dyDescent="0.3">
      <c r="A38" s="24"/>
      <c r="B38" s="32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</row>
    <row r="39" spans="1:17" ht="15.75" customHeight="1" x14ac:dyDescent="0.3">
      <c r="A39" s="24"/>
      <c r="B39" s="32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</row>
    <row r="40" spans="1:17" ht="15.75" customHeight="1" x14ac:dyDescent="0.3">
      <c r="A40" s="24"/>
      <c r="B40" s="32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</row>
    <row r="41" spans="1:17" ht="15.75" customHeight="1" x14ac:dyDescent="0.3">
      <c r="A41" s="24"/>
      <c r="B41" s="32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</row>
    <row r="42" spans="1:17" ht="15.75" customHeight="1" x14ac:dyDescent="0.3">
      <c r="A42" s="24"/>
      <c r="B42" s="32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</row>
    <row r="43" spans="1:17" ht="15.75" customHeight="1" x14ac:dyDescent="0.3">
      <c r="A43" s="24"/>
      <c r="B43" s="32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</row>
    <row r="44" spans="1:17" ht="15.75" customHeight="1" x14ac:dyDescent="0.3">
      <c r="A44" s="24"/>
      <c r="B44" s="32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</row>
    <row r="45" spans="1:17" ht="15.75" customHeight="1" x14ac:dyDescent="0.3">
      <c r="A45" s="24"/>
      <c r="B45" s="32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</row>
    <row r="46" spans="1:17" ht="15.75" customHeight="1" x14ac:dyDescent="0.3">
      <c r="A46" s="24"/>
      <c r="B46" s="32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</row>
    <row r="47" spans="1:17" ht="15.75" customHeight="1" x14ac:dyDescent="0.3">
      <c r="A47" s="24"/>
      <c r="B47" s="32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</row>
    <row r="48" spans="1:17" ht="15.75" customHeight="1" x14ac:dyDescent="0.3">
      <c r="A48" s="24"/>
      <c r="B48" s="32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</row>
    <row r="49" spans="1:17" ht="15.75" customHeight="1" x14ac:dyDescent="0.3">
      <c r="A49" s="24"/>
      <c r="B49" s="32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</row>
    <row r="50" spans="1:17" ht="15.75" customHeight="1" x14ac:dyDescent="0.3">
      <c r="A50" s="24"/>
      <c r="B50" s="32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</row>
    <row r="51" spans="1:17" ht="15.75" customHeight="1" x14ac:dyDescent="0.3">
      <c r="A51" s="24"/>
      <c r="B51" s="32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</row>
    <row r="52" spans="1:17" ht="15.75" customHeight="1" x14ac:dyDescent="0.3">
      <c r="A52" s="24"/>
      <c r="B52" s="32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</row>
    <row r="53" spans="1:17" ht="15.75" customHeight="1" x14ac:dyDescent="0.3">
      <c r="A53" s="24"/>
      <c r="B53" s="32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</row>
    <row r="54" spans="1:17" ht="15.75" customHeight="1" x14ac:dyDescent="0.3">
      <c r="A54" s="24"/>
      <c r="B54" s="32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</row>
    <row r="55" spans="1:17" ht="15.75" customHeight="1" x14ac:dyDescent="0.3">
      <c r="A55" s="24"/>
      <c r="B55" s="32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</row>
    <row r="56" spans="1:17" ht="15.75" customHeight="1" x14ac:dyDescent="0.3">
      <c r="A56" s="24"/>
      <c r="B56" s="32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</row>
    <row r="57" spans="1:17" ht="15.75" customHeight="1" x14ac:dyDescent="0.3">
      <c r="A57" s="24"/>
      <c r="B57" s="32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</row>
    <row r="58" spans="1:17" ht="15.75" customHeight="1" x14ac:dyDescent="0.3">
      <c r="A58" s="24"/>
      <c r="B58" s="32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</row>
    <row r="59" spans="1:17" ht="15.75" customHeight="1" x14ac:dyDescent="0.3">
      <c r="A59" s="24"/>
      <c r="B59" s="32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</row>
    <row r="60" spans="1:17" ht="15.75" customHeight="1" x14ac:dyDescent="0.3">
      <c r="A60" s="24"/>
      <c r="B60" s="32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</row>
    <row r="61" spans="1:17" ht="15.75" customHeight="1" x14ac:dyDescent="0.3">
      <c r="A61" s="24"/>
      <c r="B61" s="32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</row>
    <row r="62" spans="1:17" ht="15.75" customHeight="1" x14ac:dyDescent="0.3">
      <c r="A62" s="24"/>
      <c r="B62" s="32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</row>
    <row r="63" spans="1:17" ht="15.75" customHeight="1" x14ac:dyDescent="0.3">
      <c r="A63" s="24"/>
      <c r="B63" s="32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</row>
    <row r="64" spans="1:17" ht="15.75" customHeight="1" x14ac:dyDescent="0.3">
      <c r="A64" s="24"/>
      <c r="B64" s="32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</row>
    <row r="65" spans="1:17" ht="15.75" customHeight="1" x14ac:dyDescent="0.3">
      <c r="A65" s="24"/>
      <c r="B65" s="32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</row>
    <row r="66" spans="1:17" ht="15.75" customHeight="1" x14ac:dyDescent="0.3">
      <c r="A66" s="24"/>
      <c r="B66" s="32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</row>
    <row r="67" spans="1:17" ht="15.75" customHeight="1" x14ac:dyDescent="0.3">
      <c r="A67" s="24"/>
      <c r="B67" s="32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</row>
    <row r="68" spans="1:17" ht="15.75" customHeight="1" x14ac:dyDescent="0.3">
      <c r="A68" s="24"/>
      <c r="B68" s="32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</row>
    <row r="69" spans="1:17" ht="15.75" customHeight="1" x14ac:dyDescent="0.3">
      <c r="A69" s="24"/>
      <c r="B69" s="32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</row>
    <row r="70" spans="1:17" ht="15.75" customHeight="1" x14ac:dyDescent="0.3">
      <c r="A70" s="24"/>
      <c r="B70" s="32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</row>
    <row r="71" spans="1:17" ht="15.75" customHeight="1" x14ac:dyDescent="0.3">
      <c r="A71" s="24"/>
      <c r="B71" s="32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</row>
    <row r="72" spans="1:17" ht="15.75" customHeight="1" x14ac:dyDescent="0.3">
      <c r="A72" s="24"/>
      <c r="B72" s="32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</row>
    <row r="73" spans="1:17" ht="15.75" customHeight="1" x14ac:dyDescent="0.3">
      <c r="A73" s="24"/>
      <c r="B73" s="32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</row>
    <row r="74" spans="1:17" ht="15.75" customHeight="1" x14ac:dyDescent="0.3">
      <c r="A74" s="24"/>
      <c r="B74" s="32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</row>
    <row r="75" spans="1:17" ht="15.75" customHeight="1" x14ac:dyDescent="0.3">
      <c r="A75" s="24"/>
      <c r="B75" s="32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</row>
    <row r="76" spans="1:17" ht="15.75" customHeight="1" x14ac:dyDescent="0.3">
      <c r="A76" s="24"/>
      <c r="B76" s="32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</row>
    <row r="77" spans="1:17" ht="15.75" customHeight="1" x14ac:dyDescent="0.3">
      <c r="A77" s="24"/>
      <c r="B77" s="32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</row>
    <row r="78" spans="1:17" ht="15.75" customHeight="1" x14ac:dyDescent="0.3">
      <c r="A78" s="24"/>
      <c r="B78" s="32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</row>
    <row r="79" spans="1:17" ht="15.75" customHeight="1" x14ac:dyDescent="0.3">
      <c r="A79" s="24"/>
      <c r="B79" s="32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</row>
    <row r="80" spans="1:17" ht="15.75" customHeight="1" x14ac:dyDescent="0.3">
      <c r="A80" s="24"/>
      <c r="B80" s="32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</row>
    <row r="81" spans="1:17" ht="15.75" customHeight="1" x14ac:dyDescent="0.3">
      <c r="A81" s="24"/>
      <c r="B81" s="32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</row>
    <row r="82" spans="1:17" ht="15.75" customHeight="1" x14ac:dyDescent="0.3">
      <c r="A82" s="24"/>
      <c r="B82" s="32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</row>
    <row r="83" spans="1:17" ht="15.75" customHeight="1" x14ac:dyDescent="0.3">
      <c r="A83" s="24"/>
      <c r="B83" s="32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</row>
    <row r="84" spans="1:17" ht="15.75" customHeight="1" x14ac:dyDescent="0.3">
      <c r="A84" s="24"/>
      <c r="B84" s="32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</row>
    <row r="85" spans="1:17" ht="15.75" customHeight="1" x14ac:dyDescent="0.3">
      <c r="A85" s="24"/>
      <c r="B85" s="32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</row>
    <row r="86" spans="1:17" ht="15.75" customHeight="1" x14ac:dyDescent="0.3">
      <c r="A86" s="24"/>
      <c r="B86" s="32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</row>
    <row r="87" spans="1:17" ht="15.75" customHeight="1" x14ac:dyDescent="0.3">
      <c r="A87" s="24"/>
      <c r="B87" s="32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</row>
    <row r="88" spans="1:17" ht="15.75" customHeight="1" x14ac:dyDescent="0.3">
      <c r="A88" s="24"/>
      <c r="B88" s="32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</row>
    <row r="89" spans="1:17" ht="15.75" customHeight="1" x14ac:dyDescent="0.3">
      <c r="A89" s="24"/>
      <c r="B89" s="32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</row>
    <row r="90" spans="1:17" ht="15.75" customHeight="1" x14ac:dyDescent="0.3">
      <c r="A90" s="24"/>
      <c r="B90" s="32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</row>
    <row r="91" spans="1:17" ht="15.75" customHeight="1" x14ac:dyDescent="0.3">
      <c r="A91" s="24"/>
      <c r="B91" s="32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</row>
    <row r="92" spans="1:17" ht="15.75" customHeight="1" x14ac:dyDescent="0.3">
      <c r="A92" s="24"/>
      <c r="B92" s="32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</row>
    <row r="93" spans="1:17" ht="15.75" customHeight="1" x14ac:dyDescent="0.3">
      <c r="A93" s="24"/>
      <c r="B93" s="32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</row>
    <row r="94" spans="1:17" ht="15.75" customHeight="1" x14ac:dyDescent="0.3">
      <c r="A94" s="24"/>
      <c r="B94" s="32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</row>
    <row r="95" spans="1:17" ht="15.75" customHeight="1" x14ac:dyDescent="0.3">
      <c r="A95" s="24"/>
      <c r="B95" s="32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</row>
    <row r="96" spans="1:17" ht="15.75" customHeight="1" x14ac:dyDescent="0.3">
      <c r="A96" s="24"/>
      <c r="B96" s="32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</row>
    <row r="97" spans="1:17" ht="15.75" customHeight="1" x14ac:dyDescent="0.3">
      <c r="A97" s="24"/>
      <c r="B97" s="32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</row>
    <row r="98" spans="1:17" ht="15.75" customHeight="1" x14ac:dyDescent="0.3">
      <c r="A98" s="24"/>
      <c r="B98" s="32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</row>
    <row r="99" spans="1:17" ht="15.75" customHeight="1" x14ac:dyDescent="0.3">
      <c r="A99" s="24"/>
      <c r="B99" s="32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</row>
    <row r="100" spans="1:17" ht="15.75" customHeight="1" x14ac:dyDescent="0.3">
      <c r="A100" s="24"/>
      <c r="B100" s="32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</row>
    <row r="101" spans="1:17" ht="15.75" customHeight="1" x14ac:dyDescent="0.3">
      <c r="A101" s="24"/>
      <c r="B101" s="32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</row>
    <row r="102" spans="1:17" ht="15.75" customHeight="1" x14ac:dyDescent="0.3">
      <c r="A102" s="24"/>
      <c r="B102" s="32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</row>
    <row r="103" spans="1:17" ht="15.75" customHeight="1" x14ac:dyDescent="0.3">
      <c r="A103" s="24"/>
      <c r="B103" s="32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</row>
    <row r="104" spans="1:17" ht="15.75" customHeight="1" x14ac:dyDescent="0.3">
      <c r="A104" s="24"/>
      <c r="B104" s="32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</row>
    <row r="105" spans="1:17" ht="15.75" customHeight="1" x14ac:dyDescent="0.3">
      <c r="A105" s="24"/>
      <c r="B105" s="32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</row>
    <row r="106" spans="1:17" ht="15.75" customHeight="1" x14ac:dyDescent="0.3">
      <c r="A106" s="24"/>
      <c r="B106" s="32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</row>
    <row r="107" spans="1:17" ht="15.75" customHeight="1" x14ac:dyDescent="0.3">
      <c r="A107" s="24"/>
      <c r="B107" s="32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</row>
    <row r="108" spans="1:17" ht="15.75" customHeight="1" x14ac:dyDescent="0.3">
      <c r="A108" s="24"/>
      <c r="B108" s="32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</row>
    <row r="109" spans="1:17" ht="15.75" customHeight="1" x14ac:dyDescent="0.3">
      <c r="A109" s="24"/>
      <c r="B109" s="32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</row>
    <row r="110" spans="1:17" ht="15.75" customHeight="1" x14ac:dyDescent="0.3">
      <c r="A110" s="24"/>
      <c r="B110" s="32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</row>
    <row r="111" spans="1:17" ht="15.75" customHeight="1" x14ac:dyDescent="0.3">
      <c r="A111" s="24"/>
      <c r="B111" s="32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</row>
    <row r="112" spans="1:17" ht="15.75" customHeight="1" x14ac:dyDescent="0.3">
      <c r="A112" s="24"/>
      <c r="B112" s="32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</row>
    <row r="113" spans="1:17" ht="15.75" customHeight="1" x14ac:dyDescent="0.3">
      <c r="A113" s="24"/>
      <c r="B113" s="32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</row>
    <row r="114" spans="1:17" ht="15.75" customHeight="1" x14ac:dyDescent="0.3">
      <c r="A114" s="24"/>
      <c r="B114" s="32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</row>
    <row r="115" spans="1:17" ht="15.75" customHeight="1" x14ac:dyDescent="0.3">
      <c r="A115" s="24"/>
      <c r="B115" s="32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</row>
    <row r="116" spans="1:17" ht="15.75" customHeight="1" x14ac:dyDescent="0.3">
      <c r="A116" s="24"/>
      <c r="B116" s="32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</row>
    <row r="117" spans="1:17" ht="15.75" customHeight="1" x14ac:dyDescent="0.3">
      <c r="A117" s="24"/>
      <c r="B117" s="32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</row>
    <row r="118" spans="1:17" ht="15.75" customHeight="1" x14ac:dyDescent="0.3">
      <c r="A118" s="24"/>
      <c r="B118" s="32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</row>
    <row r="119" spans="1:17" ht="15.75" customHeight="1" x14ac:dyDescent="0.3">
      <c r="A119" s="24"/>
      <c r="B119" s="32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</row>
    <row r="120" spans="1:17" ht="15.75" customHeight="1" x14ac:dyDescent="0.3">
      <c r="A120" s="24"/>
      <c r="B120" s="32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</row>
    <row r="121" spans="1:17" ht="15.75" customHeight="1" x14ac:dyDescent="0.3">
      <c r="A121" s="24"/>
      <c r="B121" s="32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</row>
    <row r="122" spans="1:17" ht="15.75" customHeight="1" x14ac:dyDescent="0.3">
      <c r="A122" s="24"/>
      <c r="B122" s="32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</row>
    <row r="123" spans="1:17" ht="15.75" customHeight="1" x14ac:dyDescent="0.3">
      <c r="A123" s="24"/>
      <c r="B123" s="32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</row>
    <row r="124" spans="1:17" ht="15.75" customHeight="1" x14ac:dyDescent="0.3">
      <c r="A124" s="24"/>
      <c r="B124" s="32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</row>
    <row r="125" spans="1:17" ht="15.75" customHeight="1" x14ac:dyDescent="0.3">
      <c r="A125" s="24"/>
      <c r="B125" s="32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</row>
    <row r="126" spans="1:17" ht="15.75" customHeight="1" x14ac:dyDescent="0.3">
      <c r="A126" s="24"/>
      <c r="B126" s="32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</row>
    <row r="127" spans="1:17" ht="15.75" customHeight="1" x14ac:dyDescent="0.3">
      <c r="A127" s="24"/>
      <c r="B127" s="32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</row>
    <row r="128" spans="1:17" ht="15.75" customHeight="1" x14ac:dyDescent="0.3">
      <c r="A128" s="24"/>
      <c r="B128" s="32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</row>
    <row r="129" spans="1:17" ht="15.75" customHeight="1" x14ac:dyDescent="0.3">
      <c r="A129" s="24"/>
      <c r="B129" s="32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</row>
    <row r="130" spans="1:17" ht="15.75" customHeight="1" x14ac:dyDescent="0.3">
      <c r="A130" s="24"/>
      <c r="B130" s="32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</row>
    <row r="131" spans="1:17" ht="15.75" customHeight="1" x14ac:dyDescent="0.3">
      <c r="A131" s="24"/>
      <c r="B131" s="32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</row>
    <row r="132" spans="1:17" ht="15.75" customHeight="1" x14ac:dyDescent="0.3">
      <c r="A132" s="24"/>
      <c r="B132" s="32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</row>
    <row r="133" spans="1:17" ht="15.75" customHeight="1" x14ac:dyDescent="0.3">
      <c r="A133" s="24"/>
      <c r="B133" s="32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</row>
    <row r="134" spans="1:17" ht="15.75" customHeight="1" x14ac:dyDescent="0.3">
      <c r="A134" s="24"/>
      <c r="B134" s="32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</row>
    <row r="135" spans="1:17" ht="15.75" customHeight="1" x14ac:dyDescent="0.3">
      <c r="A135" s="24"/>
      <c r="B135" s="32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</row>
    <row r="136" spans="1:17" ht="15.75" customHeight="1" x14ac:dyDescent="0.3">
      <c r="A136" s="24"/>
      <c r="B136" s="32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</row>
    <row r="137" spans="1:17" ht="15.75" customHeight="1" x14ac:dyDescent="0.3">
      <c r="A137" s="24"/>
      <c r="B137" s="32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</row>
    <row r="138" spans="1:17" ht="15.75" customHeight="1" x14ac:dyDescent="0.3">
      <c r="A138" s="24"/>
      <c r="B138" s="32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</row>
    <row r="139" spans="1:17" ht="15.75" customHeight="1" x14ac:dyDescent="0.3">
      <c r="A139" s="24"/>
      <c r="B139" s="32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</row>
    <row r="140" spans="1:17" ht="15.75" customHeight="1" x14ac:dyDescent="0.3">
      <c r="A140" s="24"/>
      <c r="B140" s="32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</row>
    <row r="141" spans="1:17" ht="15.75" customHeight="1" x14ac:dyDescent="0.3">
      <c r="A141" s="24"/>
      <c r="B141" s="32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</row>
    <row r="142" spans="1:17" ht="15.75" customHeight="1" x14ac:dyDescent="0.3">
      <c r="A142" s="24"/>
      <c r="B142" s="32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</row>
    <row r="143" spans="1:17" ht="15.75" customHeight="1" x14ac:dyDescent="0.3">
      <c r="A143" s="24"/>
      <c r="B143" s="32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</row>
    <row r="144" spans="1:17" ht="15.75" customHeight="1" x14ac:dyDescent="0.3">
      <c r="A144" s="24"/>
      <c r="B144" s="32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</row>
    <row r="145" spans="1:17" ht="15.75" customHeight="1" x14ac:dyDescent="0.3">
      <c r="A145" s="24"/>
      <c r="B145" s="32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</row>
    <row r="146" spans="1:17" ht="15.75" customHeight="1" x14ac:dyDescent="0.3">
      <c r="A146" s="24"/>
      <c r="B146" s="32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</row>
    <row r="147" spans="1:17" ht="15.75" customHeight="1" x14ac:dyDescent="0.3">
      <c r="A147" s="24"/>
      <c r="B147" s="32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</row>
    <row r="148" spans="1:17" ht="15.75" customHeight="1" x14ac:dyDescent="0.3">
      <c r="A148" s="24"/>
      <c r="B148" s="32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</row>
    <row r="149" spans="1:17" ht="15.75" customHeight="1" x14ac:dyDescent="0.3">
      <c r="A149" s="24"/>
      <c r="B149" s="32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</row>
    <row r="150" spans="1:17" ht="15.75" customHeight="1" x14ac:dyDescent="0.3">
      <c r="A150" s="24"/>
      <c r="B150" s="32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</row>
    <row r="151" spans="1:17" ht="15.75" customHeight="1" x14ac:dyDescent="0.3">
      <c r="A151" s="24"/>
      <c r="B151" s="32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</row>
    <row r="152" spans="1:17" ht="15.75" customHeight="1" x14ac:dyDescent="0.3">
      <c r="A152" s="24"/>
      <c r="B152" s="32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</row>
    <row r="153" spans="1:17" ht="15.75" customHeight="1" x14ac:dyDescent="0.3">
      <c r="A153" s="24"/>
      <c r="B153" s="32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</row>
    <row r="154" spans="1:17" ht="15.75" customHeight="1" x14ac:dyDescent="0.3">
      <c r="A154" s="24"/>
      <c r="B154" s="32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</row>
    <row r="155" spans="1:17" ht="15.75" customHeight="1" x14ac:dyDescent="0.3">
      <c r="A155" s="24"/>
      <c r="B155" s="32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</row>
    <row r="156" spans="1:17" ht="15.75" customHeight="1" x14ac:dyDescent="0.3">
      <c r="A156" s="24"/>
      <c r="B156" s="32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</row>
    <row r="157" spans="1:17" ht="15.75" customHeight="1" x14ac:dyDescent="0.3">
      <c r="A157" s="24"/>
      <c r="B157" s="32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</row>
    <row r="158" spans="1:17" ht="15.75" customHeight="1" x14ac:dyDescent="0.3">
      <c r="A158" s="24"/>
      <c r="B158" s="32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</row>
    <row r="159" spans="1:17" ht="15.75" customHeight="1" x14ac:dyDescent="0.3">
      <c r="A159" s="24"/>
      <c r="B159" s="32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</row>
    <row r="160" spans="1:17" ht="15.75" customHeight="1" x14ac:dyDescent="0.3">
      <c r="A160" s="24"/>
      <c r="B160" s="32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</row>
    <row r="161" spans="1:17" ht="15.75" customHeight="1" x14ac:dyDescent="0.3">
      <c r="A161" s="24"/>
      <c r="B161" s="32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</row>
    <row r="162" spans="1:17" ht="15.75" customHeight="1" x14ac:dyDescent="0.3">
      <c r="A162" s="24"/>
      <c r="B162" s="32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</row>
    <row r="163" spans="1:17" ht="15.75" customHeight="1" x14ac:dyDescent="0.3">
      <c r="A163" s="24"/>
      <c r="B163" s="32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</row>
    <row r="164" spans="1:17" ht="15.75" customHeight="1" x14ac:dyDescent="0.3">
      <c r="A164" s="24"/>
      <c r="B164" s="32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</row>
    <row r="165" spans="1:17" ht="15.75" customHeight="1" x14ac:dyDescent="0.3">
      <c r="A165" s="24"/>
      <c r="B165" s="32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</row>
    <row r="166" spans="1:17" ht="15.75" customHeight="1" x14ac:dyDescent="0.3">
      <c r="A166" s="24"/>
      <c r="B166" s="32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</row>
    <row r="167" spans="1:17" ht="15.75" customHeight="1" x14ac:dyDescent="0.3">
      <c r="A167" s="24"/>
      <c r="B167" s="32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</row>
    <row r="168" spans="1:17" ht="15.75" customHeight="1" x14ac:dyDescent="0.3">
      <c r="A168" s="24"/>
      <c r="B168" s="32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</row>
    <row r="169" spans="1:17" ht="15.75" customHeight="1" x14ac:dyDescent="0.3">
      <c r="A169" s="24"/>
      <c r="B169" s="32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</row>
    <row r="170" spans="1:17" ht="15.75" customHeight="1" x14ac:dyDescent="0.3">
      <c r="A170" s="24"/>
      <c r="B170" s="32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</row>
    <row r="171" spans="1:17" ht="15.75" customHeight="1" x14ac:dyDescent="0.3">
      <c r="A171" s="24"/>
      <c r="B171" s="32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</row>
    <row r="172" spans="1:17" ht="15.75" customHeight="1" x14ac:dyDescent="0.3">
      <c r="A172" s="24"/>
      <c r="B172" s="32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</row>
    <row r="173" spans="1:17" ht="15.75" customHeight="1" x14ac:dyDescent="0.3">
      <c r="A173" s="24"/>
      <c r="B173" s="32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</row>
    <row r="174" spans="1:17" ht="15.75" customHeight="1" x14ac:dyDescent="0.3">
      <c r="A174" s="24"/>
      <c r="B174" s="32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</row>
    <row r="175" spans="1:17" ht="15.75" customHeight="1" x14ac:dyDescent="0.3">
      <c r="A175" s="24"/>
      <c r="B175" s="32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</row>
    <row r="176" spans="1:17" ht="15.75" customHeight="1" x14ac:dyDescent="0.3">
      <c r="A176" s="24"/>
      <c r="B176" s="32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</row>
    <row r="177" spans="1:17" ht="15.75" customHeight="1" x14ac:dyDescent="0.3">
      <c r="A177" s="24"/>
      <c r="B177" s="32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</row>
    <row r="178" spans="1:17" ht="15.75" customHeight="1" x14ac:dyDescent="0.3">
      <c r="A178" s="24"/>
      <c r="B178" s="32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</row>
    <row r="179" spans="1:17" ht="15.75" customHeight="1" x14ac:dyDescent="0.3">
      <c r="A179" s="24"/>
      <c r="B179" s="32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</row>
    <row r="180" spans="1:17" ht="15.75" customHeight="1" x14ac:dyDescent="0.3">
      <c r="A180" s="24"/>
      <c r="B180" s="32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</row>
    <row r="181" spans="1:17" ht="15.75" customHeight="1" x14ac:dyDescent="0.3">
      <c r="A181" s="24"/>
      <c r="B181" s="32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</row>
    <row r="182" spans="1:17" ht="15.75" customHeight="1" x14ac:dyDescent="0.3">
      <c r="A182" s="24"/>
      <c r="B182" s="32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</row>
    <row r="183" spans="1:17" ht="15.75" customHeight="1" x14ac:dyDescent="0.3">
      <c r="A183" s="24"/>
      <c r="B183" s="32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</row>
    <row r="184" spans="1:17" ht="15.75" customHeight="1" x14ac:dyDescent="0.3">
      <c r="A184" s="24"/>
      <c r="B184" s="32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</row>
    <row r="185" spans="1:17" ht="15.75" customHeight="1" x14ac:dyDescent="0.3">
      <c r="A185" s="24"/>
      <c r="B185" s="32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</row>
    <row r="186" spans="1:17" ht="15.75" customHeight="1" x14ac:dyDescent="0.3">
      <c r="A186" s="24"/>
      <c r="B186" s="32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</row>
    <row r="187" spans="1:17" ht="15.75" customHeight="1" x14ac:dyDescent="0.3">
      <c r="A187" s="24"/>
      <c r="B187" s="32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</row>
    <row r="188" spans="1:17" ht="15.75" customHeight="1" x14ac:dyDescent="0.3">
      <c r="A188" s="24"/>
      <c r="B188" s="32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</row>
    <row r="189" spans="1:17" ht="15.75" customHeight="1" x14ac:dyDescent="0.3">
      <c r="A189" s="24"/>
      <c r="B189" s="32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</row>
    <row r="190" spans="1:17" ht="15.75" customHeight="1" x14ac:dyDescent="0.3">
      <c r="A190" s="24"/>
      <c r="B190" s="32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</row>
    <row r="191" spans="1:17" ht="15.75" customHeight="1" x14ac:dyDescent="0.3">
      <c r="A191" s="24"/>
      <c r="B191" s="32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</row>
    <row r="192" spans="1:17" ht="15.75" customHeight="1" x14ac:dyDescent="0.3">
      <c r="A192" s="24"/>
      <c r="B192" s="32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</row>
    <row r="193" spans="1:17" ht="15.75" customHeight="1" x14ac:dyDescent="0.3">
      <c r="A193" s="24"/>
      <c r="B193" s="32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</row>
    <row r="194" spans="1:17" ht="15.75" customHeight="1" x14ac:dyDescent="0.3">
      <c r="A194" s="24"/>
      <c r="B194" s="32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</row>
    <row r="195" spans="1:17" ht="15.75" customHeight="1" x14ac:dyDescent="0.3">
      <c r="A195" s="24"/>
      <c r="B195" s="32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</row>
    <row r="196" spans="1:17" ht="15.75" customHeight="1" x14ac:dyDescent="0.3">
      <c r="A196" s="24"/>
      <c r="B196" s="32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</row>
    <row r="197" spans="1:17" ht="15.75" customHeight="1" x14ac:dyDescent="0.3">
      <c r="A197" s="24"/>
      <c r="B197" s="32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</row>
    <row r="198" spans="1:17" ht="15.75" customHeight="1" x14ac:dyDescent="0.3">
      <c r="A198" s="24"/>
      <c r="B198" s="32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</row>
    <row r="199" spans="1:17" ht="15.75" customHeight="1" x14ac:dyDescent="0.3">
      <c r="A199" s="24"/>
      <c r="B199" s="32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</row>
    <row r="200" spans="1:17" ht="15.75" customHeight="1" x14ac:dyDescent="0.3">
      <c r="A200" s="24"/>
      <c r="B200" s="32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</row>
    <row r="201" spans="1:17" ht="15.75" customHeight="1" x14ac:dyDescent="0.3">
      <c r="A201" s="24"/>
      <c r="B201" s="32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</row>
    <row r="202" spans="1:17" ht="15.75" customHeight="1" x14ac:dyDescent="0.3">
      <c r="A202" s="24"/>
      <c r="B202" s="32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</row>
    <row r="203" spans="1:17" ht="15.75" customHeight="1" x14ac:dyDescent="0.3">
      <c r="A203" s="24"/>
      <c r="B203" s="32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</row>
    <row r="204" spans="1:17" ht="15.75" customHeight="1" x14ac:dyDescent="0.3">
      <c r="A204" s="24"/>
      <c r="B204" s="32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</row>
    <row r="205" spans="1:17" ht="15.75" customHeight="1" x14ac:dyDescent="0.3">
      <c r="A205" s="24"/>
      <c r="B205" s="32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</row>
    <row r="206" spans="1:17" ht="15.75" customHeight="1" x14ac:dyDescent="0.3">
      <c r="A206" s="24"/>
      <c r="B206" s="32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</row>
    <row r="207" spans="1:17" ht="15.75" customHeight="1" x14ac:dyDescent="0.3">
      <c r="A207" s="24"/>
      <c r="B207" s="32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</row>
    <row r="208" spans="1:17" ht="15.75" customHeight="1" x14ac:dyDescent="0.3">
      <c r="A208" s="24"/>
      <c r="B208" s="32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</row>
    <row r="209" spans="1:17" ht="15.75" customHeight="1" x14ac:dyDescent="0.3">
      <c r="A209" s="24"/>
      <c r="B209" s="32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</row>
    <row r="210" spans="1:17" ht="15.75" customHeight="1" x14ac:dyDescent="0.3">
      <c r="A210" s="24"/>
      <c r="B210" s="32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</row>
    <row r="211" spans="1:17" ht="15.75" customHeight="1" x14ac:dyDescent="0.3">
      <c r="A211" s="24"/>
      <c r="B211" s="32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</row>
    <row r="212" spans="1:17" ht="15.75" customHeight="1" x14ac:dyDescent="0.3">
      <c r="A212" s="24"/>
      <c r="B212" s="32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</row>
    <row r="213" spans="1:17" ht="15.75" customHeight="1" x14ac:dyDescent="0.3">
      <c r="A213" s="24"/>
      <c r="B213" s="32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</row>
    <row r="214" spans="1:17" ht="15.75" customHeight="1" x14ac:dyDescent="0.3">
      <c r="A214" s="24"/>
      <c r="B214" s="32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</row>
    <row r="215" spans="1:17" ht="15.75" customHeight="1" x14ac:dyDescent="0.3">
      <c r="A215" s="24"/>
      <c r="B215" s="32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</row>
    <row r="216" spans="1:17" ht="15.75" customHeight="1" x14ac:dyDescent="0.3">
      <c r="A216" s="24"/>
      <c r="B216" s="32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</row>
    <row r="217" spans="1:17" ht="15.75" customHeight="1" x14ac:dyDescent="0.3">
      <c r="A217" s="24"/>
      <c r="B217" s="32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</row>
    <row r="218" spans="1:17" ht="15.75" customHeight="1" x14ac:dyDescent="0.3">
      <c r="A218" s="24"/>
      <c r="B218" s="32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</row>
    <row r="219" spans="1:17" ht="15.75" customHeight="1" x14ac:dyDescent="0.3">
      <c r="A219" s="24"/>
      <c r="B219" s="32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</row>
    <row r="220" spans="1:17" ht="15.75" customHeight="1" x14ac:dyDescent="0.3">
      <c r="A220" s="24"/>
      <c r="B220" s="32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</row>
    <row r="221" spans="1:17" ht="15.75" customHeight="1" x14ac:dyDescent="0.3">
      <c r="B221" s="33"/>
    </row>
    <row r="222" spans="1:17" ht="15.75" customHeight="1" x14ac:dyDescent="0.3">
      <c r="B222" s="33"/>
    </row>
    <row r="223" spans="1:17" ht="15.75" customHeight="1" x14ac:dyDescent="0.3">
      <c r="B223" s="33"/>
    </row>
    <row r="224" spans="1:17" ht="15.75" customHeight="1" x14ac:dyDescent="0.3">
      <c r="B224" s="33"/>
    </row>
    <row r="225" spans="2:2" ht="15.75" customHeight="1" x14ac:dyDescent="0.3">
      <c r="B225" s="33"/>
    </row>
    <row r="226" spans="2:2" ht="15.75" customHeight="1" x14ac:dyDescent="0.3">
      <c r="B226" s="33"/>
    </row>
    <row r="227" spans="2:2" ht="15.75" customHeight="1" x14ac:dyDescent="0.3">
      <c r="B227" s="33"/>
    </row>
    <row r="228" spans="2:2" ht="15.75" customHeight="1" x14ac:dyDescent="0.3">
      <c r="B228" s="33"/>
    </row>
    <row r="229" spans="2:2" ht="15.75" customHeight="1" x14ac:dyDescent="0.3">
      <c r="B229" s="33"/>
    </row>
    <row r="230" spans="2:2" ht="15.75" customHeight="1" x14ac:dyDescent="0.3">
      <c r="B230" s="33"/>
    </row>
    <row r="231" spans="2:2" ht="15.75" customHeight="1" x14ac:dyDescent="0.3">
      <c r="B231" s="33"/>
    </row>
    <row r="232" spans="2:2" ht="15.75" customHeight="1" x14ac:dyDescent="0.3">
      <c r="B232" s="33"/>
    </row>
    <row r="233" spans="2:2" ht="15.75" customHeight="1" x14ac:dyDescent="0.3">
      <c r="B233" s="33"/>
    </row>
    <row r="234" spans="2:2" ht="15.75" customHeight="1" x14ac:dyDescent="0.3">
      <c r="B234" s="33"/>
    </row>
    <row r="235" spans="2:2" ht="15.75" customHeight="1" x14ac:dyDescent="0.3">
      <c r="B235" s="33"/>
    </row>
    <row r="236" spans="2:2" ht="15.75" customHeight="1" x14ac:dyDescent="0.3">
      <c r="B236" s="33"/>
    </row>
    <row r="237" spans="2:2" ht="15.75" customHeight="1" x14ac:dyDescent="0.3">
      <c r="B237" s="33"/>
    </row>
    <row r="238" spans="2:2" ht="15.75" customHeight="1" x14ac:dyDescent="0.3">
      <c r="B238" s="33"/>
    </row>
    <row r="239" spans="2:2" ht="15.75" customHeight="1" x14ac:dyDescent="0.3">
      <c r="B239" s="33"/>
    </row>
    <row r="240" spans="2:2" ht="15.75" customHeight="1" x14ac:dyDescent="0.3">
      <c r="B240" s="33"/>
    </row>
    <row r="241" spans="2:2" ht="15.75" customHeight="1" x14ac:dyDescent="0.3">
      <c r="B241" s="33"/>
    </row>
    <row r="242" spans="2:2" ht="15.75" customHeight="1" x14ac:dyDescent="0.3">
      <c r="B242" s="33"/>
    </row>
    <row r="243" spans="2:2" ht="15.75" customHeight="1" x14ac:dyDescent="0.3">
      <c r="B243" s="33"/>
    </row>
    <row r="244" spans="2:2" ht="15.75" customHeight="1" x14ac:dyDescent="0.3">
      <c r="B244" s="33"/>
    </row>
    <row r="245" spans="2:2" ht="15.75" customHeight="1" x14ac:dyDescent="0.3">
      <c r="B245" s="33"/>
    </row>
    <row r="246" spans="2:2" ht="15.75" customHeight="1" x14ac:dyDescent="0.3">
      <c r="B246" s="33"/>
    </row>
    <row r="247" spans="2:2" ht="15.75" customHeight="1" x14ac:dyDescent="0.3">
      <c r="B247" s="33"/>
    </row>
    <row r="248" spans="2:2" ht="15.75" customHeight="1" x14ac:dyDescent="0.3">
      <c r="B248" s="33"/>
    </row>
    <row r="249" spans="2:2" ht="15.75" customHeight="1" x14ac:dyDescent="0.3">
      <c r="B249" s="33"/>
    </row>
    <row r="250" spans="2:2" ht="15.75" customHeight="1" x14ac:dyDescent="0.3">
      <c r="B250" s="33"/>
    </row>
    <row r="251" spans="2:2" ht="15.75" customHeight="1" x14ac:dyDescent="0.3">
      <c r="B251" s="33"/>
    </row>
    <row r="252" spans="2:2" ht="15.75" customHeight="1" x14ac:dyDescent="0.3">
      <c r="B252" s="33"/>
    </row>
    <row r="253" spans="2:2" ht="15.75" customHeight="1" x14ac:dyDescent="0.3">
      <c r="B253" s="33"/>
    </row>
    <row r="254" spans="2:2" ht="15.75" customHeight="1" x14ac:dyDescent="0.3">
      <c r="B254" s="33"/>
    </row>
    <row r="255" spans="2:2" ht="15.75" customHeight="1" x14ac:dyDescent="0.3">
      <c r="B255" s="33"/>
    </row>
    <row r="256" spans="2:2" ht="15.75" customHeight="1" x14ac:dyDescent="0.3">
      <c r="B256" s="33"/>
    </row>
    <row r="257" spans="2:2" ht="15.75" customHeight="1" x14ac:dyDescent="0.3">
      <c r="B257" s="33"/>
    </row>
    <row r="258" spans="2:2" ht="15.75" customHeight="1" x14ac:dyDescent="0.3">
      <c r="B258" s="33"/>
    </row>
    <row r="259" spans="2:2" ht="15.75" customHeight="1" x14ac:dyDescent="0.3">
      <c r="B259" s="33"/>
    </row>
    <row r="260" spans="2:2" ht="15.75" customHeight="1" x14ac:dyDescent="0.3">
      <c r="B260" s="33"/>
    </row>
    <row r="261" spans="2:2" ht="15.75" customHeight="1" x14ac:dyDescent="0.3">
      <c r="B261" s="33"/>
    </row>
    <row r="262" spans="2:2" ht="15.75" customHeight="1" x14ac:dyDescent="0.3">
      <c r="B262" s="33"/>
    </row>
    <row r="263" spans="2:2" ht="15.75" customHeight="1" x14ac:dyDescent="0.3">
      <c r="B263" s="33"/>
    </row>
    <row r="264" spans="2:2" ht="15.75" customHeight="1" x14ac:dyDescent="0.3">
      <c r="B264" s="33"/>
    </row>
    <row r="265" spans="2:2" ht="15.75" customHeight="1" x14ac:dyDescent="0.3">
      <c r="B265" s="33"/>
    </row>
    <row r="266" spans="2:2" ht="15.75" customHeight="1" x14ac:dyDescent="0.3">
      <c r="B266" s="33"/>
    </row>
    <row r="267" spans="2:2" ht="15.75" customHeight="1" x14ac:dyDescent="0.3">
      <c r="B267" s="33"/>
    </row>
    <row r="268" spans="2:2" ht="15.75" customHeight="1" x14ac:dyDescent="0.3">
      <c r="B268" s="33"/>
    </row>
    <row r="269" spans="2:2" ht="15.75" customHeight="1" x14ac:dyDescent="0.3">
      <c r="B269" s="33"/>
    </row>
    <row r="270" spans="2:2" ht="15.75" customHeight="1" x14ac:dyDescent="0.3">
      <c r="B270" s="33"/>
    </row>
    <row r="271" spans="2:2" ht="15.75" customHeight="1" x14ac:dyDescent="0.3">
      <c r="B271" s="33"/>
    </row>
    <row r="272" spans="2:2" ht="15.75" customHeight="1" x14ac:dyDescent="0.3">
      <c r="B272" s="33"/>
    </row>
    <row r="273" spans="2:2" ht="15.75" customHeight="1" x14ac:dyDescent="0.3">
      <c r="B273" s="33"/>
    </row>
    <row r="274" spans="2:2" ht="15.75" customHeight="1" x14ac:dyDescent="0.3">
      <c r="B274" s="33"/>
    </row>
    <row r="275" spans="2:2" ht="15.75" customHeight="1" x14ac:dyDescent="0.3">
      <c r="B275" s="33"/>
    </row>
    <row r="276" spans="2:2" ht="15.75" customHeight="1" x14ac:dyDescent="0.3">
      <c r="B276" s="33"/>
    </row>
    <row r="277" spans="2:2" ht="15.75" customHeight="1" x14ac:dyDescent="0.3">
      <c r="B277" s="33"/>
    </row>
    <row r="278" spans="2:2" ht="15.75" customHeight="1" x14ac:dyDescent="0.3">
      <c r="B278" s="33"/>
    </row>
    <row r="279" spans="2:2" ht="15.75" customHeight="1" x14ac:dyDescent="0.3">
      <c r="B279" s="33"/>
    </row>
    <row r="280" spans="2:2" ht="15.75" customHeight="1" x14ac:dyDescent="0.3">
      <c r="B280" s="33"/>
    </row>
    <row r="281" spans="2:2" ht="15.75" customHeight="1" x14ac:dyDescent="0.3">
      <c r="B281" s="33"/>
    </row>
    <row r="282" spans="2:2" ht="15.75" customHeight="1" x14ac:dyDescent="0.3">
      <c r="B282" s="33"/>
    </row>
    <row r="283" spans="2:2" ht="15.75" customHeight="1" x14ac:dyDescent="0.3">
      <c r="B283" s="33"/>
    </row>
    <row r="284" spans="2:2" ht="15.75" customHeight="1" x14ac:dyDescent="0.3">
      <c r="B284" s="33"/>
    </row>
    <row r="285" spans="2:2" ht="15.75" customHeight="1" x14ac:dyDescent="0.3">
      <c r="B285" s="33"/>
    </row>
    <row r="286" spans="2:2" ht="15.75" customHeight="1" x14ac:dyDescent="0.3">
      <c r="B286" s="33"/>
    </row>
    <row r="287" spans="2:2" ht="15.75" customHeight="1" x14ac:dyDescent="0.3">
      <c r="B287" s="33"/>
    </row>
    <row r="288" spans="2:2" ht="15.75" customHeight="1" x14ac:dyDescent="0.3">
      <c r="B288" s="33"/>
    </row>
    <row r="289" spans="2:2" ht="15.75" customHeight="1" x14ac:dyDescent="0.3">
      <c r="B289" s="33"/>
    </row>
    <row r="290" spans="2:2" ht="15.75" customHeight="1" x14ac:dyDescent="0.3">
      <c r="B290" s="33"/>
    </row>
    <row r="291" spans="2:2" ht="15.75" customHeight="1" x14ac:dyDescent="0.3">
      <c r="B291" s="33"/>
    </row>
    <row r="292" spans="2:2" ht="15.75" customHeight="1" x14ac:dyDescent="0.3">
      <c r="B292" s="33"/>
    </row>
    <row r="293" spans="2:2" ht="15.75" customHeight="1" x14ac:dyDescent="0.3">
      <c r="B293" s="33"/>
    </row>
    <row r="294" spans="2:2" ht="15.75" customHeight="1" x14ac:dyDescent="0.3">
      <c r="B294" s="33"/>
    </row>
    <row r="295" spans="2:2" ht="15.75" customHeight="1" x14ac:dyDescent="0.3">
      <c r="B295" s="33"/>
    </row>
    <row r="296" spans="2:2" ht="15.75" customHeight="1" x14ac:dyDescent="0.3">
      <c r="B296" s="33"/>
    </row>
    <row r="297" spans="2:2" ht="15.75" customHeight="1" x14ac:dyDescent="0.3">
      <c r="B297" s="33"/>
    </row>
    <row r="298" spans="2:2" ht="15.75" customHeight="1" x14ac:dyDescent="0.3">
      <c r="B298" s="33"/>
    </row>
    <row r="299" spans="2:2" ht="15.75" customHeight="1" x14ac:dyDescent="0.3">
      <c r="B299" s="33"/>
    </row>
    <row r="300" spans="2:2" ht="15.75" customHeight="1" x14ac:dyDescent="0.3">
      <c r="B300" s="33"/>
    </row>
    <row r="301" spans="2:2" ht="15.75" customHeight="1" x14ac:dyDescent="0.3">
      <c r="B301" s="33"/>
    </row>
    <row r="302" spans="2:2" ht="15.75" customHeight="1" x14ac:dyDescent="0.3">
      <c r="B302" s="33"/>
    </row>
    <row r="303" spans="2:2" ht="15.75" customHeight="1" x14ac:dyDescent="0.3">
      <c r="B303" s="33"/>
    </row>
    <row r="304" spans="2:2" ht="15.75" customHeight="1" x14ac:dyDescent="0.3">
      <c r="B304" s="33"/>
    </row>
    <row r="305" spans="2:2" ht="15.75" customHeight="1" x14ac:dyDescent="0.3">
      <c r="B305" s="33"/>
    </row>
    <row r="306" spans="2:2" ht="15.75" customHeight="1" x14ac:dyDescent="0.3">
      <c r="B306" s="33"/>
    </row>
    <row r="307" spans="2:2" ht="15.75" customHeight="1" x14ac:dyDescent="0.3">
      <c r="B307" s="33"/>
    </row>
    <row r="308" spans="2:2" ht="15.75" customHeight="1" x14ac:dyDescent="0.3">
      <c r="B308" s="33"/>
    </row>
    <row r="309" spans="2:2" ht="15.75" customHeight="1" x14ac:dyDescent="0.3">
      <c r="B309" s="33"/>
    </row>
    <row r="310" spans="2:2" ht="15.75" customHeight="1" x14ac:dyDescent="0.3">
      <c r="B310" s="33"/>
    </row>
    <row r="311" spans="2:2" ht="15.75" customHeight="1" x14ac:dyDescent="0.3">
      <c r="B311" s="33"/>
    </row>
    <row r="312" spans="2:2" ht="15.75" customHeight="1" x14ac:dyDescent="0.3">
      <c r="B312" s="33"/>
    </row>
    <row r="313" spans="2:2" ht="15.75" customHeight="1" x14ac:dyDescent="0.3">
      <c r="B313" s="33"/>
    </row>
    <row r="314" spans="2:2" ht="15.75" customHeight="1" x14ac:dyDescent="0.3">
      <c r="B314" s="33"/>
    </row>
    <row r="315" spans="2:2" ht="15.75" customHeight="1" x14ac:dyDescent="0.3">
      <c r="B315" s="33"/>
    </row>
    <row r="316" spans="2:2" ht="15.75" customHeight="1" x14ac:dyDescent="0.3">
      <c r="B316" s="33"/>
    </row>
    <row r="317" spans="2:2" ht="15.75" customHeight="1" x14ac:dyDescent="0.3">
      <c r="B317" s="33"/>
    </row>
    <row r="318" spans="2:2" ht="15.75" customHeight="1" x14ac:dyDescent="0.3">
      <c r="B318" s="33"/>
    </row>
    <row r="319" spans="2:2" ht="15.75" customHeight="1" x14ac:dyDescent="0.3">
      <c r="B319" s="33"/>
    </row>
    <row r="320" spans="2:2" ht="15.75" customHeight="1" x14ac:dyDescent="0.3">
      <c r="B320" s="33"/>
    </row>
    <row r="321" spans="2:2" ht="15.75" customHeight="1" x14ac:dyDescent="0.3">
      <c r="B321" s="33"/>
    </row>
    <row r="322" spans="2:2" ht="15.75" customHeight="1" x14ac:dyDescent="0.3">
      <c r="B322" s="33"/>
    </row>
    <row r="323" spans="2:2" ht="15.75" customHeight="1" x14ac:dyDescent="0.3">
      <c r="B323" s="33"/>
    </row>
    <row r="324" spans="2:2" ht="15.75" customHeight="1" x14ac:dyDescent="0.3">
      <c r="B324" s="33"/>
    </row>
    <row r="325" spans="2:2" ht="15.75" customHeight="1" x14ac:dyDescent="0.3">
      <c r="B325" s="33"/>
    </row>
    <row r="326" spans="2:2" ht="15.75" customHeight="1" x14ac:dyDescent="0.3">
      <c r="B326" s="33"/>
    </row>
    <row r="327" spans="2:2" ht="15.75" customHeight="1" x14ac:dyDescent="0.3">
      <c r="B327" s="33"/>
    </row>
    <row r="328" spans="2:2" ht="15.75" customHeight="1" x14ac:dyDescent="0.3">
      <c r="B328" s="33"/>
    </row>
    <row r="329" spans="2:2" ht="15.75" customHeight="1" x14ac:dyDescent="0.3">
      <c r="B329" s="33"/>
    </row>
    <row r="330" spans="2:2" ht="15.75" customHeight="1" x14ac:dyDescent="0.3">
      <c r="B330" s="33"/>
    </row>
    <row r="331" spans="2:2" ht="15.75" customHeight="1" x14ac:dyDescent="0.3">
      <c r="B331" s="33"/>
    </row>
    <row r="332" spans="2:2" ht="15.75" customHeight="1" x14ac:dyDescent="0.3">
      <c r="B332" s="33"/>
    </row>
    <row r="333" spans="2:2" ht="15.75" customHeight="1" x14ac:dyDescent="0.3">
      <c r="B333" s="33"/>
    </row>
    <row r="334" spans="2:2" ht="15.75" customHeight="1" x14ac:dyDescent="0.3">
      <c r="B334" s="33"/>
    </row>
    <row r="335" spans="2:2" ht="15.75" customHeight="1" x14ac:dyDescent="0.3">
      <c r="B335" s="33"/>
    </row>
    <row r="336" spans="2:2" ht="15.75" customHeight="1" x14ac:dyDescent="0.3">
      <c r="B336" s="33"/>
    </row>
    <row r="337" spans="2:2" ht="15.75" customHeight="1" x14ac:dyDescent="0.3">
      <c r="B337" s="33"/>
    </row>
    <row r="338" spans="2:2" ht="15.75" customHeight="1" x14ac:dyDescent="0.3">
      <c r="B338" s="33"/>
    </row>
    <row r="339" spans="2:2" ht="15.75" customHeight="1" x14ac:dyDescent="0.3">
      <c r="B339" s="33"/>
    </row>
    <row r="340" spans="2:2" ht="15.75" customHeight="1" x14ac:dyDescent="0.3">
      <c r="B340" s="33"/>
    </row>
    <row r="341" spans="2:2" ht="15.75" customHeight="1" x14ac:dyDescent="0.3">
      <c r="B341" s="33"/>
    </row>
    <row r="342" spans="2:2" ht="15.75" customHeight="1" x14ac:dyDescent="0.3">
      <c r="B342" s="33"/>
    </row>
    <row r="343" spans="2:2" ht="15.75" customHeight="1" x14ac:dyDescent="0.3">
      <c r="B343" s="33"/>
    </row>
    <row r="344" spans="2:2" ht="15.75" customHeight="1" x14ac:dyDescent="0.3">
      <c r="B344" s="33"/>
    </row>
    <row r="345" spans="2:2" ht="15.75" customHeight="1" x14ac:dyDescent="0.3">
      <c r="B345" s="33"/>
    </row>
    <row r="346" spans="2:2" ht="15.75" customHeight="1" x14ac:dyDescent="0.3">
      <c r="B346" s="33"/>
    </row>
    <row r="347" spans="2:2" ht="15.75" customHeight="1" x14ac:dyDescent="0.3">
      <c r="B347" s="33"/>
    </row>
    <row r="348" spans="2:2" ht="15.75" customHeight="1" x14ac:dyDescent="0.3">
      <c r="B348" s="33"/>
    </row>
    <row r="349" spans="2:2" ht="15.75" customHeight="1" x14ac:dyDescent="0.3">
      <c r="B349" s="33"/>
    </row>
    <row r="350" spans="2:2" ht="15.75" customHeight="1" x14ac:dyDescent="0.3">
      <c r="B350" s="33"/>
    </row>
    <row r="351" spans="2:2" ht="15.75" customHeight="1" x14ac:dyDescent="0.3">
      <c r="B351" s="33"/>
    </row>
    <row r="352" spans="2:2" ht="15.75" customHeight="1" x14ac:dyDescent="0.3">
      <c r="B352" s="33"/>
    </row>
    <row r="353" spans="2:2" ht="15.75" customHeight="1" x14ac:dyDescent="0.3">
      <c r="B353" s="33"/>
    </row>
    <row r="354" spans="2:2" ht="15.75" customHeight="1" x14ac:dyDescent="0.3">
      <c r="B354" s="33"/>
    </row>
    <row r="355" spans="2:2" ht="15.75" customHeight="1" x14ac:dyDescent="0.3">
      <c r="B355" s="33"/>
    </row>
    <row r="356" spans="2:2" ht="15.75" customHeight="1" x14ac:dyDescent="0.3">
      <c r="B356" s="33"/>
    </row>
    <row r="357" spans="2:2" ht="15.75" customHeight="1" x14ac:dyDescent="0.3">
      <c r="B357" s="33"/>
    </row>
    <row r="358" spans="2:2" ht="15.75" customHeight="1" x14ac:dyDescent="0.3">
      <c r="B358" s="33"/>
    </row>
    <row r="359" spans="2:2" ht="15.75" customHeight="1" x14ac:dyDescent="0.3">
      <c r="B359" s="33"/>
    </row>
    <row r="360" spans="2:2" ht="15.75" customHeight="1" x14ac:dyDescent="0.3">
      <c r="B360" s="33"/>
    </row>
    <row r="361" spans="2:2" ht="15.75" customHeight="1" x14ac:dyDescent="0.3">
      <c r="B361" s="33"/>
    </row>
    <row r="362" spans="2:2" ht="15.75" customHeight="1" x14ac:dyDescent="0.3">
      <c r="B362" s="33"/>
    </row>
    <row r="363" spans="2:2" ht="15.75" customHeight="1" x14ac:dyDescent="0.3">
      <c r="B363" s="33"/>
    </row>
    <row r="364" spans="2:2" ht="15.75" customHeight="1" x14ac:dyDescent="0.3">
      <c r="B364" s="33"/>
    </row>
    <row r="365" spans="2:2" ht="15.75" customHeight="1" x14ac:dyDescent="0.3">
      <c r="B365" s="33"/>
    </row>
    <row r="366" spans="2:2" ht="15.75" customHeight="1" x14ac:dyDescent="0.3">
      <c r="B366" s="33"/>
    </row>
    <row r="367" spans="2:2" ht="15.75" customHeight="1" x14ac:dyDescent="0.3">
      <c r="B367" s="33"/>
    </row>
    <row r="368" spans="2:2" ht="15.75" customHeight="1" x14ac:dyDescent="0.3">
      <c r="B368" s="33"/>
    </row>
    <row r="369" spans="2:2" ht="15.75" customHeight="1" x14ac:dyDescent="0.3">
      <c r="B369" s="33"/>
    </row>
    <row r="370" spans="2:2" ht="15.75" customHeight="1" x14ac:dyDescent="0.3">
      <c r="B370" s="33"/>
    </row>
    <row r="371" spans="2:2" ht="15.75" customHeight="1" x14ac:dyDescent="0.3">
      <c r="B371" s="33"/>
    </row>
    <row r="372" spans="2:2" ht="15.75" customHeight="1" x14ac:dyDescent="0.3">
      <c r="B372" s="33"/>
    </row>
    <row r="373" spans="2:2" ht="15.75" customHeight="1" x14ac:dyDescent="0.3">
      <c r="B373" s="33"/>
    </row>
    <row r="374" spans="2:2" ht="15.75" customHeight="1" x14ac:dyDescent="0.3">
      <c r="B374" s="33"/>
    </row>
    <row r="375" spans="2:2" ht="15.75" customHeight="1" x14ac:dyDescent="0.3">
      <c r="B375" s="33"/>
    </row>
    <row r="376" spans="2:2" ht="15.75" customHeight="1" x14ac:dyDescent="0.3">
      <c r="B376" s="33"/>
    </row>
    <row r="377" spans="2:2" ht="15.75" customHeight="1" x14ac:dyDescent="0.3">
      <c r="B377" s="33"/>
    </row>
    <row r="378" spans="2:2" ht="15.75" customHeight="1" x14ac:dyDescent="0.3">
      <c r="B378" s="33"/>
    </row>
    <row r="379" spans="2:2" ht="15.75" customHeight="1" x14ac:dyDescent="0.3">
      <c r="B379" s="33"/>
    </row>
    <row r="380" spans="2:2" ht="15.75" customHeight="1" x14ac:dyDescent="0.3">
      <c r="B380" s="33"/>
    </row>
    <row r="381" spans="2:2" ht="15.75" customHeight="1" x14ac:dyDescent="0.3">
      <c r="B381" s="33"/>
    </row>
    <row r="382" spans="2:2" ht="15.75" customHeight="1" x14ac:dyDescent="0.3">
      <c r="B382" s="33"/>
    </row>
    <row r="383" spans="2:2" ht="15.75" customHeight="1" x14ac:dyDescent="0.3">
      <c r="B383" s="33"/>
    </row>
    <row r="384" spans="2:2" ht="15.75" customHeight="1" x14ac:dyDescent="0.3">
      <c r="B384" s="33"/>
    </row>
    <row r="385" spans="2:2" ht="15.75" customHeight="1" x14ac:dyDescent="0.3">
      <c r="B385" s="33"/>
    </row>
    <row r="386" spans="2:2" ht="15.75" customHeight="1" x14ac:dyDescent="0.3">
      <c r="B386" s="33"/>
    </row>
    <row r="387" spans="2:2" ht="15.75" customHeight="1" x14ac:dyDescent="0.3">
      <c r="B387" s="33"/>
    </row>
    <row r="388" spans="2:2" ht="15.75" customHeight="1" x14ac:dyDescent="0.3">
      <c r="B388" s="33"/>
    </row>
    <row r="389" spans="2:2" ht="15.75" customHeight="1" x14ac:dyDescent="0.3">
      <c r="B389" s="33"/>
    </row>
    <row r="390" spans="2:2" ht="15.75" customHeight="1" x14ac:dyDescent="0.3">
      <c r="B390" s="33"/>
    </row>
    <row r="391" spans="2:2" ht="15.75" customHeight="1" x14ac:dyDescent="0.3">
      <c r="B391" s="33"/>
    </row>
    <row r="392" spans="2:2" ht="15.75" customHeight="1" x14ac:dyDescent="0.3">
      <c r="B392" s="33"/>
    </row>
    <row r="393" spans="2:2" ht="15.75" customHeight="1" x14ac:dyDescent="0.3">
      <c r="B393" s="33"/>
    </row>
    <row r="394" spans="2:2" ht="15.75" customHeight="1" x14ac:dyDescent="0.3">
      <c r="B394" s="33"/>
    </row>
    <row r="395" spans="2:2" ht="15.75" customHeight="1" x14ac:dyDescent="0.3">
      <c r="B395" s="33"/>
    </row>
    <row r="396" spans="2:2" ht="15.75" customHeight="1" x14ac:dyDescent="0.3">
      <c r="B396" s="33"/>
    </row>
    <row r="397" spans="2:2" ht="15.75" customHeight="1" x14ac:dyDescent="0.3">
      <c r="B397" s="33"/>
    </row>
    <row r="398" spans="2:2" ht="15.75" customHeight="1" x14ac:dyDescent="0.3">
      <c r="B398" s="33"/>
    </row>
    <row r="399" spans="2:2" ht="15.75" customHeight="1" x14ac:dyDescent="0.3">
      <c r="B399" s="33"/>
    </row>
    <row r="400" spans="2:2" ht="15.75" customHeight="1" x14ac:dyDescent="0.3">
      <c r="B400" s="33"/>
    </row>
    <row r="401" spans="2:2" ht="15.75" customHeight="1" x14ac:dyDescent="0.3">
      <c r="B401" s="33"/>
    </row>
    <row r="402" spans="2:2" ht="15.75" customHeight="1" x14ac:dyDescent="0.3">
      <c r="B402" s="33"/>
    </row>
    <row r="403" spans="2:2" ht="15.75" customHeight="1" x14ac:dyDescent="0.3">
      <c r="B403" s="33"/>
    </row>
    <row r="404" spans="2:2" ht="15.75" customHeight="1" x14ac:dyDescent="0.3">
      <c r="B404" s="33"/>
    </row>
    <row r="405" spans="2:2" ht="15.75" customHeight="1" x14ac:dyDescent="0.3">
      <c r="B405" s="33"/>
    </row>
    <row r="406" spans="2:2" ht="15.75" customHeight="1" x14ac:dyDescent="0.3">
      <c r="B406" s="33"/>
    </row>
    <row r="407" spans="2:2" ht="15.75" customHeight="1" x14ac:dyDescent="0.3">
      <c r="B407" s="33"/>
    </row>
    <row r="408" spans="2:2" ht="15.75" customHeight="1" x14ac:dyDescent="0.3">
      <c r="B408" s="33"/>
    </row>
    <row r="409" spans="2:2" ht="15.75" customHeight="1" x14ac:dyDescent="0.3">
      <c r="B409" s="33"/>
    </row>
    <row r="410" spans="2:2" ht="15.75" customHeight="1" x14ac:dyDescent="0.3">
      <c r="B410" s="33"/>
    </row>
    <row r="411" spans="2:2" ht="15.75" customHeight="1" x14ac:dyDescent="0.3">
      <c r="B411" s="33"/>
    </row>
    <row r="412" spans="2:2" ht="15.75" customHeight="1" x14ac:dyDescent="0.3">
      <c r="B412" s="33"/>
    </row>
    <row r="413" spans="2:2" ht="15.75" customHeight="1" x14ac:dyDescent="0.3">
      <c r="B413" s="33"/>
    </row>
    <row r="414" spans="2:2" ht="15.75" customHeight="1" x14ac:dyDescent="0.3">
      <c r="B414" s="33"/>
    </row>
    <row r="415" spans="2:2" ht="15.75" customHeight="1" x14ac:dyDescent="0.3">
      <c r="B415" s="33"/>
    </row>
    <row r="416" spans="2:2" ht="15.75" customHeight="1" x14ac:dyDescent="0.3">
      <c r="B416" s="33"/>
    </row>
    <row r="417" spans="2:2" ht="15.75" customHeight="1" x14ac:dyDescent="0.3">
      <c r="B417" s="33"/>
    </row>
    <row r="418" spans="2:2" ht="15.75" customHeight="1" x14ac:dyDescent="0.3">
      <c r="B418" s="33"/>
    </row>
    <row r="419" spans="2:2" ht="15.75" customHeight="1" x14ac:dyDescent="0.3">
      <c r="B419" s="33"/>
    </row>
    <row r="420" spans="2:2" ht="15.75" customHeight="1" x14ac:dyDescent="0.3">
      <c r="B420" s="33"/>
    </row>
    <row r="421" spans="2:2" ht="15.75" customHeight="1" x14ac:dyDescent="0.3">
      <c r="B421" s="33"/>
    </row>
    <row r="422" spans="2:2" ht="15.75" customHeight="1" x14ac:dyDescent="0.3">
      <c r="B422" s="33"/>
    </row>
    <row r="423" spans="2:2" ht="15.75" customHeight="1" x14ac:dyDescent="0.3">
      <c r="B423" s="33"/>
    </row>
    <row r="424" spans="2:2" ht="15.75" customHeight="1" x14ac:dyDescent="0.3">
      <c r="B424" s="33"/>
    </row>
    <row r="425" spans="2:2" ht="15.75" customHeight="1" x14ac:dyDescent="0.3">
      <c r="B425" s="33"/>
    </row>
    <row r="426" spans="2:2" ht="15.75" customHeight="1" x14ac:dyDescent="0.3">
      <c r="B426" s="33"/>
    </row>
    <row r="427" spans="2:2" ht="15.75" customHeight="1" x14ac:dyDescent="0.3">
      <c r="B427" s="33"/>
    </row>
    <row r="428" spans="2:2" ht="15.75" customHeight="1" x14ac:dyDescent="0.3">
      <c r="B428" s="33"/>
    </row>
    <row r="429" spans="2:2" ht="15.75" customHeight="1" x14ac:dyDescent="0.3">
      <c r="B429" s="33"/>
    </row>
    <row r="430" spans="2:2" ht="15.75" customHeight="1" x14ac:dyDescent="0.3">
      <c r="B430" s="33"/>
    </row>
    <row r="431" spans="2:2" ht="15.75" customHeight="1" x14ac:dyDescent="0.3">
      <c r="B431" s="33"/>
    </row>
    <row r="432" spans="2:2" ht="15.75" customHeight="1" x14ac:dyDescent="0.3">
      <c r="B432" s="33"/>
    </row>
    <row r="433" spans="2:2" ht="15.75" customHeight="1" x14ac:dyDescent="0.3">
      <c r="B433" s="33"/>
    </row>
    <row r="434" spans="2:2" ht="15.75" customHeight="1" x14ac:dyDescent="0.3">
      <c r="B434" s="33"/>
    </row>
    <row r="435" spans="2:2" ht="15.75" customHeight="1" x14ac:dyDescent="0.3">
      <c r="B435" s="33"/>
    </row>
    <row r="436" spans="2:2" ht="15.75" customHeight="1" x14ac:dyDescent="0.3">
      <c r="B436" s="33"/>
    </row>
    <row r="437" spans="2:2" ht="15.75" customHeight="1" x14ac:dyDescent="0.3">
      <c r="B437" s="33"/>
    </row>
    <row r="438" spans="2:2" ht="15.75" customHeight="1" x14ac:dyDescent="0.3">
      <c r="B438" s="33"/>
    </row>
    <row r="439" spans="2:2" ht="15.75" customHeight="1" x14ac:dyDescent="0.3">
      <c r="B439" s="33"/>
    </row>
    <row r="440" spans="2:2" ht="15.75" customHeight="1" x14ac:dyDescent="0.3">
      <c r="B440" s="33"/>
    </row>
    <row r="441" spans="2:2" ht="15.75" customHeight="1" x14ac:dyDescent="0.3">
      <c r="B441" s="33"/>
    </row>
    <row r="442" spans="2:2" ht="15.75" customHeight="1" x14ac:dyDescent="0.3">
      <c r="B442" s="33"/>
    </row>
    <row r="443" spans="2:2" ht="15.75" customHeight="1" x14ac:dyDescent="0.3">
      <c r="B443" s="33"/>
    </row>
    <row r="444" spans="2:2" ht="15.75" customHeight="1" x14ac:dyDescent="0.3">
      <c r="B444" s="33"/>
    </row>
    <row r="445" spans="2:2" ht="15.75" customHeight="1" x14ac:dyDescent="0.3">
      <c r="B445" s="33"/>
    </row>
    <row r="446" spans="2:2" ht="15.75" customHeight="1" x14ac:dyDescent="0.3">
      <c r="B446" s="33"/>
    </row>
    <row r="447" spans="2:2" ht="15.75" customHeight="1" x14ac:dyDescent="0.3">
      <c r="B447" s="33"/>
    </row>
    <row r="448" spans="2:2" ht="15.75" customHeight="1" x14ac:dyDescent="0.3">
      <c r="B448" s="33"/>
    </row>
    <row r="449" spans="2:2" ht="15.75" customHeight="1" x14ac:dyDescent="0.3">
      <c r="B449" s="33"/>
    </row>
    <row r="450" spans="2:2" ht="15.75" customHeight="1" x14ac:dyDescent="0.3">
      <c r="B450" s="33"/>
    </row>
    <row r="451" spans="2:2" ht="15.75" customHeight="1" x14ac:dyDescent="0.3">
      <c r="B451" s="33"/>
    </row>
    <row r="452" spans="2:2" ht="15.75" customHeight="1" x14ac:dyDescent="0.3">
      <c r="B452" s="33"/>
    </row>
    <row r="453" spans="2:2" ht="15.75" customHeight="1" x14ac:dyDescent="0.3">
      <c r="B453" s="33"/>
    </row>
    <row r="454" spans="2:2" ht="15.75" customHeight="1" x14ac:dyDescent="0.3">
      <c r="B454" s="33"/>
    </row>
    <row r="455" spans="2:2" ht="15.75" customHeight="1" x14ac:dyDescent="0.3">
      <c r="B455" s="33"/>
    </row>
    <row r="456" spans="2:2" ht="15.75" customHeight="1" x14ac:dyDescent="0.3">
      <c r="B456" s="33"/>
    </row>
    <row r="457" spans="2:2" ht="15.75" customHeight="1" x14ac:dyDescent="0.3">
      <c r="B457" s="33"/>
    </row>
    <row r="458" spans="2:2" ht="15.75" customHeight="1" x14ac:dyDescent="0.3">
      <c r="B458" s="33"/>
    </row>
    <row r="459" spans="2:2" ht="15.75" customHeight="1" x14ac:dyDescent="0.3">
      <c r="B459" s="33"/>
    </row>
    <row r="460" spans="2:2" ht="15.75" customHeight="1" x14ac:dyDescent="0.3">
      <c r="B460" s="33"/>
    </row>
    <row r="461" spans="2:2" ht="15.75" customHeight="1" x14ac:dyDescent="0.3">
      <c r="B461" s="33"/>
    </row>
    <row r="462" spans="2:2" ht="15.75" customHeight="1" x14ac:dyDescent="0.3">
      <c r="B462" s="33"/>
    </row>
    <row r="463" spans="2:2" ht="15.75" customHeight="1" x14ac:dyDescent="0.3">
      <c r="B463" s="33"/>
    </row>
    <row r="464" spans="2:2" ht="15.75" customHeight="1" x14ac:dyDescent="0.3">
      <c r="B464" s="33"/>
    </row>
    <row r="465" spans="2:2" ht="15.75" customHeight="1" x14ac:dyDescent="0.3">
      <c r="B465" s="33"/>
    </row>
    <row r="466" spans="2:2" ht="15.75" customHeight="1" x14ac:dyDescent="0.3">
      <c r="B466" s="33"/>
    </row>
    <row r="467" spans="2:2" ht="15.75" customHeight="1" x14ac:dyDescent="0.3">
      <c r="B467" s="33"/>
    </row>
    <row r="468" spans="2:2" ht="15.75" customHeight="1" x14ac:dyDescent="0.3">
      <c r="B468" s="33"/>
    </row>
    <row r="469" spans="2:2" ht="15.75" customHeight="1" x14ac:dyDescent="0.3">
      <c r="B469" s="33"/>
    </row>
    <row r="470" spans="2:2" ht="15.75" customHeight="1" x14ac:dyDescent="0.3">
      <c r="B470" s="33"/>
    </row>
    <row r="471" spans="2:2" ht="15.75" customHeight="1" x14ac:dyDescent="0.3">
      <c r="B471" s="33"/>
    </row>
    <row r="472" spans="2:2" ht="15.75" customHeight="1" x14ac:dyDescent="0.3">
      <c r="B472" s="33"/>
    </row>
    <row r="473" spans="2:2" ht="15.75" customHeight="1" x14ac:dyDescent="0.3">
      <c r="B473" s="33"/>
    </row>
    <row r="474" spans="2:2" ht="15.75" customHeight="1" x14ac:dyDescent="0.3">
      <c r="B474" s="33"/>
    </row>
    <row r="475" spans="2:2" ht="15.75" customHeight="1" x14ac:dyDescent="0.3">
      <c r="B475" s="33"/>
    </row>
    <row r="476" spans="2:2" ht="15.75" customHeight="1" x14ac:dyDescent="0.3">
      <c r="B476" s="33"/>
    </row>
    <row r="477" spans="2:2" ht="15.75" customHeight="1" x14ac:dyDescent="0.3">
      <c r="B477" s="33"/>
    </row>
    <row r="478" spans="2:2" ht="15.75" customHeight="1" x14ac:dyDescent="0.3">
      <c r="B478" s="33"/>
    </row>
    <row r="479" spans="2:2" ht="15.75" customHeight="1" x14ac:dyDescent="0.3">
      <c r="B479" s="33"/>
    </row>
    <row r="480" spans="2:2" ht="15.75" customHeight="1" x14ac:dyDescent="0.3">
      <c r="B480" s="33"/>
    </row>
    <row r="481" spans="2:2" ht="15.75" customHeight="1" x14ac:dyDescent="0.3">
      <c r="B481" s="33"/>
    </row>
    <row r="482" spans="2:2" ht="15.75" customHeight="1" x14ac:dyDescent="0.3">
      <c r="B482" s="33"/>
    </row>
    <row r="483" spans="2:2" ht="15.75" customHeight="1" x14ac:dyDescent="0.3">
      <c r="B483" s="33"/>
    </row>
    <row r="484" spans="2:2" ht="15.75" customHeight="1" x14ac:dyDescent="0.3">
      <c r="B484" s="33"/>
    </row>
    <row r="485" spans="2:2" ht="15.75" customHeight="1" x14ac:dyDescent="0.3">
      <c r="B485" s="33"/>
    </row>
    <row r="486" spans="2:2" ht="15.75" customHeight="1" x14ac:dyDescent="0.3">
      <c r="B486" s="33"/>
    </row>
    <row r="487" spans="2:2" ht="15.75" customHeight="1" x14ac:dyDescent="0.3">
      <c r="B487" s="33"/>
    </row>
    <row r="488" spans="2:2" ht="15.75" customHeight="1" x14ac:dyDescent="0.3">
      <c r="B488" s="33"/>
    </row>
    <row r="489" spans="2:2" ht="15.75" customHeight="1" x14ac:dyDescent="0.3">
      <c r="B489" s="33"/>
    </row>
    <row r="490" spans="2:2" ht="15.75" customHeight="1" x14ac:dyDescent="0.3">
      <c r="B490" s="33"/>
    </row>
    <row r="491" spans="2:2" ht="15.75" customHeight="1" x14ac:dyDescent="0.3">
      <c r="B491" s="33"/>
    </row>
    <row r="492" spans="2:2" ht="15.75" customHeight="1" x14ac:dyDescent="0.3">
      <c r="B492" s="33"/>
    </row>
    <row r="493" spans="2:2" ht="15.75" customHeight="1" x14ac:dyDescent="0.3">
      <c r="B493" s="33"/>
    </row>
    <row r="494" spans="2:2" ht="15.75" customHeight="1" x14ac:dyDescent="0.3">
      <c r="B494" s="33"/>
    </row>
    <row r="495" spans="2:2" ht="15.75" customHeight="1" x14ac:dyDescent="0.3">
      <c r="B495" s="33"/>
    </row>
    <row r="496" spans="2:2" ht="15.75" customHeight="1" x14ac:dyDescent="0.3">
      <c r="B496" s="33"/>
    </row>
    <row r="497" spans="2:2" ht="15.75" customHeight="1" x14ac:dyDescent="0.3">
      <c r="B497" s="33"/>
    </row>
    <row r="498" spans="2:2" ht="15.75" customHeight="1" x14ac:dyDescent="0.3">
      <c r="B498" s="33"/>
    </row>
    <row r="499" spans="2:2" ht="15.75" customHeight="1" x14ac:dyDescent="0.3">
      <c r="B499" s="33"/>
    </row>
    <row r="500" spans="2:2" ht="15.75" customHeight="1" x14ac:dyDescent="0.3">
      <c r="B500" s="33"/>
    </row>
    <row r="501" spans="2:2" ht="15.75" customHeight="1" x14ac:dyDescent="0.3">
      <c r="B501" s="33"/>
    </row>
    <row r="502" spans="2:2" ht="15.75" customHeight="1" x14ac:dyDescent="0.3">
      <c r="B502" s="33"/>
    </row>
    <row r="503" spans="2:2" ht="15.75" customHeight="1" x14ac:dyDescent="0.3">
      <c r="B503" s="33"/>
    </row>
    <row r="504" spans="2:2" ht="15.75" customHeight="1" x14ac:dyDescent="0.3">
      <c r="B504" s="33"/>
    </row>
    <row r="505" spans="2:2" ht="15.75" customHeight="1" x14ac:dyDescent="0.3">
      <c r="B505" s="33"/>
    </row>
    <row r="506" spans="2:2" ht="15.75" customHeight="1" x14ac:dyDescent="0.3">
      <c r="B506" s="33"/>
    </row>
    <row r="507" spans="2:2" ht="15.75" customHeight="1" x14ac:dyDescent="0.3">
      <c r="B507" s="33"/>
    </row>
    <row r="508" spans="2:2" ht="15.75" customHeight="1" x14ac:dyDescent="0.3">
      <c r="B508" s="33"/>
    </row>
    <row r="509" spans="2:2" ht="15.75" customHeight="1" x14ac:dyDescent="0.3">
      <c r="B509" s="33"/>
    </row>
    <row r="510" spans="2:2" ht="15.75" customHeight="1" x14ac:dyDescent="0.3">
      <c r="B510" s="33"/>
    </row>
    <row r="511" spans="2:2" ht="15.75" customHeight="1" x14ac:dyDescent="0.3">
      <c r="B511" s="33"/>
    </row>
    <row r="512" spans="2:2" ht="15.75" customHeight="1" x14ac:dyDescent="0.3">
      <c r="B512" s="33"/>
    </row>
    <row r="513" spans="2:2" ht="15.75" customHeight="1" x14ac:dyDescent="0.3">
      <c r="B513" s="33"/>
    </row>
    <row r="514" spans="2:2" ht="15.75" customHeight="1" x14ac:dyDescent="0.3">
      <c r="B514" s="33"/>
    </row>
    <row r="515" spans="2:2" ht="15.75" customHeight="1" x14ac:dyDescent="0.3">
      <c r="B515" s="33"/>
    </row>
    <row r="516" spans="2:2" ht="15.75" customHeight="1" x14ac:dyDescent="0.3">
      <c r="B516" s="33"/>
    </row>
    <row r="517" spans="2:2" ht="15.75" customHeight="1" x14ac:dyDescent="0.3">
      <c r="B517" s="33"/>
    </row>
    <row r="518" spans="2:2" ht="15.75" customHeight="1" x14ac:dyDescent="0.3">
      <c r="B518" s="33"/>
    </row>
    <row r="519" spans="2:2" ht="15.75" customHeight="1" x14ac:dyDescent="0.3">
      <c r="B519" s="33"/>
    </row>
    <row r="520" spans="2:2" ht="15.75" customHeight="1" x14ac:dyDescent="0.3">
      <c r="B520" s="33"/>
    </row>
    <row r="521" spans="2:2" ht="15.75" customHeight="1" x14ac:dyDescent="0.3">
      <c r="B521" s="33"/>
    </row>
    <row r="522" spans="2:2" ht="15.75" customHeight="1" x14ac:dyDescent="0.3">
      <c r="B522" s="33"/>
    </row>
    <row r="523" spans="2:2" ht="15.75" customHeight="1" x14ac:dyDescent="0.3">
      <c r="B523" s="33"/>
    </row>
    <row r="524" spans="2:2" ht="15.75" customHeight="1" x14ac:dyDescent="0.3">
      <c r="B524" s="33"/>
    </row>
    <row r="525" spans="2:2" ht="15.75" customHeight="1" x14ac:dyDescent="0.3">
      <c r="B525" s="33"/>
    </row>
    <row r="526" spans="2:2" ht="15.75" customHeight="1" x14ac:dyDescent="0.3">
      <c r="B526" s="33"/>
    </row>
    <row r="527" spans="2:2" ht="15.75" customHeight="1" x14ac:dyDescent="0.3">
      <c r="B527" s="33"/>
    </row>
    <row r="528" spans="2:2" ht="15.75" customHeight="1" x14ac:dyDescent="0.3">
      <c r="B528" s="33"/>
    </row>
    <row r="529" spans="2:2" ht="15.75" customHeight="1" x14ac:dyDescent="0.3">
      <c r="B529" s="33"/>
    </row>
    <row r="530" spans="2:2" ht="15.75" customHeight="1" x14ac:dyDescent="0.3">
      <c r="B530" s="33"/>
    </row>
    <row r="531" spans="2:2" ht="15.75" customHeight="1" x14ac:dyDescent="0.3">
      <c r="B531" s="33"/>
    </row>
    <row r="532" spans="2:2" ht="15.75" customHeight="1" x14ac:dyDescent="0.3">
      <c r="B532" s="33"/>
    </row>
    <row r="533" spans="2:2" ht="15.75" customHeight="1" x14ac:dyDescent="0.3">
      <c r="B533" s="33"/>
    </row>
    <row r="534" spans="2:2" ht="15.75" customHeight="1" x14ac:dyDescent="0.3">
      <c r="B534" s="33"/>
    </row>
    <row r="535" spans="2:2" ht="15.75" customHeight="1" x14ac:dyDescent="0.3">
      <c r="B535" s="33"/>
    </row>
    <row r="536" spans="2:2" ht="15.75" customHeight="1" x14ac:dyDescent="0.3">
      <c r="B536" s="33"/>
    </row>
    <row r="537" spans="2:2" ht="15.75" customHeight="1" x14ac:dyDescent="0.3">
      <c r="B537" s="33"/>
    </row>
    <row r="538" spans="2:2" ht="15.75" customHeight="1" x14ac:dyDescent="0.3">
      <c r="B538" s="33"/>
    </row>
    <row r="539" spans="2:2" ht="15.75" customHeight="1" x14ac:dyDescent="0.3">
      <c r="B539" s="33"/>
    </row>
    <row r="540" spans="2:2" ht="15.75" customHeight="1" x14ac:dyDescent="0.3">
      <c r="B540" s="33"/>
    </row>
    <row r="541" spans="2:2" ht="15.75" customHeight="1" x14ac:dyDescent="0.3">
      <c r="B541" s="33"/>
    </row>
    <row r="542" spans="2:2" ht="15.75" customHeight="1" x14ac:dyDescent="0.3">
      <c r="B542" s="33"/>
    </row>
    <row r="543" spans="2:2" ht="15.75" customHeight="1" x14ac:dyDescent="0.3">
      <c r="B543" s="33"/>
    </row>
    <row r="544" spans="2:2" ht="15.75" customHeight="1" x14ac:dyDescent="0.3">
      <c r="B544" s="33"/>
    </row>
    <row r="545" spans="2:2" ht="15.75" customHeight="1" x14ac:dyDescent="0.3">
      <c r="B545" s="33"/>
    </row>
    <row r="546" spans="2:2" ht="15.75" customHeight="1" x14ac:dyDescent="0.3">
      <c r="B546" s="33"/>
    </row>
    <row r="547" spans="2:2" ht="15.75" customHeight="1" x14ac:dyDescent="0.3">
      <c r="B547" s="33"/>
    </row>
    <row r="548" spans="2:2" ht="15.75" customHeight="1" x14ac:dyDescent="0.3">
      <c r="B548" s="33"/>
    </row>
    <row r="549" spans="2:2" ht="15.75" customHeight="1" x14ac:dyDescent="0.3">
      <c r="B549" s="33"/>
    </row>
    <row r="550" spans="2:2" ht="15.75" customHeight="1" x14ac:dyDescent="0.3">
      <c r="B550" s="33"/>
    </row>
    <row r="551" spans="2:2" ht="15.75" customHeight="1" x14ac:dyDescent="0.3">
      <c r="B551" s="33"/>
    </row>
    <row r="552" spans="2:2" ht="15.75" customHeight="1" x14ac:dyDescent="0.3">
      <c r="B552" s="33"/>
    </row>
    <row r="553" spans="2:2" ht="15.75" customHeight="1" x14ac:dyDescent="0.3">
      <c r="B553" s="33"/>
    </row>
    <row r="554" spans="2:2" ht="15.75" customHeight="1" x14ac:dyDescent="0.3">
      <c r="B554" s="33"/>
    </row>
    <row r="555" spans="2:2" ht="15.75" customHeight="1" x14ac:dyDescent="0.3">
      <c r="B555" s="33"/>
    </row>
    <row r="556" spans="2:2" ht="15.75" customHeight="1" x14ac:dyDescent="0.3">
      <c r="B556" s="33"/>
    </row>
    <row r="557" spans="2:2" ht="15.75" customHeight="1" x14ac:dyDescent="0.3">
      <c r="B557" s="33"/>
    </row>
    <row r="558" spans="2:2" ht="15.75" customHeight="1" x14ac:dyDescent="0.3">
      <c r="B558" s="33"/>
    </row>
    <row r="559" spans="2:2" ht="15.75" customHeight="1" x14ac:dyDescent="0.3">
      <c r="B559" s="33"/>
    </row>
    <row r="560" spans="2:2" ht="15.75" customHeight="1" x14ac:dyDescent="0.3">
      <c r="B560" s="33"/>
    </row>
    <row r="561" spans="2:2" ht="15.75" customHeight="1" x14ac:dyDescent="0.3">
      <c r="B561" s="33"/>
    </row>
    <row r="562" spans="2:2" ht="15.75" customHeight="1" x14ac:dyDescent="0.3">
      <c r="B562" s="33"/>
    </row>
    <row r="563" spans="2:2" ht="15.75" customHeight="1" x14ac:dyDescent="0.3">
      <c r="B563" s="33"/>
    </row>
    <row r="564" spans="2:2" ht="15.75" customHeight="1" x14ac:dyDescent="0.3">
      <c r="B564" s="33"/>
    </row>
    <row r="565" spans="2:2" ht="15.75" customHeight="1" x14ac:dyDescent="0.3">
      <c r="B565" s="33"/>
    </row>
    <row r="566" spans="2:2" ht="15.75" customHeight="1" x14ac:dyDescent="0.3">
      <c r="B566" s="33"/>
    </row>
    <row r="567" spans="2:2" ht="15.75" customHeight="1" x14ac:dyDescent="0.3">
      <c r="B567" s="33"/>
    </row>
    <row r="568" spans="2:2" ht="15.75" customHeight="1" x14ac:dyDescent="0.3">
      <c r="B568" s="33"/>
    </row>
    <row r="569" spans="2:2" ht="15.75" customHeight="1" x14ac:dyDescent="0.3">
      <c r="B569" s="33"/>
    </row>
    <row r="570" spans="2:2" ht="15.75" customHeight="1" x14ac:dyDescent="0.3">
      <c r="B570" s="33"/>
    </row>
    <row r="571" spans="2:2" ht="15.75" customHeight="1" x14ac:dyDescent="0.3">
      <c r="B571" s="33"/>
    </row>
    <row r="572" spans="2:2" ht="15.75" customHeight="1" x14ac:dyDescent="0.3">
      <c r="B572" s="33"/>
    </row>
    <row r="573" spans="2:2" ht="15.75" customHeight="1" x14ac:dyDescent="0.3">
      <c r="B573" s="33"/>
    </row>
    <row r="574" spans="2:2" ht="15.75" customHeight="1" x14ac:dyDescent="0.3">
      <c r="B574" s="33"/>
    </row>
    <row r="575" spans="2:2" ht="15.75" customHeight="1" x14ac:dyDescent="0.3">
      <c r="B575" s="33"/>
    </row>
    <row r="576" spans="2:2" ht="15.75" customHeight="1" x14ac:dyDescent="0.3">
      <c r="B576" s="33"/>
    </row>
    <row r="577" spans="2:2" ht="15.75" customHeight="1" x14ac:dyDescent="0.3">
      <c r="B577" s="33"/>
    </row>
    <row r="578" spans="2:2" ht="15.75" customHeight="1" x14ac:dyDescent="0.3">
      <c r="B578" s="33"/>
    </row>
    <row r="579" spans="2:2" ht="15.75" customHeight="1" x14ac:dyDescent="0.3">
      <c r="B579" s="33"/>
    </row>
    <row r="580" spans="2:2" ht="15.75" customHeight="1" x14ac:dyDescent="0.3">
      <c r="B580" s="33"/>
    </row>
    <row r="581" spans="2:2" ht="15.75" customHeight="1" x14ac:dyDescent="0.3">
      <c r="B581" s="33"/>
    </row>
    <row r="582" spans="2:2" ht="15.75" customHeight="1" x14ac:dyDescent="0.3">
      <c r="B582" s="33"/>
    </row>
    <row r="583" spans="2:2" ht="15.75" customHeight="1" x14ac:dyDescent="0.3">
      <c r="B583" s="33"/>
    </row>
    <row r="584" spans="2:2" ht="15.75" customHeight="1" x14ac:dyDescent="0.3">
      <c r="B584" s="33"/>
    </row>
    <row r="585" spans="2:2" ht="15.75" customHeight="1" x14ac:dyDescent="0.3">
      <c r="B585" s="33"/>
    </row>
    <row r="586" spans="2:2" ht="15.75" customHeight="1" x14ac:dyDescent="0.3">
      <c r="B586" s="33"/>
    </row>
    <row r="587" spans="2:2" ht="15.75" customHeight="1" x14ac:dyDescent="0.3">
      <c r="B587" s="33"/>
    </row>
    <row r="588" spans="2:2" ht="15.75" customHeight="1" x14ac:dyDescent="0.3">
      <c r="B588" s="33"/>
    </row>
    <row r="589" spans="2:2" ht="15.75" customHeight="1" x14ac:dyDescent="0.3">
      <c r="B589" s="33"/>
    </row>
    <row r="590" spans="2:2" ht="15.75" customHeight="1" x14ac:dyDescent="0.3">
      <c r="B590" s="33"/>
    </row>
    <row r="591" spans="2:2" ht="15.75" customHeight="1" x14ac:dyDescent="0.3">
      <c r="B591" s="33"/>
    </row>
    <row r="592" spans="2:2" ht="15.75" customHeight="1" x14ac:dyDescent="0.3">
      <c r="B592" s="33"/>
    </row>
    <row r="593" spans="2:2" ht="15.75" customHeight="1" x14ac:dyDescent="0.3">
      <c r="B593" s="33"/>
    </row>
    <row r="594" spans="2:2" ht="15.75" customHeight="1" x14ac:dyDescent="0.3">
      <c r="B594" s="33"/>
    </row>
    <row r="595" spans="2:2" ht="15.75" customHeight="1" x14ac:dyDescent="0.3">
      <c r="B595" s="33"/>
    </row>
    <row r="596" spans="2:2" ht="15.75" customHeight="1" x14ac:dyDescent="0.3">
      <c r="B596" s="33"/>
    </row>
    <row r="597" spans="2:2" ht="15.75" customHeight="1" x14ac:dyDescent="0.3">
      <c r="B597" s="33"/>
    </row>
    <row r="598" spans="2:2" ht="15.75" customHeight="1" x14ac:dyDescent="0.3">
      <c r="B598" s="33"/>
    </row>
    <row r="599" spans="2:2" ht="15.75" customHeight="1" x14ac:dyDescent="0.3">
      <c r="B599" s="33"/>
    </row>
    <row r="600" spans="2:2" ht="15.75" customHeight="1" x14ac:dyDescent="0.3">
      <c r="B600" s="33"/>
    </row>
    <row r="601" spans="2:2" ht="15.75" customHeight="1" x14ac:dyDescent="0.3">
      <c r="B601" s="33"/>
    </row>
    <row r="602" spans="2:2" ht="15.75" customHeight="1" x14ac:dyDescent="0.3">
      <c r="B602" s="33"/>
    </row>
    <row r="603" spans="2:2" ht="15.75" customHeight="1" x14ac:dyDescent="0.3">
      <c r="B603" s="33"/>
    </row>
    <row r="604" spans="2:2" ht="15.75" customHeight="1" x14ac:dyDescent="0.3">
      <c r="B604" s="33"/>
    </row>
    <row r="605" spans="2:2" ht="15.75" customHeight="1" x14ac:dyDescent="0.3">
      <c r="B605" s="33"/>
    </row>
    <row r="606" spans="2:2" ht="15.75" customHeight="1" x14ac:dyDescent="0.3">
      <c r="B606" s="33"/>
    </row>
    <row r="607" spans="2:2" ht="15.75" customHeight="1" x14ac:dyDescent="0.3">
      <c r="B607" s="33"/>
    </row>
    <row r="608" spans="2:2" ht="15.75" customHeight="1" x14ac:dyDescent="0.3">
      <c r="B608" s="33"/>
    </row>
    <row r="609" spans="2:2" ht="15.75" customHeight="1" x14ac:dyDescent="0.3">
      <c r="B609" s="33"/>
    </row>
    <row r="610" spans="2:2" ht="15.75" customHeight="1" x14ac:dyDescent="0.3">
      <c r="B610" s="33"/>
    </row>
    <row r="611" spans="2:2" ht="15.75" customHeight="1" x14ac:dyDescent="0.3">
      <c r="B611" s="33"/>
    </row>
    <row r="612" spans="2:2" ht="15.75" customHeight="1" x14ac:dyDescent="0.3">
      <c r="B612" s="33"/>
    </row>
    <row r="613" spans="2:2" ht="15.75" customHeight="1" x14ac:dyDescent="0.3">
      <c r="B613" s="33"/>
    </row>
    <row r="614" spans="2:2" ht="15.75" customHeight="1" x14ac:dyDescent="0.3">
      <c r="B614" s="33"/>
    </row>
    <row r="615" spans="2:2" ht="15.75" customHeight="1" x14ac:dyDescent="0.3">
      <c r="B615" s="33"/>
    </row>
    <row r="616" spans="2:2" ht="15.75" customHeight="1" x14ac:dyDescent="0.3">
      <c r="B616" s="33"/>
    </row>
    <row r="617" spans="2:2" ht="15.75" customHeight="1" x14ac:dyDescent="0.3">
      <c r="B617" s="33"/>
    </row>
    <row r="618" spans="2:2" ht="15.75" customHeight="1" x14ac:dyDescent="0.3">
      <c r="B618" s="33"/>
    </row>
    <row r="619" spans="2:2" ht="15.75" customHeight="1" x14ac:dyDescent="0.3">
      <c r="B619" s="33"/>
    </row>
    <row r="620" spans="2:2" ht="15.75" customHeight="1" x14ac:dyDescent="0.3">
      <c r="B620" s="33"/>
    </row>
    <row r="621" spans="2:2" ht="15.75" customHeight="1" x14ac:dyDescent="0.3">
      <c r="B621" s="33"/>
    </row>
    <row r="622" spans="2:2" ht="15.75" customHeight="1" x14ac:dyDescent="0.3">
      <c r="B622" s="33"/>
    </row>
    <row r="623" spans="2:2" ht="15.75" customHeight="1" x14ac:dyDescent="0.3">
      <c r="B623" s="33"/>
    </row>
    <row r="624" spans="2:2" ht="15.75" customHeight="1" x14ac:dyDescent="0.3">
      <c r="B624" s="33"/>
    </row>
    <row r="625" spans="2:2" ht="15.75" customHeight="1" x14ac:dyDescent="0.3">
      <c r="B625" s="33"/>
    </row>
    <row r="626" spans="2:2" ht="15.75" customHeight="1" x14ac:dyDescent="0.3">
      <c r="B626" s="33"/>
    </row>
    <row r="627" spans="2:2" ht="15.75" customHeight="1" x14ac:dyDescent="0.3">
      <c r="B627" s="33"/>
    </row>
    <row r="628" spans="2:2" ht="15.75" customHeight="1" x14ac:dyDescent="0.3">
      <c r="B628" s="33"/>
    </row>
    <row r="629" spans="2:2" ht="15.75" customHeight="1" x14ac:dyDescent="0.3">
      <c r="B629" s="33"/>
    </row>
    <row r="630" spans="2:2" ht="15.75" customHeight="1" x14ac:dyDescent="0.3">
      <c r="B630" s="33"/>
    </row>
    <row r="631" spans="2:2" ht="15.75" customHeight="1" x14ac:dyDescent="0.3">
      <c r="B631" s="33"/>
    </row>
    <row r="632" spans="2:2" ht="15.75" customHeight="1" x14ac:dyDescent="0.3">
      <c r="B632" s="33"/>
    </row>
    <row r="633" spans="2:2" ht="15.75" customHeight="1" x14ac:dyDescent="0.3">
      <c r="B633" s="33"/>
    </row>
    <row r="634" spans="2:2" ht="15.75" customHeight="1" x14ac:dyDescent="0.3">
      <c r="B634" s="33"/>
    </row>
    <row r="635" spans="2:2" ht="15.75" customHeight="1" x14ac:dyDescent="0.3">
      <c r="B635" s="33"/>
    </row>
    <row r="636" spans="2:2" ht="15.75" customHeight="1" x14ac:dyDescent="0.3">
      <c r="B636" s="33"/>
    </row>
    <row r="637" spans="2:2" ht="15.75" customHeight="1" x14ac:dyDescent="0.3">
      <c r="B637" s="33"/>
    </row>
    <row r="638" spans="2:2" ht="15.75" customHeight="1" x14ac:dyDescent="0.3">
      <c r="B638" s="33"/>
    </row>
    <row r="639" spans="2:2" ht="15.75" customHeight="1" x14ac:dyDescent="0.3">
      <c r="B639" s="33"/>
    </row>
    <row r="640" spans="2:2" ht="15.75" customHeight="1" x14ac:dyDescent="0.3">
      <c r="B640" s="33"/>
    </row>
    <row r="641" spans="2:2" ht="15.75" customHeight="1" x14ac:dyDescent="0.3">
      <c r="B641" s="33"/>
    </row>
    <row r="642" spans="2:2" ht="15.75" customHeight="1" x14ac:dyDescent="0.3">
      <c r="B642" s="33"/>
    </row>
    <row r="643" spans="2:2" ht="15.75" customHeight="1" x14ac:dyDescent="0.3">
      <c r="B643" s="33"/>
    </row>
    <row r="644" spans="2:2" ht="15.75" customHeight="1" x14ac:dyDescent="0.3">
      <c r="B644" s="33"/>
    </row>
    <row r="645" spans="2:2" ht="15.75" customHeight="1" x14ac:dyDescent="0.3">
      <c r="B645" s="33"/>
    </row>
    <row r="646" spans="2:2" ht="15.75" customHeight="1" x14ac:dyDescent="0.3">
      <c r="B646" s="33"/>
    </row>
    <row r="647" spans="2:2" ht="15.75" customHeight="1" x14ac:dyDescent="0.3">
      <c r="B647" s="33"/>
    </row>
    <row r="648" spans="2:2" ht="15.75" customHeight="1" x14ac:dyDescent="0.3">
      <c r="B648" s="33"/>
    </row>
    <row r="649" spans="2:2" ht="15.75" customHeight="1" x14ac:dyDescent="0.3">
      <c r="B649" s="33"/>
    </row>
    <row r="650" spans="2:2" ht="15.75" customHeight="1" x14ac:dyDescent="0.3">
      <c r="B650" s="33"/>
    </row>
    <row r="651" spans="2:2" ht="15.75" customHeight="1" x14ac:dyDescent="0.3">
      <c r="B651" s="33"/>
    </row>
    <row r="652" spans="2:2" ht="15.75" customHeight="1" x14ac:dyDescent="0.3">
      <c r="B652" s="33"/>
    </row>
    <row r="653" spans="2:2" ht="15.75" customHeight="1" x14ac:dyDescent="0.3">
      <c r="B653" s="33"/>
    </row>
    <row r="654" spans="2:2" ht="15.75" customHeight="1" x14ac:dyDescent="0.3">
      <c r="B654" s="33"/>
    </row>
    <row r="655" spans="2:2" ht="15.75" customHeight="1" x14ac:dyDescent="0.3">
      <c r="B655" s="33"/>
    </row>
    <row r="656" spans="2:2" ht="15.75" customHeight="1" x14ac:dyDescent="0.3">
      <c r="B656" s="33"/>
    </row>
    <row r="657" spans="2:2" ht="15.75" customHeight="1" x14ac:dyDescent="0.3">
      <c r="B657" s="33"/>
    </row>
    <row r="658" spans="2:2" ht="15.75" customHeight="1" x14ac:dyDescent="0.3">
      <c r="B658" s="33"/>
    </row>
    <row r="659" spans="2:2" ht="15.75" customHeight="1" x14ac:dyDescent="0.3">
      <c r="B659" s="33"/>
    </row>
    <row r="660" spans="2:2" ht="15.75" customHeight="1" x14ac:dyDescent="0.3">
      <c r="B660" s="33"/>
    </row>
    <row r="661" spans="2:2" ht="15.75" customHeight="1" x14ac:dyDescent="0.3">
      <c r="B661" s="33"/>
    </row>
    <row r="662" spans="2:2" ht="15.75" customHeight="1" x14ac:dyDescent="0.3">
      <c r="B662" s="33"/>
    </row>
    <row r="663" spans="2:2" ht="15.75" customHeight="1" x14ac:dyDescent="0.3">
      <c r="B663" s="33"/>
    </row>
    <row r="664" spans="2:2" ht="15.75" customHeight="1" x14ac:dyDescent="0.3">
      <c r="B664" s="33"/>
    </row>
    <row r="665" spans="2:2" ht="15.75" customHeight="1" x14ac:dyDescent="0.3">
      <c r="B665" s="33"/>
    </row>
    <row r="666" spans="2:2" ht="15.75" customHeight="1" x14ac:dyDescent="0.3">
      <c r="B666" s="33"/>
    </row>
    <row r="667" spans="2:2" ht="15.75" customHeight="1" x14ac:dyDescent="0.3">
      <c r="B667" s="33"/>
    </row>
    <row r="668" spans="2:2" ht="15.75" customHeight="1" x14ac:dyDescent="0.3">
      <c r="B668" s="33"/>
    </row>
    <row r="669" spans="2:2" ht="15.75" customHeight="1" x14ac:dyDescent="0.3">
      <c r="B669" s="33"/>
    </row>
    <row r="670" spans="2:2" ht="15.75" customHeight="1" x14ac:dyDescent="0.3">
      <c r="B670" s="33"/>
    </row>
    <row r="671" spans="2:2" ht="15.75" customHeight="1" x14ac:dyDescent="0.3">
      <c r="B671" s="33"/>
    </row>
    <row r="672" spans="2:2" ht="15.75" customHeight="1" x14ac:dyDescent="0.3">
      <c r="B672" s="33"/>
    </row>
    <row r="673" spans="2:2" ht="15.75" customHeight="1" x14ac:dyDescent="0.3">
      <c r="B673" s="33"/>
    </row>
    <row r="674" spans="2:2" ht="15.75" customHeight="1" x14ac:dyDescent="0.3">
      <c r="B674" s="33"/>
    </row>
    <row r="675" spans="2:2" ht="15.75" customHeight="1" x14ac:dyDescent="0.3">
      <c r="B675" s="33"/>
    </row>
    <row r="676" spans="2:2" ht="15.75" customHeight="1" x14ac:dyDescent="0.3">
      <c r="B676" s="33"/>
    </row>
    <row r="677" spans="2:2" ht="15.75" customHeight="1" x14ac:dyDescent="0.3">
      <c r="B677" s="33"/>
    </row>
    <row r="678" spans="2:2" ht="15.75" customHeight="1" x14ac:dyDescent="0.3">
      <c r="B678" s="33"/>
    </row>
    <row r="679" spans="2:2" ht="15.75" customHeight="1" x14ac:dyDescent="0.3">
      <c r="B679" s="33"/>
    </row>
    <row r="680" spans="2:2" ht="15.75" customHeight="1" x14ac:dyDescent="0.3">
      <c r="B680" s="33"/>
    </row>
    <row r="681" spans="2:2" ht="15.75" customHeight="1" x14ac:dyDescent="0.3">
      <c r="B681" s="33"/>
    </row>
    <row r="682" spans="2:2" ht="15.75" customHeight="1" x14ac:dyDescent="0.3">
      <c r="B682" s="33"/>
    </row>
    <row r="683" spans="2:2" ht="15.75" customHeight="1" x14ac:dyDescent="0.3">
      <c r="B683" s="33"/>
    </row>
    <row r="684" spans="2:2" ht="15.75" customHeight="1" x14ac:dyDescent="0.3">
      <c r="B684" s="33"/>
    </row>
    <row r="685" spans="2:2" ht="15.75" customHeight="1" x14ac:dyDescent="0.3">
      <c r="B685" s="33"/>
    </row>
    <row r="686" spans="2:2" ht="15.75" customHeight="1" x14ac:dyDescent="0.3">
      <c r="B686" s="33"/>
    </row>
    <row r="687" spans="2:2" ht="15.75" customHeight="1" x14ac:dyDescent="0.3">
      <c r="B687" s="33"/>
    </row>
    <row r="688" spans="2:2" ht="15.75" customHeight="1" x14ac:dyDescent="0.3">
      <c r="B688" s="33"/>
    </row>
    <row r="689" spans="2:2" ht="15.75" customHeight="1" x14ac:dyDescent="0.3">
      <c r="B689" s="33"/>
    </row>
    <row r="690" spans="2:2" ht="15.75" customHeight="1" x14ac:dyDescent="0.3">
      <c r="B690" s="33"/>
    </row>
    <row r="691" spans="2:2" ht="15.75" customHeight="1" x14ac:dyDescent="0.3">
      <c r="B691" s="33"/>
    </row>
    <row r="692" spans="2:2" ht="15.75" customHeight="1" x14ac:dyDescent="0.3">
      <c r="B692" s="33"/>
    </row>
    <row r="693" spans="2:2" ht="15.75" customHeight="1" x14ac:dyDescent="0.3">
      <c r="B693" s="33"/>
    </row>
    <row r="694" spans="2:2" ht="15.75" customHeight="1" x14ac:dyDescent="0.3">
      <c r="B694" s="33"/>
    </row>
    <row r="695" spans="2:2" ht="15.75" customHeight="1" x14ac:dyDescent="0.3">
      <c r="B695" s="33"/>
    </row>
    <row r="696" spans="2:2" ht="15.75" customHeight="1" x14ac:dyDescent="0.3">
      <c r="B696" s="33"/>
    </row>
    <row r="697" spans="2:2" ht="15.75" customHeight="1" x14ac:dyDescent="0.3">
      <c r="B697" s="33"/>
    </row>
    <row r="698" spans="2:2" ht="15.75" customHeight="1" x14ac:dyDescent="0.3">
      <c r="B698" s="33"/>
    </row>
    <row r="699" spans="2:2" ht="15.75" customHeight="1" x14ac:dyDescent="0.3">
      <c r="B699" s="33"/>
    </row>
    <row r="700" spans="2:2" ht="15.75" customHeight="1" x14ac:dyDescent="0.3">
      <c r="B700" s="33"/>
    </row>
    <row r="701" spans="2:2" ht="15.75" customHeight="1" x14ac:dyDescent="0.3">
      <c r="B701" s="33"/>
    </row>
    <row r="702" spans="2:2" ht="15.75" customHeight="1" x14ac:dyDescent="0.3">
      <c r="B702" s="33"/>
    </row>
    <row r="703" spans="2:2" ht="15.75" customHeight="1" x14ac:dyDescent="0.3">
      <c r="B703" s="33"/>
    </row>
    <row r="704" spans="2:2" ht="15.75" customHeight="1" x14ac:dyDescent="0.3">
      <c r="B704" s="33"/>
    </row>
    <row r="705" spans="2:2" ht="15.75" customHeight="1" x14ac:dyDescent="0.3">
      <c r="B705" s="33"/>
    </row>
    <row r="706" spans="2:2" ht="15.75" customHeight="1" x14ac:dyDescent="0.3">
      <c r="B706" s="33"/>
    </row>
    <row r="707" spans="2:2" ht="15.75" customHeight="1" x14ac:dyDescent="0.3">
      <c r="B707" s="33"/>
    </row>
    <row r="708" spans="2:2" ht="15.75" customHeight="1" x14ac:dyDescent="0.3">
      <c r="B708" s="33"/>
    </row>
    <row r="709" spans="2:2" ht="15.75" customHeight="1" x14ac:dyDescent="0.3">
      <c r="B709" s="33"/>
    </row>
    <row r="710" spans="2:2" ht="15.75" customHeight="1" x14ac:dyDescent="0.3">
      <c r="B710" s="33"/>
    </row>
    <row r="711" spans="2:2" ht="15.75" customHeight="1" x14ac:dyDescent="0.3">
      <c r="B711" s="33"/>
    </row>
    <row r="712" spans="2:2" ht="15.75" customHeight="1" x14ac:dyDescent="0.3">
      <c r="B712" s="33"/>
    </row>
    <row r="713" spans="2:2" ht="15.75" customHeight="1" x14ac:dyDescent="0.3">
      <c r="B713" s="33"/>
    </row>
    <row r="714" spans="2:2" ht="15.75" customHeight="1" x14ac:dyDescent="0.3">
      <c r="B714" s="33"/>
    </row>
    <row r="715" spans="2:2" ht="15.75" customHeight="1" x14ac:dyDescent="0.3">
      <c r="B715" s="33"/>
    </row>
    <row r="716" spans="2:2" ht="15.75" customHeight="1" x14ac:dyDescent="0.3">
      <c r="B716" s="33"/>
    </row>
    <row r="717" spans="2:2" ht="15.75" customHeight="1" x14ac:dyDescent="0.3">
      <c r="B717" s="33"/>
    </row>
    <row r="718" spans="2:2" ht="15.75" customHeight="1" x14ac:dyDescent="0.3">
      <c r="B718" s="33"/>
    </row>
    <row r="719" spans="2:2" ht="15.75" customHeight="1" x14ac:dyDescent="0.3">
      <c r="B719" s="33"/>
    </row>
    <row r="720" spans="2:2" ht="15.75" customHeight="1" x14ac:dyDescent="0.3">
      <c r="B720" s="33"/>
    </row>
    <row r="721" spans="2:2" ht="15.75" customHeight="1" x14ac:dyDescent="0.3">
      <c r="B721" s="33"/>
    </row>
    <row r="722" spans="2:2" ht="15.75" customHeight="1" x14ac:dyDescent="0.3">
      <c r="B722" s="33"/>
    </row>
    <row r="723" spans="2:2" ht="15.75" customHeight="1" x14ac:dyDescent="0.3">
      <c r="B723" s="33"/>
    </row>
    <row r="724" spans="2:2" ht="15.75" customHeight="1" x14ac:dyDescent="0.3">
      <c r="B724" s="33"/>
    </row>
    <row r="725" spans="2:2" ht="15.75" customHeight="1" x14ac:dyDescent="0.3">
      <c r="B725" s="33"/>
    </row>
    <row r="726" spans="2:2" ht="15.75" customHeight="1" x14ac:dyDescent="0.3">
      <c r="B726" s="33"/>
    </row>
    <row r="727" spans="2:2" ht="15.75" customHeight="1" x14ac:dyDescent="0.3">
      <c r="B727" s="33"/>
    </row>
    <row r="728" spans="2:2" ht="15.75" customHeight="1" x14ac:dyDescent="0.3">
      <c r="B728" s="33"/>
    </row>
    <row r="729" spans="2:2" ht="15.75" customHeight="1" x14ac:dyDescent="0.3">
      <c r="B729" s="33"/>
    </row>
    <row r="730" spans="2:2" ht="15.75" customHeight="1" x14ac:dyDescent="0.3">
      <c r="B730" s="33"/>
    </row>
    <row r="731" spans="2:2" ht="15.75" customHeight="1" x14ac:dyDescent="0.3">
      <c r="B731" s="33"/>
    </row>
    <row r="732" spans="2:2" ht="15.75" customHeight="1" x14ac:dyDescent="0.3">
      <c r="B732" s="33"/>
    </row>
    <row r="733" spans="2:2" ht="15.75" customHeight="1" x14ac:dyDescent="0.3">
      <c r="B733" s="33"/>
    </row>
    <row r="734" spans="2:2" ht="15.75" customHeight="1" x14ac:dyDescent="0.3">
      <c r="B734" s="33"/>
    </row>
    <row r="735" spans="2:2" ht="15.75" customHeight="1" x14ac:dyDescent="0.3">
      <c r="B735" s="33"/>
    </row>
    <row r="736" spans="2:2" ht="15.75" customHeight="1" x14ac:dyDescent="0.3">
      <c r="B736" s="33"/>
    </row>
    <row r="737" spans="2:2" ht="15.75" customHeight="1" x14ac:dyDescent="0.3">
      <c r="B737" s="33"/>
    </row>
    <row r="738" spans="2:2" ht="15.75" customHeight="1" x14ac:dyDescent="0.3">
      <c r="B738" s="33"/>
    </row>
    <row r="739" spans="2:2" ht="15.75" customHeight="1" x14ac:dyDescent="0.3">
      <c r="B739" s="33"/>
    </row>
    <row r="740" spans="2:2" ht="15.75" customHeight="1" x14ac:dyDescent="0.3">
      <c r="B740" s="33"/>
    </row>
    <row r="741" spans="2:2" ht="15.75" customHeight="1" x14ac:dyDescent="0.3">
      <c r="B741" s="33"/>
    </row>
    <row r="742" spans="2:2" ht="15.75" customHeight="1" x14ac:dyDescent="0.3">
      <c r="B742" s="33"/>
    </row>
    <row r="743" spans="2:2" ht="15.75" customHeight="1" x14ac:dyDescent="0.3">
      <c r="B743" s="33"/>
    </row>
    <row r="744" spans="2:2" ht="15.75" customHeight="1" x14ac:dyDescent="0.3">
      <c r="B744" s="33"/>
    </row>
    <row r="745" spans="2:2" ht="15.75" customHeight="1" x14ac:dyDescent="0.3">
      <c r="B745" s="33"/>
    </row>
    <row r="746" spans="2:2" ht="15.75" customHeight="1" x14ac:dyDescent="0.3">
      <c r="B746" s="33"/>
    </row>
    <row r="747" spans="2:2" ht="15.75" customHeight="1" x14ac:dyDescent="0.3">
      <c r="B747" s="33"/>
    </row>
    <row r="748" spans="2:2" ht="15.75" customHeight="1" x14ac:dyDescent="0.3">
      <c r="B748" s="33"/>
    </row>
    <row r="749" spans="2:2" ht="15.75" customHeight="1" x14ac:dyDescent="0.3">
      <c r="B749" s="33"/>
    </row>
    <row r="750" spans="2:2" ht="15.75" customHeight="1" x14ac:dyDescent="0.3">
      <c r="B750" s="33"/>
    </row>
    <row r="751" spans="2:2" ht="15.75" customHeight="1" x14ac:dyDescent="0.3">
      <c r="B751" s="33"/>
    </row>
    <row r="752" spans="2:2" ht="15.75" customHeight="1" x14ac:dyDescent="0.3">
      <c r="B752" s="33"/>
    </row>
    <row r="753" spans="2:2" ht="15.75" customHeight="1" x14ac:dyDescent="0.3">
      <c r="B753" s="33"/>
    </row>
    <row r="754" spans="2:2" ht="15.75" customHeight="1" x14ac:dyDescent="0.3">
      <c r="B754" s="33"/>
    </row>
    <row r="755" spans="2:2" ht="15.75" customHeight="1" x14ac:dyDescent="0.3">
      <c r="B755" s="33"/>
    </row>
    <row r="756" spans="2:2" ht="15.75" customHeight="1" x14ac:dyDescent="0.3">
      <c r="B756" s="33"/>
    </row>
    <row r="757" spans="2:2" ht="15.75" customHeight="1" x14ac:dyDescent="0.3">
      <c r="B757" s="33"/>
    </row>
    <row r="758" spans="2:2" ht="15.75" customHeight="1" x14ac:dyDescent="0.3">
      <c r="B758" s="33"/>
    </row>
    <row r="759" spans="2:2" ht="15.75" customHeight="1" x14ac:dyDescent="0.3">
      <c r="B759" s="33"/>
    </row>
    <row r="760" spans="2:2" ht="15.75" customHeight="1" x14ac:dyDescent="0.3">
      <c r="B760" s="33"/>
    </row>
    <row r="761" spans="2:2" ht="15.75" customHeight="1" x14ac:dyDescent="0.3">
      <c r="B761" s="33"/>
    </row>
    <row r="762" spans="2:2" ht="15.75" customHeight="1" x14ac:dyDescent="0.3">
      <c r="B762" s="33"/>
    </row>
    <row r="763" spans="2:2" ht="15.75" customHeight="1" x14ac:dyDescent="0.3">
      <c r="B763" s="33"/>
    </row>
    <row r="764" spans="2:2" ht="15.75" customHeight="1" x14ac:dyDescent="0.3">
      <c r="B764" s="33"/>
    </row>
    <row r="765" spans="2:2" ht="15.75" customHeight="1" x14ac:dyDescent="0.3">
      <c r="B765" s="33"/>
    </row>
    <row r="766" spans="2:2" ht="15.75" customHeight="1" x14ac:dyDescent="0.3">
      <c r="B766" s="33"/>
    </row>
    <row r="767" spans="2:2" ht="15.75" customHeight="1" x14ac:dyDescent="0.3">
      <c r="B767" s="33"/>
    </row>
    <row r="768" spans="2:2" ht="15.75" customHeight="1" x14ac:dyDescent="0.3">
      <c r="B768" s="33"/>
    </row>
    <row r="769" spans="2:2" ht="15.75" customHeight="1" x14ac:dyDescent="0.3">
      <c r="B769" s="33"/>
    </row>
    <row r="770" spans="2:2" ht="15.75" customHeight="1" x14ac:dyDescent="0.3">
      <c r="B770" s="33"/>
    </row>
    <row r="771" spans="2:2" ht="15.75" customHeight="1" x14ac:dyDescent="0.3">
      <c r="B771" s="33"/>
    </row>
    <row r="772" spans="2:2" ht="15.75" customHeight="1" x14ac:dyDescent="0.3">
      <c r="B772" s="33"/>
    </row>
    <row r="773" spans="2:2" ht="15.75" customHeight="1" x14ac:dyDescent="0.3">
      <c r="B773" s="33"/>
    </row>
    <row r="774" spans="2:2" ht="15.75" customHeight="1" x14ac:dyDescent="0.3">
      <c r="B774" s="33"/>
    </row>
    <row r="775" spans="2:2" ht="15.75" customHeight="1" x14ac:dyDescent="0.3">
      <c r="B775" s="33"/>
    </row>
    <row r="776" spans="2:2" ht="15.75" customHeight="1" x14ac:dyDescent="0.3">
      <c r="B776" s="33"/>
    </row>
    <row r="777" spans="2:2" ht="15.75" customHeight="1" x14ac:dyDescent="0.3">
      <c r="B777" s="33"/>
    </row>
    <row r="778" spans="2:2" ht="15.75" customHeight="1" x14ac:dyDescent="0.3">
      <c r="B778" s="33"/>
    </row>
    <row r="779" spans="2:2" ht="15.75" customHeight="1" x14ac:dyDescent="0.3">
      <c r="B779" s="33"/>
    </row>
    <row r="780" spans="2:2" ht="15.75" customHeight="1" x14ac:dyDescent="0.3">
      <c r="B780" s="33"/>
    </row>
    <row r="781" spans="2:2" ht="15.75" customHeight="1" x14ac:dyDescent="0.3">
      <c r="B781" s="33"/>
    </row>
    <row r="782" spans="2:2" ht="15.75" customHeight="1" x14ac:dyDescent="0.3">
      <c r="B782" s="33"/>
    </row>
    <row r="783" spans="2:2" ht="15.75" customHeight="1" x14ac:dyDescent="0.3">
      <c r="B783" s="33"/>
    </row>
    <row r="784" spans="2:2" ht="15.75" customHeight="1" x14ac:dyDescent="0.3">
      <c r="B784" s="33"/>
    </row>
    <row r="785" spans="2:2" ht="15.75" customHeight="1" x14ac:dyDescent="0.3">
      <c r="B785" s="33"/>
    </row>
    <row r="786" spans="2:2" ht="15.75" customHeight="1" x14ac:dyDescent="0.3">
      <c r="B786" s="33"/>
    </row>
    <row r="787" spans="2:2" ht="15.75" customHeight="1" x14ac:dyDescent="0.3">
      <c r="B787" s="33"/>
    </row>
    <row r="788" spans="2:2" ht="15.75" customHeight="1" x14ac:dyDescent="0.3">
      <c r="B788" s="33"/>
    </row>
    <row r="789" spans="2:2" ht="15.75" customHeight="1" x14ac:dyDescent="0.3">
      <c r="B789" s="33"/>
    </row>
    <row r="790" spans="2:2" ht="15.75" customHeight="1" x14ac:dyDescent="0.3">
      <c r="B790" s="33"/>
    </row>
    <row r="791" spans="2:2" ht="15.75" customHeight="1" x14ac:dyDescent="0.3">
      <c r="B791" s="33"/>
    </row>
    <row r="792" spans="2:2" ht="15.75" customHeight="1" x14ac:dyDescent="0.3">
      <c r="B792" s="33"/>
    </row>
    <row r="793" spans="2:2" ht="15.75" customHeight="1" x14ac:dyDescent="0.3">
      <c r="B793" s="33"/>
    </row>
    <row r="794" spans="2:2" ht="15.75" customHeight="1" x14ac:dyDescent="0.3">
      <c r="B794" s="33"/>
    </row>
    <row r="795" spans="2:2" ht="15.75" customHeight="1" x14ac:dyDescent="0.3">
      <c r="B795" s="33"/>
    </row>
    <row r="796" spans="2:2" ht="15.75" customHeight="1" x14ac:dyDescent="0.3">
      <c r="B796" s="33"/>
    </row>
    <row r="797" spans="2:2" ht="15.75" customHeight="1" x14ac:dyDescent="0.3">
      <c r="B797" s="33"/>
    </row>
    <row r="798" spans="2:2" ht="15.75" customHeight="1" x14ac:dyDescent="0.3">
      <c r="B798" s="33"/>
    </row>
    <row r="799" spans="2:2" ht="15.75" customHeight="1" x14ac:dyDescent="0.3">
      <c r="B799" s="33"/>
    </row>
    <row r="800" spans="2:2" ht="15.75" customHeight="1" x14ac:dyDescent="0.3">
      <c r="B800" s="33"/>
    </row>
    <row r="801" spans="2:2" ht="15.75" customHeight="1" x14ac:dyDescent="0.3">
      <c r="B801" s="33"/>
    </row>
    <row r="802" spans="2:2" ht="15.75" customHeight="1" x14ac:dyDescent="0.3">
      <c r="B802" s="33"/>
    </row>
    <row r="803" spans="2:2" ht="15.75" customHeight="1" x14ac:dyDescent="0.3">
      <c r="B803" s="33"/>
    </row>
    <row r="804" spans="2:2" ht="15.75" customHeight="1" x14ac:dyDescent="0.3">
      <c r="B804" s="33"/>
    </row>
    <row r="805" spans="2:2" ht="15.75" customHeight="1" x14ac:dyDescent="0.3">
      <c r="B805" s="33"/>
    </row>
    <row r="806" spans="2:2" ht="15.75" customHeight="1" x14ac:dyDescent="0.3">
      <c r="B806" s="33"/>
    </row>
    <row r="807" spans="2:2" ht="15.75" customHeight="1" x14ac:dyDescent="0.3">
      <c r="B807" s="33"/>
    </row>
    <row r="808" spans="2:2" ht="15.75" customHeight="1" x14ac:dyDescent="0.3">
      <c r="B808" s="33"/>
    </row>
    <row r="809" spans="2:2" ht="15.75" customHeight="1" x14ac:dyDescent="0.3">
      <c r="B809" s="33"/>
    </row>
    <row r="810" spans="2:2" ht="15.75" customHeight="1" x14ac:dyDescent="0.3">
      <c r="B810" s="33"/>
    </row>
    <row r="811" spans="2:2" ht="15.75" customHeight="1" x14ac:dyDescent="0.3">
      <c r="B811" s="33"/>
    </row>
    <row r="812" spans="2:2" ht="15.75" customHeight="1" x14ac:dyDescent="0.3">
      <c r="B812" s="33"/>
    </row>
    <row r="813" spans="2:2" ht="15.75" customHeight="1" x14ac:dyDescent="0.3">
      <c r="B813" s="33"/>
    </row>
    <row r="814" spans="2:2" ht="15.75" customHeight="1" x14ac:dyDescent="0.3">
      <c r="B814" s="33"/>
    </row>
    <row r="815" spans="2:2" ht="15.75" customHeight="1" x14ac:dyDescent="0.3">
      <c r="B815" s="33"/>
    </row>
    <row r="816" spans="2:2" ht="15.75" customHeight="1" x14ac:dyDescent="0.3">
      <c r="B816" s="33"/>
    </row>
    <row r="817" spans="2:2" ht="15.75" customHeight="1" x14ac:dyDescent="0.3">
      <c r="B817" s="33"/>
    </row>
    <row r="818" spans="2:2" ht="15.75" customHeight="1" x14ac:dyDescent="0.3">
      <c r="B818" s="33"/>
    </row>
    <row r="819" spans="2:2" ht="15.75" customHeight="1" x14ac:dyDescent="0.3">
      <c r="B819" s="33"/>
    </row>
    <row r="820" spans="2:2" ht="15.75" customHeight="1" x14ac:dyDescent="0.3">
      <c r="B820" s="33"/>
    </row>
    <row r="821" spans="2:2" ht="15.75" customHeight="1" x14ac:dyDescent="0.3">
      <c r="B821" s="33"/>
    </row>
    <row r="822" spans="2:2" ht="15.75" customHeight="1" x14ac:dyDescent="0.3">
      <c r="B822" s="33"/>
    </row>
    <row r="823" spans="2:2" ht="15.75" customHeight="1" x14ac:dyDescent="0.3">
      <c r="B823" s="33"/>
    </row>
    <row r="824" spans="2:2" ht="15.75" customHeight="1" x14ac:dyDescent="0.3">
      <c r="B824" s="33"/>
    </row>
    <row r="825" spans="2:2" ht="15.75" customHeight="1" x14ac:dyDescent="0.3">
      <c r="B825" s="33"/>
    </row>
    <row r="826" spans="2:2" ht="15.75" customHeight="1" x14ac:dyDescent="0.3">
      <c r="B826" s="33"/>
    </row>
    <row r="827" spans="2:2" ht="15.75" customHeight="1" x14ac:dyDescent="0.3">
      <c r="B827" s="33"/>
    </row>
    <row r="828" spans="2:2" ht="15.75" customHeight="1" x14ac:dyDescent="0.3">
      <c r="B828" s="33"/>
    </row>
    <row r="829" spans="2:2" ht="15.75" customHeight="1" x14ac:dyDescent="0.3">
      <c r="B829" s="33"/>
    </row>
    <row r="830" spans="2:2" ht="15.75" customHeight="1" x14ac:dyDescent="0.3">
      <c r="B830" s="33"/>
    </row>
    <row r="831" spans="2:2" ht="15.75" customHeight="1" x14ac:dyDescent="0.3">
      <c r="B831" s="33"/>
    </row>
    <row r="832" spans="2:2" ht="15.75" customHeight="1" x14ac:dyDescent="0.3">
      <c r="B832" s="33"/>
    </row>
    <row r="833" spans="2:2" ht="15.75" customHeight="1" x14ac:dyDescent="0.3">
      <c r="B833" s="33"/>
    </row>
    <row r="834" spans="2:2" ht="15.75" customHeight="1" x14ac:dyDescent="0.3">
      <c r="B834" s="33"/>
    </row>
    <row r="835" spans="2:2" ht="15.75" customHeight="1" x14ac:dyDescent="0.3">
      <c r="B835" s="33"/>
    </row>
    <row r="836" spans="2:2" ht="15.75" customHeight="1" x14ac:dyDescent="0.3">
      <c r="B836" s="33"/>
    </row>
    <row r="837" spans="2:2" ht="15.75" customHeight="1" x14ac:dyDescent="0.3">
      <c r="B837" s="33"/>
    </row>
    <row r="838" spans="2:2" ht="15.75" customHeight="1" x14ac:dyDescent="0.3">
      <c r="B838" s="33"/>
    </row>
    <row r="839" spans="2:2" ht="15.75" customHeight="1" x14ac:dyDescent="0.3">
      <c r="B839" s="33"/>
    </row>
    <row r="840" spans="2:2" ht="15.75" customHeight="1" x14ac:dyDescent="0.3">
      <c r="B840" s="33"/>
    </row>
    <row r="841" spans="2:2" ht="15.75" customHeight="1" x14ac:dyDescent="0.3">
      <c r="B841" s="33"/>
    </row>
    <row r="842" spans="2:2" ht="15.75" customHeight="1" x14ac:dyDescent="0.3">
      <c r="B842" s="33"/>
    </row>
    <row r="843" spans="2:2" ht="15.75" customHeight="1" x14ac:dyDescent="0.3">
      <c r="B843" s="33"/>
    </row>
    <row r="844" spans="2:2" ht="15.75" customHeight="1" x14ac:dyDescent="0.3">
      <c r="B844" s="33"/>
    </row>
    <row r="845" spans="2:2" ht="15.75" customHeight="1" x14ac:dyDescent="0.3">
      <c r="B845" s="33"/>
    </row>
    <row r="846" spans="2:2" ht="15.75" customHeight="1" x14ac:dyDescent="0.3">
      <c r="B846" s="33"/>
    </row>
    <row r="847" spans="2:2" ht="15.75" customHeight="1" x14ac:dyDescent="0.3">
      <c r="B847" s="33"/>
    </row>
    <row r="848" spans="2:2" ht="15.75" customHeight="1" x14ac:dyDescent="0.3">
      <c r="B848" s="33"/>
    </row>
    <row r="849" spans="2:2" ht="15.75" customHeight="1" x14ac:dyDescent="0.3">
      <c r="B849" s="33"/>
    </row>
    <row r="850" spans="2:2" ht="15.75" customHeight="1" x14ac:dyDescent="0.3">
      <c r="B850" s="33"/>
    </row>
    <row r="851" spans="2:2" ht="15.75" customHeight="1" x14ac:dyDescent="0.3">
      <c r="B851" s="33"/>
    </row>
    <row r="852" spans="2:2" ht="15.75" customHeight="1" x14ac:dyDescent="0.3">
      <c r="B852" s="33"/>
    </row>
    <row r="853" spans="2:2" ht="15.75" customHeight="1" x14ac:dyDescent="0.3">
      <c r="B853" s="33"/>
    </row>
    <row r="854" spans="2:2" ht="15.75" customHeight="1" x14ac:dyDescent="0.3">
      <c r="B854" s="33"/>
    </row>
    <row r="855" spans="2:2" ht="15.75" customHeight="1" x14ac:dyDescent="0.3">
      <c r="B855" s="33"/>
    </row>
    <row r="856" spans="2:2" ht="15.75" customHeight="1" x14ac:dyDescent="0.3">
      <c r="B856" s="33"/>
    </row>
    <row r="857" spans="2:2" ht="15.75" customHeight="1" x14ac:dyDescent="0.3">
      <c r="B857" s="33"/>
    </row>
    <row r="858" spans="2:2" ht="15.75" customHeight="1" x14ac:dyDescent="0.3">
      <c r="B858" s="33"/>
    </row>
    <row r="859" spans="2:2" ht="15.75" customHeight="1" x14ac:dyDescent="0.3">
      <c r="B859" s="33"/>
    </row>
    <row r="860" spans="2:2" ht="15.75" customHeight="1" x14ac:dyDescent="0.3">
      <c r="B860" s="33"/>
    </row>
    <row r="861" spans="2:2" ht="15.75" customHeight="1" x14ac:dyDescent="0.3">
      <c r="B861" s="33"/>
    </row>
    <row r="862" spans="2:2" ht="15.75" customHeight="1" x14ac:dyDescent="0.3">
      <c r="B862" s="33"/>
    </row>
    <row r="863" spans="2:2" ht="15.75" customHeight="1" x14ac:dyDescent="0.3">
      <c r="B863" s="33"/>
    </row>
    <row r="864" spans="2:2" ht="15.75" customHeight="1" x14ac:dyDescent="0.3">
      <c r="B864" s="33"/>
    </row>
    <row r="865" spans="2:2" ht="15.75" customHeight="1" x14ac:dyDescent="0.3">
      <c r="B865" s="33"/>
    </row>
    <row r="866" spans="2:2" ht="15.75" customHeight="1" x14ac:dyDescent="0.3">
      <c r="B866" s="33"/>
    </row>
    <row r="867" spans="2:2" ht="15.75" customHeight="1" x14ac:dyDescent="0.3">
      <c r="B867" s="33"/>
    </row>
    <row r="868" spans="2:2" ht="15.75" customHeight="1" x14ac:dyDescent="0.3">
      <c r="B868" s="33"/>
    </row>
    <row r="869" spans="2:2" ht="15.75" customHeight="1" x14ac:dyDescent="0.3">
      <c r="B869" s="33"/>
    </row>
    <row r="870" spans="2:2" ht="15.75" customHeight="1" x14ac:dyDescent="0.3">
      <c r="B870" s="33"/>
    </row>
    <row r="871" spans="2:2" ht="15.75" customHeight="1" x14ac:dyDescent="0.3">
      <c r="B871" s="33"/>
    </row>
    <row r="872" spans="2:2" ht="15.75" customHeight="1" x14ac:dyDescent="0.3">
      <c r="B872" s="33"/>
    </row>
    <row r="873" spans="2:2" ht="15.75" customHeight="1" x14ac:dyDescent="0.3">
      <c r="B873" s="33"/>
    </row>
    <row r="874" spans="2:2" ht="15.75" customHeight="1" x14ac:dyDescent="0.3">
      <c r="B874" s="33"/>
    </row>
    <row r="875" spans="2:2" ht="15.75" customHeight="1" x14ac:dyDescent="0.3">
      <c r="B875" s="33"/>
    </row>
    <row r="876" spans="2:2" ht="15.75" customHeight="1" x14ac:dyDescent="0.3">
      <c r="B876" s="33"/>
    </row>
    <row r="877" spans="2:2" ht="15.75" customHeight="1" x14ac:dyDescent="0.3">
      <c r="B877" s="33"/>
    </row>
    <row r="878" spans="2:2" ht="15.75" customHeight="1" x14ac:dyDescent="0.3">
      <c r="B878" s="33"/>
    </row>
    <row r="879" spans="2:2" ht="15.75" customHeight="1" x14ac:dyDescent="0.3">
      <c r="B879" s="33"/>
    </row>
    <row r="880" spans="2:2" ht="15.75" customHeight="1" x14ac:dyDescent="0.3">
      <c r="B880" s="33"/>
    </row>
    <row r="881" spans="2:2" ht="15.75" customHeight="1" x14ac:dyDescent="0.3">
      <c r="B881" s="33"/>
    </row>
    <row r="882" spans="2:2" ht="15.75" customHeight="1" x14ac:dyDescent="0.3">
      <c r="B882" s="33"/>
    </row>
    <row r="883" spans="2:2" ht="15.75" customHeight="1" x14ac:dyDescent="0.3">
      <c r="B883" s="33"/>
    </row>
    <row r="884" spans="2:2" ht="15.75" customHeight="1" x14ac:dyDescent="0.3">
      <c r="B884" s="33"/>
    </row>
    <row r="885" spans="2:2" ht="15.75" customHeight="1" x14ac:dyDescent="0.3">
      <c r="B885" s="33"/>
    </row>
    <row r="886" spans="2:2" ht="15.75" customHeight="1" x14ac:dyDescent="0.3">
      <c r="B886" s="33"/>
    </row>
    <row r="887" spans="2:2" ht="15.75" customHeight="1" x14ac:dyDescent="0.3">
      <c r="B887" s="33"/>
    </row>
    <row r="888" spans="2:2" ht="15.75" customHeight="1" x14ac:dyDescent="0.3">
      <c r="B888" s="33"/>
    </row>
    <row r="889" spans="2:2" ht="15.75" customHeight="1" x14ac:dyDescent="0.3">
      <c r="B889" s="33"/>
    </row>
    <row r="890" spans="2:2" ht="15.75" customHeight="1" x14ac:dyDescent="0.3">
      <c r="B890" s="33"/>
    </row>
    <row r="891" spans="2:2" ht="15.75" customHeight="1" x14ac:dyDescent="0.3">
      <c r="B891" s="33"/>
    </row>
    <row r="892" spans="2:2" ht="15.75" customHeight="1" x14ac:dyDescent="0.3">
      <c r="B892" s="33"/>
    </row>
    <row r="893" spans="2:2" ht="15.75" customHeight="1" x14ac:dyDescent="0.3">
      <c r="B893" s="33"/>
    </row>
    <row r="894" spans="2:2" ht="15.75" customHeight="1" x14ac:dyDescent="0.3">
      <c r="B894" s="33"/>
    </row>
    <row r="895" spans="2:2" ht="15.75" customHeight="1" x14ac:dyDescent="0.3">
      <c r="B895" s="33"/>
    </row>
    <row r="896" spans="2:2" ht="15.75" customHeight="1" x14ac:dyDescent="0.3">
      <c r="B896" s="33"/>
    </row>
    <row r="897" spans="2:2" ht="15.75" customHeight="1" x14ac:dyDescent="0.3">
      <c r="B897" s="33"/>
    </row>
    <row r="898" spans="2:2" ht="15.75" customHeight="1" x14ac:dyDescent="0.3">
      <c r="B898" s="33"/>
    </row>
    <row r="899" spans="2:2" ht="15.75" customHeight="1" x14ac:dyDescent="0.3">
      <c r="B899" s="33"/>
    </row>
    <row r="900" spans="2:2" ht="15.75" customHeight="1" x14ac:dyDescent="0.3">
      <c r="B900" s="33"/>
    </row>
    <row r="901" spans="2:2" ht="15.75" customHeight="1" x14ac:dyDescent="0.3">
      <c r="B901" s="33"/>
    </row>
    <row r="902" spans="2:2" ht="15.75" customHeight="1" x14ac:dyDescent="0.3">
      <c r="B902" s="33"/>
    </row>
    <row r="903" spans="2:2" ht="15.75" customHeight="1" x14ac:dyDescent="0.3">
      <c r="B903" s="33"/>
    </row>
    <row r="904" spans="2:2" ht="15.75" customHeight="1" x14ac:dyDescent="0.3">
      <c r="B904" s="33"/>
    </row>
    <row r="905" spans="2:2" ht="15.75" customHeight="1" x14ac:dyDescent="0.3">
      <c r="B905" s="33"/>
    </row>
    <row r="906" spans="2:2" ht="15.75" customHeight="1" x14ac:dyDescent="0.3">
      <c r="B906" s="33"/>
    </row>
    <row r="907" spans="2:2" ht="15.75" customHeight="1" x14ac:dyDescent="0.3">
      <c r="B907" s="33"/>
    </row>
    <row r="908" spans="2:2" ht="15.75" customHeight="1" x14ac:dyDescent="0.3">
      <c r="B908" s="33"/>
    </row>
    <row r="909" spans="2:2" ht="15.75" customHeight="1" x14ac:dyDescent="0.3">
      <c r="B909" s="33"/>
    </row>
    <row r="910" spans="2:2" ht="15.75" customHeight="1" x14ac:dyDescent="0.3">
      <c r="B910" s="33"/>
    </row>
    <row r="911" spans="2:2" ht="15.75" customHeight="1" x14ac:dyDescent="0.3">
      <c r="B911" s="33"/>
    </row>
    <row r="912" spans="2:2" ht="15.75" customHeight="1" x14ac:dyDescent="0.3">
      <c r="B912" s="33"/>
    </row>
    <row r="913" spans="2:2" ht="15.75" customHeight="1" x14ac:dyDescent="0.3">
      <c r="B913" s="33"/>
    </row>
    <row r="914" spans="2:2" ht="15.75" customHeight="1" x14ac:dyDescent="0.3">
      <c r="B914" s="33"/>
    </row>
    <row r="915" spans="2:2" ht="15.75" customHeight="1" x14ac:dyDescent="0.3">
      <c r="B915" s="33"/>
    </row>
    <row r="916" spans="2:2" ht="15.75" customHeight="1" x14ac:dyDescent="0.3">
      <c r="B916" s="33"/>
    </row>
    <row r="917" spans="2:2" ht="15.75" customHeight="1" x14ac:dyDescent="0.3">
      <c r="B917" s="33"/>
    </row>
    <row r="918" spans="2:2" ht="15.75" customHeight="1" x14ac:dyDescent="0.3">
      <c r="B918" s="33"/>
    </row>
    <row r="919" spans="2:2" ht="15.75" customHeight="1" x14ac:dyDescent="0.3">
      <c r="B919" s="33"/>
    </row>
    <row r="920" spans="2:2" ht="15.75" customHeight="1" x14ac:dyDescent="0.3">
      <c r="B920" s="33"/>
    </row>
    <row r="921" spans="2:2" ht="15.75" customHeight="1" x14ac:dyDescent="0.3">
      <c r="B921" s="33"/>
    </row>
    <row r="922" spans="2:2" ht="15.75" customHeight="1" x14ac:dyDescent="0.3">
      <c r="B922" s="33"/>
    </row>
    <row r="923" spans="2:2" ht="15.75" customHeight="1" x14ac:dyDescent="0.3">
      <c r="B923" s="33"/>
    </row>
    <row r="924" spans="2:2" ht="15.75" customHeight="1" x14ac:dyDescent="0.3">
      <c r="B924" s="33"/>
    </row>
    <row r="925" spans="2:2" ht="15.75" customHeight="1" x14ac:dyDescent="0.3">
      <c r="B925" s="33"/>
    </row>
    <row r="926" spans="2:2" ht="15.75" customHeight="1" x14ac:dyDescent="0.3">
      <c r="B926" s="33"/>
    </row>
    <row r="927" spans="2:2" ht="15.75" customHeight="1" x14ac:dyDescent="0.3">
      <c r="B927" s="33"/>
    </row>
    <row r="928" spans="2:2" ht="15.75" customHeight="1" x14ac:dyDescent="0.3">
      <c r="B928" s="33"/>
    </row>
    <row r="929" spans="2:2" ht="15.75" customHeight="1" x14ac:dyDescent="0.3">
      <c r="B929" s="33"/>
    </row>
    <row r="930" spans="2:2" ht="15.75" customHeight="1" x14ac:dyDescent="0.3">
      <c r="B930" s="33"/>
    </row>
    <row r="931" spans="2:2" ht="15.75" customHeight="1" x14ac:dyDescent="0.3">
      <c r="B931" s="33"/>
    </row>
    <row r="932" spans="2:2" ht="15.75" customHeight="1" x14ac:dyDescent="0.3">
      <c r="B932" s="33"/>
    </row>
    <row r="933" spans="2:2" ht="15.75" customHeight="1" x14ac:dyDescent="0.3">
      <c r="B933" s="33"/>
    </row>
    <row r="934" spans="2:2" ht="15.75" customHeight="1" x14ac:dyDescent="0.3">
      <c r="B934" s="33"/>
    </row>
    <row r="935" spans="2:2" ht="15.75" customHeight="1" x14ac:dyDescent="0.3">
      <c r="B935" s="33"/>
    </row>
    <row r="936" spans="2:2" ht="15.75" customHeight="1" x14ac:dyDescent="0.3">
      <c r="B936" s="33"/>
    </row>
    <row r="937" spans="2:2" ht="15.75" customHeight="1" x14ac:dyDescent="0.3">
      <c r="B937" s="33"/>
    </row>
    <row r="938" spans="2:2" ht="15.75" customHeight="1" x14ac:dyDescent="0.3">
      <c r="B938" s="33"/>
    </row>
    <row r="939" spans="2:2" ht="15.75" customHeight="1" x14ac:dyDescent="0.3">
      <c r="B939" s="33"/>
    </row>
    <row r="940" spans="2:2" ht="15.75" customHeight="1" x14ac:dyDescent="0.3">
      <c r="B940" s="33"/>
    </row>
    <row r="941" spans="2:2" ht="15.75" customHeight="1" x14ac:dyDescent="0.3">
      <c r="B941" s="33"/>
    </row>
    <row r="942" spans="2:2" ht="15.75" customHeight="1" x14ac:dyDescent="0.3">
      <c r="B942" s="33"/>
    </row>
    <row r="943" spans="2:2" ht="15.75" customHeight="1" x14ac:dyDescent="0.3">
      <c r="B943" s="33"/>
    </row>
    <row r="944" spans="2:2" ht="15.75" customHeight="1" x14ac:dyDescent="0.3">
      <c r="B944" s="33"/>
    </row>
    <row r="945" spans="2:2" ht="15.75" customHeight="1" x14ac:dyDescent="0.3">
      <c r="B945" s="33"/>
    </row>
    <row r="946" spans="2:2" ht="15.75" customHeight="1" x14ac:dyDescent="0.3">
      <c r="B946" s="33"/>
    </row>
    <row r="947" spans="2:2" ht="15.75" customHeight="1" x14ac:dyDescent="0.3">
      <c r="B947" s="33"/>
    </row>
    <row r="948" spans="2:2" ht="15.75" customHeight="1" x14ac:dyDescent="0.3">
      <c r="B948" s="33"/>
    </row>
    <row r="949" spans="2:2" ht="15.75" customHeight="1" x14ac:dyDescent="0.3">
      <c r="B949" s="33"/>
    </row>
    <row r="950" spans="2:2" ht="15.75" customHeight="1" x14ac:dyDescent="0.3">
      <c r="B950" s="33"/>
    </row>
    <row r="951" spans="2:2" ht="15.75" customHeight="1" x14ac:dyDescent="0.3">
      <c r="B951" s="33"/>
    </row>
    <row r="952" spans="2:2" ht="15.75" customHeight="1" x14ac:dyDescent="0.3">
      <c r="B952" s="33"/>
    </row>
    <row r="953" spans="2:2" ht="15.75" customHeight="1" x14ac:dyDescent="0.3">
      <c r="B953" s="33"/>
    </row>
    <row r="954" spans="2:2" ht="15.75" customHeight="1" x14ac:dyDescent="0.3">
      <c r="B954" s="33"/>
    </row>
    <row r="955" spans="2:2" ht="15.75" customHeight="1" x14ac:dyDescent="0.3">
      <c r="B955" s="33"/>
    </row>
    <row r="956" spans="2:2" ht="15.75" customHeight="1" x14ac:dyDescent="0.3">
      <c r="B956" s="33"/>
    </row>
    <row r="957" spans="2:2" ht="15.75" customHeight="1" x14ac:dyDescent="0.3">
      <c r="B957" s="33"/>
    </row>
    <row r="958" spans="2:2" ht="15.75" customHeight="1" x14ac:dyDescent="0.3">
      <c r="B958" s="33"/>
    </row>
    <row r="959" spans="2:2" ht="15.75" customHeight="1" x14ac:dyDescent="0.3">
      <c r="B959" s="33"/>
    </row>
    <row r="960" spans="2:2" ht="15.75" customHeight="1" x14ac:dyDescent="0.3">
      <c r="B960" s="33"/>
    </row>
    <row r="961" spans="2:2" ht="15.75" customHeight="1" x14ac:dyDescent="0.3">
      <c r="B961" s="33"/>
    </row>
    <row r="962" spans="2:2" ht="15.75" customHeight="1" x14ac:dyDescent="0.3">
      <c r="B962" s="33"/>
    </row>
    <row r="963" spans="2:2" ht="15.75" customHeight="1" x14ac:dyDescent="0.3">
      <c r="B963" s="33"/>
    </row>
    <row r="964" spans="2:2" ht="15.75" customHeight="1" x14ac:dyDescent="0.3">
      <c r="B964" s="33"/>
    </row>
    <row r="965" spans="2:2" ht="15.75" customHeight="1" x14ac:dyDescent="0.3">
      <c r="B965" s="33"/>
    </row>
    <row r="966" spans="2:2" ht="15.75" customHeight="1" x14ac:dyDescent="0.3">
      <c r="B966" s="33"/>
    </row>
    <row r="967" spans="2:2" ht="15.75" customHeight="1" x14ac:dyDescent="0.3">
      <c r="B967" s="33"/>
    </row>
    <row r="968" spans="2:2" ht="15.75" customHeight="1" x14ac:dyDescent="0.3">
      <c r="B968" s="33"/>
    </row>
    <row r="969" spans="2:2" ht="15.75" customHeight="1" x14ac:dyDescent="0.3">
      <c r="B969" s="33"/>
    </row>
    <row r="970" spans="2:2" ht="15.75" customHeight="1" x14ac:dyDescent="0.3">
      <c r="B970" s="33"/>
    </row>
    <row r="971" spans="2:2" ht="15.75" customHeight="1" x14ac:dyDescent="0.3">
      <c r="B971" s="33"/>
    </row>
    <row r="972" spans="2:2" ht="15.75" customHeight="1" x14ac:dyDescent="0.3">
      <c r="B972" s="33"/>
    </row>
    <row r="973" spans="2:2" ht="15.75" customHeight="1" x14ac:dyDescent="0.3">
      <c r="B973" s="33"/>
    </row>
    <row r="974" spans="2:2" ht="15.75" customHeight="1" x14ac:dyDescent="0.3">
      <c r="B974" s="33"/>
    </row>
    <row r="975" spans="2:2" ht="15.75" customHeight="1" x14ac:dyDescent="0.3">
      <c r="B975" s="33"/>
    </row>
    <row r="976" spans="2:2" ht="15.75" customHeight="1" x14ac:dyDescent="0.3">
      <c r="B976" s="33"/>
    </row>
    <row r="977" spans="2:2" ht="15.75" customHeight="1" x14ac:dyDescent="0.3">
      <c r="B977" s="33"/>
    </row>
    <row r="978" spans="2:2" ht="15.75" customHeight="1" x14ac:dyDescent="0.3">
      <c r="B978" s="33"/>
    </row>
    <row r="979" spans="2:2" ht="15.75" customHeight="1" x14ac:dyDescent="0.3">
      <c r="B979" s="33"/>
    </row>
    <row r="980" spans="2:2" ht="15.75" customHeight="1" x14ac:dyDescent="0.3">
      <c r="B980" s="33"/>
    </row>
    <row r="981" spans="2:2" ht="15.75" customHeight="1" x14ac:dyDescent="0.3">
      <c r="B981" s="33"/>
    </row>
    <row r="982" spans="2:2" ht="15.75" customHeight="1" x14ac:dyDescent="0.3">
      <c r="B982" s="33"/>
    </row>
    <row r="983" spans="2:2" ht="15.75" customHeight="1" x14ac:dyDescent="0.3">
      <c r="B983" s="33"/>
    </row>
    <row r="984" spans="2:2" ht="15.75" customHeight="1" x14ac:dyDescent="0.3">
      <c r="B984" s="33"/>
    </row>
    <row r="985" spans="2:2" ht="15.75" customHeight="1" x14ac:dyDescent="0.3">
      <c r="B985" s="33"/>
    </row>
    <row r="986" spans="2:2" ht="15.75" customHeight="1" x14ac:dyDescent="0.3">
      <c r="B986" s="33"/>
    </row>
    <row r="987" spans="2:2" ht="15.75" customHeight="1" x14ac:dyDescent="0.3">
      <c r="B987" s="33"/>
    </row>
    <row r="988" spans="2:2" ht="15.75" customHeight="1" x14ac:dyDescent="0.3">
      <c r="B988" s="33"/>
    </row>
    <row r="989" spans="2:2" ht="15.75" customHeight="1" x14ac:dyDescent="0.3">
      <c r="B989" s="33"/>
    </row>
    <row r="990" spans="2:2" ht="15.75" customHeight="1" x14ac:dyDescent="0.3">
      <c r="B990" s="33"/>
    </row>
    <row r="991" spans="2:2" ht="15.75" customHeight="1" x14ac:dyDescent="0.3">
      <c r="B991" s="33"/>
    </row>
    <row r="992" spans="2:2" ht="15.75" customHeight="1" x14ac:dyDescent="0.3">
      <c r="B992" s="33"/>
    </row>
    <row r="993" spans="2:2" ht="15.75" customHeight="1" x14ac:dyDescent="0.3">
      <c r="B993" s="33"/>
    </row>
    <row r="994" spans="2:2" ht="15.75" customHeight="1" x14ac:dyDescent="0.3">
      <c r="B994" s="33"/>
    </row>
    <row r="995" spans="2:2" ht="15.75" customHeight="1" x14ac:dyDescent="0.3">
      <c r="B995" s="33"/>
    </row>
    <row r="996" spans="2:2" ht="15.75" customHeight="1" x14ac:dyDescent="0.3">
      <c r="B996" s="33"/>
    </row>
    <row r="997" spans="2:2" ht="15.75" customHeight="1" x14ac:dyDescent="0.3">
      <c r="B997" s="33"/>
    </row>
    <row r="998" spans="2:2" ht="15.75" customHeight="1" x14ac:dyDescent="0.3">
      <c r="B998" s="33"/>
    </row>
    <row r="999" spans="2:2" ht="15.75" customHeight="1" x14ac:dyDescent="0.3">
      <c r="B999" s="33"/>
    </row>
    <row r="1000" spans="2:2" ht="15.75" customHeight="1" x14ac:dyDescent="0.3">
      <c r="B1000" s="33"/>
    </row>
  </sheetData>
  <autoFilter ref="A2:Q17" xr:uid="{00000000-0009-0000-0000-000004000000}"/>
  <mergeCells count="1">
    <mergeCell ref="B1:E1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99"/>
  <sheetViews>
    <sheetView workbookViewId="0">
      <selection activeCell="D16" sqref="A1:D16"/>
    </sheetView>
  </sheetViews>
  <sheetFormatPr baseColWidth="10" defaultColWidth="14.44140625" defaultRowHeight="15" customHeight="1" x14ac:dyDescent="0.3"/>
  <cols>
    <col min="1" max="1" width="13.33203125" customWidth="1"/>
    <col min="2" max="2" width="34.109375" customWidth="1"/>
    <col min="3" max="3" width="28.33203125" customWidth="1"/>
    <col min="4" max="4" width="18.6640625" customWidth="1"/>
    <col min="5" max="5" width="4.109375" customWidth="1"/>
    <col min="6" max="6" width="13" customWidth="1"/>
    <col min="7" max="7" width="27.6640625" customWidth="1"/>
    <col min="8" max="8" width="9.5546875" customWidth="1"/>
    <col min="9" max="9" width="16.109375" customWidth="1"/>
    <col min="10" max="10" width="10" customWidth="1"/>
    <col min="11" max="12" width="10.6640625" customWidth="1"/>
    <col min="13" max="13" width="17.88671875" customWidth="1"/>
    <col min="15" max="15" width="14.5546875" customWidth="1"/>
  </cols>
  <sheetData>
    <row r="1" spans="1:16" ht="15" customHeight="1" x14ac:dyDescent="0.3">
      <c r="A1" s="20" t="s">
        <v>410</v>
      </c>
      <c r="B1" s="181" t="str">
        <f>'Formato Cronograma'!C8</f>
        <v>Atención diferencial y comunicación efectiva</v>
      </c>
      <c r="C1" s="182"/>
      <c r="D1" s="182"/>
    </row>
    <row r="2" spans="1:16" ht="15" customHeight="1" x14ac:dyDescent="0.3">
      <c r="A2" s="20" t="s">
        <v>411</v>
      </c>
      <c r="B2" s="21" t="s">
        <v>412</v>
      </c>
      <c r="C2" s="22" t="s">
        <v>413</v>
      </c>
      <c r="D2" s="23" t="s">
        <v>414</v>
      </c>
      <c r="E2" s="24"/>
      <c r="F2" s="25"/>
      <c r="G2" s="25"/>
      <c r="H2" s="25"/>
      <c r="I2" s="25"/>
      <c r="J2" s="25"/>
      <c r="K2" s="25"/>
      <c r="L2" s="25"/>
      <c r="M2" s="25"/>
      <c r="N2" s="24"/>
      <c r="O2" s="24"/>
      <c r="P2" s="24"/>
    </row>
    <row r="3" spans="1:16" ht="15" customHeight="1" x14ac:dyDescent="0.3">
      <c r="A3" s="26">
        <v>1</v>
      </c>
      <c r="B3" s="27">
        <v>46097</v>
      </c>
      <c r="C3" s="26" t="s">
        <v>415</v>
      </c>
      <c r="D3" s="26" t="s">
        <v>421</v>
      </c>
      <c r="E3" s="24"/>
      <c r="F3" s="28"/>
      <c r="G3" s="28"/>
      <c r="H3" s="25"/>
      <c r="I3" s="28"/>
      <c r="J3" s="28"/>
      <c r="K3" s="28"/>
      <c r="L3" s="28"/>
      <c r="M3" s="28"/>
      <c r="N3" s="24"/>
      <c r="O3" s="24"/>
      <c r="P3" s="24"/>
    </row>
    <row r="4" spans="1:16" ht="15" customHeight="1" x14ac:dyDescent="0.3">
      <c r="A4" s="26">
        <v>2</v>
      </c>
      <c r="B4" s="27">
        <v>46101</v>
      </c>
      <c r="C4" s="26" t="s">
        <v>417</v>
      </c>
      <c r="D4" s="26" t="s">
        <v>422</v>
      </c>
      <c r="E4" s="24"/>
      <c r="F4" s="29"/>
      <c r="G4" s="30"/>
      <c r="H4" s="29"/>
      <c r="I4" s="29"/>
      <c r="J4" s="29"/>
      <c r="K4" s="31"/>
      <c r="L4" s="31"/>
      <c r="M4" s="29"/>
      <c r="N4" s="24"/>
      <c r="O4" s="24"/>
      <c r="P4" s="24"/>
    </row>
    <row r="5" spans="1:16" ht="15" customHeight="1" x14ac:dyDescent="0.3">
      <c r="A5" s="26">
        <v>3</v>
      </c>
      <c r="B5" s="27">
        <v>46108</v>
      </c>
      <c r="C5" s="26" t="s">
        <v>417</v>
      </c>
      <c r="D5" s="26" t="s">
        <v>422</v>
      </c>
      <c r="E5" s="24"/>
      <c r="F5" s="29"/>
      <c r="G5" s="30"/>
      <c r="H5" s="29"/>
      <c r="I5" s="29"/>
      <c r="J5" s="29"/>
      <c r="K5" s="31"/>
      <c r="L5" s="31"/>
      <c r="M5" s="29"/>
      <c r="N5" s="24"/>
      <c r="O5" s="24"/>
      <c r="P5" s="24"/>
    </row>
    <row r="6" spans="1:16" ht="15" customHeight="1" x14ac:dyDescent="0.3">
      <c r="A6" s="26">
        <v>4</v>
      </c>
      <c r="B6" s="27">
        <v>46118</v>
      </c>
      <c r="C6" s="26" t="s">
        <v>417</v>
      </c>
      <c r="D6" s="26" t="s">
        <v>422</v>
      </c>
      <c r="E6" s="24"/>
      <c r="F6" s="29"/>
      <c r="G6" s="30"/>
      <c r="H6" s="29"/>
      <c r="I6" s="29"/>
      <c r="J6" s="29"/>
      <c r="K6" s="31"/>
      <c r="L6" s="31"/>
      <c r="M6" s="29"/>
      <c r="N6" s="24"/>
      <c r="O6" s="24"/>
      <c r="P6" s="24"/>
    </row>
    <row r="7" spans="1:16" ht="15" customHeight="1" x14ac:dyDescent="0.3">
      <c r="A7" s="26">
        <v>5</v>
      </c>
      <c r="B7" s="27">
        <v>46120</v>
      </c>
      <c r="C7" s="26" t="s">
        <v>417</v>
      </c>
      <c r="D7" s="26" t="s">
        <v>422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</row>
    <row r="8" spans="1:16" ht="15" customHeight="1" x14ac:dyDescent="0.3">
      <c r="A8" s="26">
        <v>6</v>
      </c>
      <c r="B8" s="27">
        <v>46122</v>
      </c>
      <c r="C8" s="26" t="s">
        <v>417</v>
      </c>
      <c r="D8" s="26" t="s">
        <v>422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spans="1:16" ht="15" customHeight="1" x14ac:dyDescent="0.3">
      <c r="A9" s="26">
        <v>7</v>
      </c>
      <c r="B9" s="27">
        <v>46125</v>
      </c>
      <c r="C9" s="26" t="s">
        <v>417</v>
      </c>
      <c r="D9" s="26" t="s">
        <v>422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 ht="14.4" x14ac:dyDescent="0.3">
      <c r="A10" s="26">
        <v>8</v>
      </c>
      <c r="B10" s="27">
        <v>46132</v>
      </c>
      <c r="C10" s="26" t="s">
        <v>417</v>
      </c>
      <c r="D10" s="26" t="s">
        <v>422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6" ht="14.4" x14ac:dyDescent="0.3">
      <c r="A11" s="26">
        <v>9</v>
      </c>
      <c r="B11" s="27">
        <v>46134</v>
      </c>
      <c r="C11" s="26" t="s">
        <v>417</v>
      </c>
      <c r="D11" s="26" t="s">
        <v>422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spans="1:16" ht="14.4" x14ac:dyDescent="0.3">
      <c r="A12" s="26">
        <v>10</v>
      </c>
      <c r="B12" s="27">
        <v>46136</v>
      </c>
      <c r="C12" s="26" t="s">
        <v>417</v>
      </c>
      <c r="D12" s="26" t="s">
        <v>422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spans="1:16" ht="14.4" x14ac:dyDescent="0.3">
      <c r="A13" s="26">
        <v>11</v>
      </c>
      <c r="B13" s="27">
        <v>46139</v>
      </c>
      <c r="C13" s="26" t="s">
        <v>417</v>
      </c>
      <c r="D13" s="26" t="s">
        <v>422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1:16" ht="14.4" x14ac:dyDescent="0.3">
      <c r="A14" s="26">
        <v>12</v>
      </c>
      <c r="B14" s="27">
        <v>46146</v>
      </c>
      <c r="C14" s="26" t="s">
        <v>417</v>
      </c>
      <c r="D14" s="26" t="s">
        <v>422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</row>
    <row r="15" spans="1:16" ht="14.4" x14ac:dyDescent="0.3">
      <c r="A15" s="26">
        <v>13</v>
      </c>
      <c r="B15" s="27">
        <v>46148</v>
      </c>
      <c r="C15" s="26" t="s">
        <v>417</v>
      </c>
      <c r="D15" s="26" t="s">
        <v>422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</row>
    <row r="16" spans="1:16" ht="14.4" x14ac:dyDescent="0.3">
      <c r="A16" s="26">
        <v>14</v>
      </c>
      <c r="B16" s="27">
        <v>46150</v>
      </c>
      <c r="C16" s="26" t="s">
        <v>415</v>
      </c>
      <c r="D16" s="26" t="s">
        <v>424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6" ht="14.4" x14ac:dyDescent="0.3">
      <c r="A17" s="24"/>
      <c r="B17" s="32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</row>
    <row r="18" spans="1:16" ht="14.4" x14ac:dyDescent="0.3">
      <c r="A18" s="24"/>
      <c r="B18" s="32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</row>
    <row r="19" spans="1:16" ht="14.4" x14ac:dyDescent="0.3">
      <c r="A19" s="24"/>
      <c r="B19" s="32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spans="1:16" ht="15.75" customHeight="1" x14ac:dyDescent="0.3">
      <c r="A20" s="24"/>
      <c r="B20" s="32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 ht="15.75" customHeight="1" x14ac:dyDescent="0.3">
      <c r="A21" s="24"/>
      <c r="B21" s="32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spans="1:16" ht="15.75" customHeight="1" x14ac:dyDescent="0.3">
      <c r="A22" s="24"/>
      <c r="B22" s="32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</row>
    <row r="23" spans="1:16" ht="15.75" customHeight="1" x14ac:dyDescent="0.3">
      <c r="A23" s="24"/>
      <c r="B23" s="32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4" spans="1:16" ht="15.75" customHeight="1" x14ac:dyDescent="0.3">
      <c r="A24" s="24"/>
      <c r="B24" s="32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  <row r="25" spans="1:16" ht="15.75" customHeight="1" x14ac:dyDescent="0.3">
      <c r="A25" s="24"/>
      <c r="B25" s="32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16" ht="15.75" customHeight="1" x14ac:dyDescent="0.3">
      <c r="A26" s="24"/>
      <c r="B26" s="32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</row>
    <row r="27" spans="1:16" ht="15.75" customHeight="1" x14ac:dyDescent="0.3">
      <c r="A27" s="24"/>
      <c r="B27" s="32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</row>
    <row r="28" spans="1:16" ht="15.75" customHeight="1" x14ac:dyDescent="0.3">
      <c r="A28" s="24"/>
      <c r="B28" s="32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</row>
    <row r="29" spans="1:16" ht="15.75" customHeight="1" x14ac:dyDescent="0.3">
      <c r="A29" s="24"/>
      <c r="B29" s="32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</row>
    <row r="30" spans="1:16" ht="15.75" customHeight="1" x14ac:dyDescent="0.3">
      <c r="A30" s="24"/>
      <c r="B30" s="32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</row>
    <row r="31" spans="1:16" ht="15.75" customHeight="1" x14ac:dyDescent="0.3">
      <c r="A31" s="24"/>
      <c r="B31" s="32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</row>
    <row r="32" spans="1:16" ht="15.75" customHeight="1" x14ac:dyDescent="0.3">
      <c r="A32" s="24"/>
      <c r="B32" s="32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</row>
    <row r="33" spans="1:16" ht="15.75" customHeight="1" x14ac:dyDescent="0.3">
      <c r="A33" s="24"/>
      <c r="B33" s="32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</row>
    <row r="34" spans="1:16" ht="15.75" customHeight="1" x14ac:dyDescent="0.3">
      <c r="A34" s="24"/>
      <c r="B34" s="32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spans="1:16" ht="15.75" customHeight="1" x14ac:dyDescent="0.3">
      <c r="A35" s="24"/>
      <c r="B35" s="32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</row>
    <row r="36" spans="1:16" ht="15.75" customHeight="1" x14ac:dyDescent="0.3">
      <c r="A36" s="24"/>
      <c r="B36" s="32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</row>
    <row r="37" spans="1:16" ht="15.75" customHeight="1" x14ac:dyDescent="0.3">
      <c r="A37" s="24"/>
      <c r="B37" s="32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</row>
    <row r="38" spans="1:16" ht="15.75" customHeight="1" x14ac:dyDescent="0.3">
      <c r="A38" s="24"/>
      <c r="B38" s="32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</row>
    <row r="39" spans="1:16" ht="15.75" customHeight="1" x14ac:dyDescent="0.3">
      <c r="A39" s="24"/>
      <c r="B39" s="32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</row>
    <row r="40" spans="1:16" ht="15.75" customHeight="1" x14ac:dyDescent="0.3">
      <c r="A40" s="24"/>
      <c r="B40" s="32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</row>
    <row r="41" spans="1:16" ht="15.75" customHeight="1" x14ac:dyDescent="0.3">
      <c r="A41" s="24"/>
      <c r="B41" s="32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</row>
    <row r="42" spans="1:16" ht="15.75" customHeight="1" x14ac:dyDescent="0.3">
      <c r="A42" s="24"/>
      <c r="B42" s="32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</row>
    <row r="43" spans="1:16" ht="15.75" customHeight="1" x14ac:dyDescent="0.3">
      <c r="A43" s="24"/>
      <c r="B43" s="32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</row>
    <row r="44" spans="1:16" ht="15.75" customHeight="1" x14ac:dyDescent="0.3">
      <c r="A44" s="24"/>
      <c r="B44" s="32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</row>
    <row r="45" spans="1:16" ht="15.75" customHeight="1" x14ac:dyDescent="0.3">
      <c r="A45" s="24"/>
      <c r="B45" s="32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</row>
    <row r="46" spans="1:16" ht="15.75" customHeight="1" x14ac:dyDescent="0.3">
      <c r="A46" s="24"/>
      <c r="B46" s="32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</row>
    <row r="47" spans="1:16" ht="15.75" customHeight="1" x14ac:dyDescent="0.3">
      <c r="A47" s="24"/>
      <c r="B47" s="32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</row>
    <row r="48" spans="1:16" ht="15.75" customHeight="1" x14ac:dyDescent="0.3">
      <c r="A48" s="24"/>
      <c r="B48" s="32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</row>
    <row r="49" spans="1:16" ht="15.75" customHeight="1" x14ac:dyDescent="0.3">
      <c r="A49" s="24"/>
      <c r="B49" s="32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</row>
    <row r="50" spans="1:16" ht="15.75" customHeight="1" x14ac:dyDescent="0.3">
      <c r="A50" s="24"/>
      <c r="B50" s="32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</row>
    <row r="51" spans="1:16" ht="15.75" customHeight="1" x14ac:dyDescent="0.3">
      <c r="A51" s="24"/>
      <c r="B51" s="32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</row>
    <row r="52" spans="1:16" ht="15.75" customHeight="1" x14ac:dyDescent="0.3">
      <c r="A52" s="24"/>
      <c r="B52" s="32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</row>
    <row r="53" spans="1:16" ht="15.75" customHeight="1" x14ac:dyDescent="0.3">
      <c r="A53" s="24"/>
      <c r="B53" s="32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</row>
    <row r="54" spans="1:16" ht="15.75" customHeight="1" x14ac:dyDescent="0.3">
      <c r="A54" s="24"/>
      <c r="B54" s="32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1:16" ht="15.75" customHeight="1" x14ac:dyDescent="0.3">
      <c r="A55" s="24"/>
      <c r="B55" s="32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</row>
    <row r="56" spans="1:16" ht="15.75" customHeight="1" x14ac:dyDescent="0.3">
      <c r="A56" s="24"/>
      <c r="B56" s="32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</row>
    <row r="57" spans="1:16" ht="15.75" customHeight="1" x14ac:dyDescent="0.3">
      <c r="A57" s="24"/>
      <c r="B57" s="32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</row>
    <row r="58" spans="1:16" ht="15.75" customHeight="1" x14ac:dyDescent="0.3">
      <c r="A58" s="24"/>
      <c r="B58" s="32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</row>
    <row r="59" spans="1:16" ht="15.75" customHeight="1" x14ac:dyDescent="0.3">
      <c r="A59" s="24"/>
      <c r="B59" s="32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</row>
    <row r="60" spans="1:16" ht="15.75" customHeight="1" x14ac:dyDescent="0.3">
      <c r="A60" s="24"/>
      <c r="B60" s="32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</row>
    <row r="61" spans="1:16" ht="15.75" customHeight="1" x14ac:dyDescent="0.3">
      <c r="A61" s="24"/>
      <c r="B61" s="32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</row>
    <row r="62" spans="1:16" ht="15.75" customHeight="1" x14ac:dyDescent="0.3">
      <c r="A62" s="24"/>
      <c r="B62" s="32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</row>
    <row r="63" spans="1:16" ht="15.75" customHeight="1" x14ac:dyDescent="0.3">
      <c r="A63" s="24"/>
      <c r="B63" s="32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</row>
    <row r="64" spans="1:16" ht="15.75" customHeight="1" x14ac:dyDescent="0.3">
      <c r="A64" s="24"/>
      <c r="B64" s="32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</row>
    <row r="65" spans="1:16" ht="15.75" customHeight="1" x14ac:dyDescent="0.3">
      <c r="A65" s="24"/>
      <c r="B65" s="32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</row>
    <row r="66" spans="1:16" ht="15.75" customHeight="1" x14ac:dyDescent="0.3">
      <c r="A66" s="24"/>
      <c r="B66" s="32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</row>
    <row r="67" spans="1:16" ht="15.75" customHeight="1" x14ac:dyDescent="0.3">
      <c r="A67" s="24"/>
      <c r="B67" s="32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</row>
    <row r="68" spans="1:16" ht="15.75" customHeight="1" x14ac:dyDescent="0.3">
      <c r="A68" s="24"/>
      <c r="B68" s="32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</row>
    <row r="69" spans="1:16" ht="15.75" customHeight="1" x14ac:dyDescent="0.3">
      <c r="A69" s="24"/>
      <c r="B69" s="32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</row>
    <row r="70" spans="1:16" ht="15.75" customHeight="1" x14ac:dyDescent="0.3">
      <c r="A70" s="24"/>
      <c r="B70" s="32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</row>
    <row r="71" spans="1:16" ht="15.75" customHeight="1" x14ac:dyDescent="0.3">
      <c r="A71" s="24"/>
      <c r="B71" s="32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</row>
    <row r="72" spans="1:16" ht="15.75" customHeight="1" x14ac:dyDescent="0.3">
      <c r="A72" s="24"/>
      <c r="B72" s="32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</row>
    <row r="73" spans="1:16" ht="15.75" customHeight="1" x14ac:dyDescent="0.3">
      <c r="A73" s="24"/>
      <c r="B73" s="32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</row>
    <row r="74" spans="1:16" ht="15.75" customHeight="1" x14ac:dyDescent="0.3">
      <c r="A74" s="24"/>
      <c r="B74" s="32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</row>
    <row r="75" spans="1:16" ht="15.75" customHeight="1" x14ac:dyDescent="0.3">
      <c r="A75" s="24"/>
      <c r="B75" s="32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</row>
    <row r="76" spans="1:16" ht="15.75" customHeight="1" x14ac:dyDescent="0.3">
      <c r="A76" s="24"/>
      <c r="B76" s="32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</row>
    <row r="77" spans="1:16" ht="15.75" customHeight="1" x14ac:dyDescent="0.3">
      <c r="A77" s="24"/>
      <c r="B77" s="32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</row>
    <row r="78" spans="1:16" ht="15.75" customHeight="1" x14ac:dyDescent="0.3">
      <c r="A78" s="24"/>
      <c r="B78" s="32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</row>
    <row r="79" spans="1:16" ht="15.75" customHeight="1" x14ac:dyDescent="0.3">
      <c r="A79" s="24"/>
      <c r="B79" s="32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</row>
    <row r="80" spans="1:16" ht="15.75" customHeight="1" x14ac:dyDescent="0.3">
      <c r="A80" s="24"/>
      <c r="B80" s="32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</row>
    <row r="81" spans="1:16" ht="15.75" customHeight="1" x14ac:dyDescent="0.3">
      <c r="A81" s="24"/>
      <c r="B81" s="32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</row>
    <row r="82" spans="1:16" ht="15.75" customHeight="1" x14ac:dyDescent="0.3">
      <c r="A82" s="24"/>
      <c r="B82" s="32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</row>
    <row r="83" spans="1:16" ht="15.75" customHeight="1" x14ac:dyDescent="0.3">
      <c r="A83" s="24"/>
      <c r="B83" s="32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</row>
    <row r="84" spans="1:16" ht="15.75" customHeight="1" x14ac:dyDescent="0.3">
      <c r="A84" s="24"/>
      <c r="B84" s="32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</row>
    <row r="85" spans="1:16" ht="15.75" customHeight="1" x14ac:dyDescent="0.3">
      <c r="A85" s="24"/>
      <c r="B85" s="32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</row>
    <row r="86" spans="1:16" ht="15.75" customHeight="1" x14ac:dyDescent="0.3">
      <c r="A86" s="24"/>
      <c r="B86" s="32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</row>
    <row r="87" spans="1:16" ht="15.75" customHeight="1" x14ac:dyDescent="0.3">
      <c r="A87" s="24"/>
      <c r="B87" s="32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</row>
    <row r="88" spans="1:16" ht="15.75" customHeight="1" x14ac:dyDescent="0.3">
      <c r="A88" s="24"/>
      <c r="B88" s="32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</row>
    <row r="89" spans="1:16" ht="15.75" customHeight="1" x14ac:dyDescent="0.3">
      <c r="A89" s="24"/>
      <c r="B89" s="32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</row>
    <row r="90" spans="1:16" ht="15.75" customHeight="1" x14ac:dyDescent="0.3">
      <c r="A90" s="24"/>
      <c r="B90" s="32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</row>
    <row r="91" spans="1:16" ht="15.75" customHeight="1" x14ac:dyDescent="0.3">
      <c r="A91" s="24"/>
      <c r="B91" s="32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</row>
    <row r="92" spans="1:16" ht="15.75" customHeight="1" x14ac:dyDescent="0.3">
      <c r="A92" s="24"/>
      <c r="B92" s="32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</row>
    <row r="93" spans="1:16" ht="15.75" customHeight="1" x14ac:dyDescent="0.3">
      <c r="A93" s="24"/>
      <c r="B93" s="32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</row>
    <row r="94" spans="1:16" ht="15.75" customHeight="1" x14ac:dyDescent="0.3">
      <c r="A94" s="24"/>
      <c r="B94" s="32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</row>
    <row r="95" spans="1:16" ht="15.75" customHeight="1" x14ac:dyDescent="0.3">
      <c r="A95" s="24"/>
      <c r="B95" s="32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</row>
    <row r="96" spans="1:16" ht="15.75" customHeight="1" x14ac:dyDescent="0.3">
      <c r="A96" s="24"/>
      <c r="B96" s="32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</row>
    <row r="97" spans="1:16" ht="15.75" customHeight="1" x14ac:dyDescent="0.3">
      <c r="A97" s="24"/>
      <c r="B97" s="32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</row>
    <row r="98" spans="1:16" ht="15.75" customHeight="1" x14ac:dyDescent="0.3">
      <c r="A98" s="24"/>
      <c r="B98" s="32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</row>
    <row r="99" spans="1:16" ht="15.75" customHeight="1" x14ac:dyDescent="0.3">
      <c r="A99" s="24"/>
      <c r="B99" s="32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</row>
    <row r="100" spans="1:16" ht="15.75" customHeight="1" x14ac:dyDescent="0.3">
      <c r="A100" s="24"/>
      <c r="B100" s="32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</row>
    <row r="101" spans="1:16" ht="15.75" customHeight="1" x14ac:dyDescent="0.3">
      <c r="A101" s="24"/>
      <c r="B101" s="32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</row>
    <row r="102" spans="1:16" ht="15.75" customHeight="1" x14ac:dyDescent="0.3">
      <c r="A102" s="24"/>
      <c r="B102" s="32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</row>
    <row r="103" spans="1:16" ht="15.75" customHeight="1" x14ac:dyDescent="0.3">
      <c r="A103" s="24"/>
      <c r="B103" s="32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</row>
    <row r="104" spans="1:16" ht="15.75" customHeight="1" x14ac:dyDescent="0.3">
      <c r="A104" s="24"/>
      <c r="B104" s="32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</row>
    <row r="105" spans="1:16" ht="15.75" customHeight="1" x14ac:dyDescent="0.3">
      <c r="A105" s="24"/>
      <c r="B105" s="32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</row>
    <row r="106" spans="1:16" ht="15.75" customHeight="1" x14ac:dyDescent="0.3">
      <c r="A106" s="24"/>
      <c r="B106" s="32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</row>
    <row r="107" spans="1:16" ht="15.75" customHeight="1" x14ac:dyDescent="0.3">
      <c r="A107" s="24"/>
      <c r="B107" s="32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</row>
    <row r="108" spans="1:16" ht="15.75" customHeight="1" x14ac:dyDescent="0.3">
      <c r="A108" s="24"/>
      <c r="B108" s="32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</row>
    <row r="109" spans="1:16" ht="15.75" customHeight="1" x14ac:dyDescent="0.3">
      <c r="A109" s="24"/>
      <c r="B109" s="32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</row>
    <row r="110" spans="1:16" ht="15.75" customHeight="1" x14ac:dyDescent="0.3">
      <c r="A110" s="24"/>
      <c r="B110" s="32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</row>
    <row r="111" spans="1:16" ht="15.75" customHeight="1" x14ac:dyDescent="0.3">
      <c r="A111" s="24"/>
      <c r="B111" s="32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</row>
    <row r="112" spans="1:16" ht="15.75" customHeight="1" x14ac:dyDescent="0.3">
      <c r="A112" s="24"/>
      <c r="B112" s="32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</row>
    <row r="113" spans="1:16" ht="15.75" customHeight="1" x14ac:dyDescent="0.3">
      <c r="A113" s="24"/>
      <c r="B113" s="32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</row>
    <row r="114" spans="1:16" ht="15.75" customHeight="1" x14ac:dyDescent="0.3">
      <c r="A114" s="24"/>
      <c r="B114" s="32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</row>
    <row r="115" spans="1:16" ht="15.75" customHeight="1" x14ac:dyDescent="0.3">
      <c r="A115" s="24"/>
      <c r="B115" s="32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</row>
    <row r="116" spans="1:16" ht="15.75" customHeight="1" x14ac:dyDescent="0.3">
      <c r="A116" s="24"/>
      <c r="B116" s="32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</row>
    <row r="117" spans="1:16" ht="15.75" customHeight="1" x14ac:dyDescent="0.3">
      <c r="A117" s="24"/>
      <c r="B117" s="32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</row>
    <row r="118" spans="1:16" ht="15.75" customHeight="1" x14ac:dyDescent="0.3">
      <c r="A118" s="24"/>
      <c r="B118" s="32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</row>
    <row r="119" spans="1:16" ht="15.75" customHeight="1" x14ac:dyDescent="0.3">
      <c r="A119" s="24"/>
      <c r="B119" s="32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</row>
    <row r="120" spans="1:16" ht="15.75" customHeight="1" x14ac:dyDescent="0.3">
      <c r="A120" s="24"/>
      <c r="B120" s="32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</row>
    <row r="121" spans="1:16" ht="15.75" customHeight="1" x14ac:dyDescent="0.3">
      <c r="A121" s="24"/>
      <c r="B121" s="32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</row>
    <row r="122" spans="1:16" ht="15.75" customHeight="1" x14ac:dyDescent="0.3">
      <c r="A122" s="24"/>
      <c r="B122" s="32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</row>
    <row r="123" spans="1:16" ht="15.75" customHeight="1" x14ac:dyDescent="0.3">
      <c r="A123" s="24"/>
      <c r="B123" s="32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</row>
    <row r="124" spans="1:16" ht="15.75" customHeight="1" x14ac:dyDescent="0.3">
      <c r="A124" s="24"/>
      <c r="B124" s="32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</row>
    <row r="125" spans="1:16" ht="15.75" customHeight="1" x14ac:dyDescent="0.3">
      <c r="A125" s="24"/>
      <c r="B125" s="32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</row>
    <row r="126" spans="1:16" ht="15.75" customHeight="1" x14ac:dyDescent="0.3">
      <c r="A126" s="24"/>
      <c r="B126" s="32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</row>
    <row r="127" spans="1:16" ht="15.75" customHeight="1" x14ac:dyDescent="0.3">
      <c r="A127" s="24"/>
      <c r="B127" s="32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</row>
    <row r="128" spans="1:16" ht="15.75" customHeight="1" x14ac:dyDescent="0.3">
      <c r="A128" s="24"/>
      <c r="B128" s="32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</row>
    <row r="129" spans="1:16" ht="15.75" customHeight="1" x14ac:dyDescent="0.3">
      <c r="A129" s="24"/>
      <c r="B129" s="32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</row>
    <row r="130" spans="1:16" ht="15.75" customHeight="1" x14ac:dyDescent="0.3">
      <c r="A130" s="24"/>
      <c r="B130" s="32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</row>
    <row r="131" spans="1:16" ht="15.75" customHeight="1" x14ac:dyDescent="0.3">
      <c r="A131" s="24"/>
      <c r="B131" s="32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</row>
    <row r="132" spans="1:16" ht="15.75" customHeight="1" x14ac:dyDescent="0.3">
      <c r="A132" s="24"/>
      <c r="B132" s="32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</row>
    <row r="133" spans="1:16" ht="15.75" customHeight="1" x14ac:dyDescent="0.3">
      <c r="A133" s="24"/>
      <c r="B133" s="32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</row>
    <row r="134" spans="1:16" ht="15.75" customHeight="1" x14ac:dyDescent="0.3">
      <c r="A134" s="24"/>
      <c r="B134" s="32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</row>
    <row r="135" spans="1:16" ht="15.75" customHeight="1" x14ac:dyDescent="0.3">
      <c r="A135" s="24"/>
      <c r="B135" s="32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</row>
    <row r="136" spans="1:16" ht="15.75" customHeight="1" x14ac:dyDescent="0.3">
      <c r="A136" s="24"/>
      <c r="B136" s="32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</row>
    <row r="137" spans="1:16" ht="15.75" customHeight="1" x14ac:dyDescent="0.3">
      <c r="A137" s="24"/>
      <c r="B137" s="32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</row>
    <row r="138" spans="1:16" ht="15.75" customHeight="1" x14ac:dyDescent="0.3">
      <c r="A138" s="24"/>
      <c r="B138" s="32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</row>
    <row r="139" spans="1:16" ht="15.75" customHeight="1" x14ac:dyDescent="0.3">
      <c r="A139" s="24"/>
      <c r="B139" s="32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</row>
    <row r="140" spans="1:16" ht="15.75" customHeight="1" x14ac:dyDescent="0.3">
      <c r="A140" s="24"/>
      <c r="B140" s="32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</row>
    <row r="141" spans="1:16" ht="15.75" customHeight="1" x14ac:dyDescent="0.3">
      <c r="A141" s="24"/>
      <c r="B141" s="32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</row>
    <row r="142" spans="1:16" ht="15.75" customHeight="1" x14ac:dyDescent="0.3">
      <c r="A142" s="24"/>
      <c r="B142" s="32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</row>
    <row r="143" spans="1:16" ht="15.75" customHeight="1" x14ac:dyDescent="0.3">
      <c r="A143" s="24"/>
      <c r="B143" s="32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</row>
    <row r="144" spans="1:16" ht="15.75" customHeight="1" x14ac:dyDescent="0.3">
      <c r="A144" s="24"/>
      <c r="B144" s="32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</row>
    <row r="145" spans="1:16" ht="15.75" customHeight="1" x14ac:dyDescent="0.3">
      <c r="A145" s="24"/>
      <c r="B145" s="32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</row>
    <row r="146" spans="1:16" ht="15.75" customHeight="1" x14ac:dyDescent="0.3">
      <c r="A146" s="24"/>
      <c r="B146" s="32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</row>
    <row r="147" spans="1:16" ht="15.75" customHeight="1" x14ac:dyDescent="0.3">
      <c r="A147" s="24"/>
      <c r="B147" s="32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</row>
    <row r="148" spans="1:16" ht="15.75" customHeight="1" x14ac:dyDescent="0.3">
      <c r="A148" s="24"/>
      <c r="B148" s="32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</row>
    <row r="149" spans="1:16" ht="15.75" customHeight="1" x14ac:dyDescent="0.3">
      <c r="A149" s="24"/>
      <c r="B149" s="32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</row>
    <row r="150" spans="1:16" ht="15.75" customHeight="1" x14ac:dyDescent="0.3">
      <c r="A150" s="24"/>
      <c r="B150" s="32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</row>
    <row r="151" spans="1:16" ht="15.75" customHeight="1" x14ac:dyDescent="0.3">
      <c r="A151" s="24"/>
      <c r="B151" s="32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</row>
    <row r="152" spans="1:16" ht="15.75" customHeight="1" x14ac:dyDescent="0.3">
      <c r="A152" s="24"/>
      <c r="B152" s="32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</row>
    <row r="153" spans="1:16" ht="15.75" customHeight="1" x14ac:dyDescent="0.3">
      <c r="A153" s="24"/>
      <c r="B153" s="32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</row>
    <row r="154" spans="1:16" ht="15.75" customHeight="1" x14ac:dyDescent="0.3">
      <c r="A154" s="24"/>
      <c r="B154" s="32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</row>
    <row r="155" spans="1:16" ht="15.75" customHeight="1" x14ac:dyDescent="0.3">
      <c r="A155" s="24"/>
      <c r="B155" s="32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</row>
    <row r="156" spans="1:16" ht="15.75" customHeight="1" x14ac:dyDescent="0.3">
      <c r="A156" s="24"/>
      <c r="B156" s="32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</row>
    <row r="157" spans="1:16" ht="15.75" customHeight="1" x14ac:dyDescent="0.3">
      <c r="A157" s="24"/>
      <c r="B157" s="32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</row>
    <row r="158" spans="1:16" ht="15.75" customHeight="1" x14ac:dyDescent="0.3">
      <c r="A158" s="24"/>
      <c r="B158" s="32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</row>
    <row r="159" spans="1:16" ht="15.75" customHeight="1" x14ac:dyDescent="0.3">
      <c r="A159" s="24"/>
      <c r="B159" s="32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</row>
    <row r="160" spans="1:16" ht="15.75" customHeight="1" x14ac:dyDescent="0.3">
      <c r="A160" s="24"/>
      <c r="B160" s="32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</row>
    <row r="161" spans="1:16" ht="15.75" customHeight="1" x14ac:dyDescent="0.3">
      <c r="A161" s="24"/>
      <c r="B161" s="32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</row>
    <row r="162" spans="1:16" ht="15.75" customHeight="1" x14ac:dyDescent="0.3">
      <c r="A162" s="24"/>
      <c r="B162" s="32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</row>
    <row r="163" spans="1:16" ht="15.75" customHeight="1" x14ac:dyDescent="0.3">
      <c r="A163" s="24"/>
      <c r="B163" s="32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</row>
    <row r="164" spans="1:16" ht="15.75" customHeight="1" x14ac:dyDescent="0.3">
      <c r="A164" s="24"/>
      <c r="B164" s="32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</row>
    <row r="165" spans="1:16" ht="15.75" customHeight="1" x14ac:dyDescent="0.3">
      <c r="A165" s="24"/>
      <c r="B165" s="32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</row>
    <row r="166" spans="1:16" ht="15.75" customHeight="1" x14ac:dyDescent="0.3">
      <c r="A166" s="24"/>
      <c r="B166" s="32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</row>
    <row r="167" spans="1:16" ht="15.75" customHeight="1" x14ac:dyDescent="0.3">
      <c r="A167" s="24"/>
      <c r="B167" s="32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</row>
    <row r="168" spans="1:16" ht="15.75" customHeight="1" x14ac:dyDescent="0.3">
      <c r="A168" s="24"/>
      <c r="B168" s="32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</row>
    <row r="169" spans="1:16" ht="15.75" customHeight="1" x14ac:dyDescent="0.3">
      <c r="A169" s="24"/>
      <c r="B169" s="32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</row>
    <row r="170" spans="1:16" ht="15.75" customHeight="1" x14ac:dyDescent="0.3">
      <c r="A170" s="24"/>
      <c r="B170" s="32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</row>
    <row r="171" spans="1:16" ht="15.75" customHeight="1" x14ac:dyDescent="0.3">
      <c r="A171" s="24"/>
      <c r="B171" s="32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</row>
    <row r="172" spans="1:16" ht="15.75" customHeight="1" x14ac:dyDescent="0.3">
      <c r="A172" s="24"/>
      <c r="B172" s="32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</row>
    <row r="173" spans="1:16" ht="15.75" customHeight="1" x14ac:dyDescent="0.3">
      <c r="A173" s="24"/>
      <c r="B173" s="32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</row>
    <row r="174" spans="1:16" ht="15.75" customHeight="1" x14ac:dyDescent="0.3">
      <c r="A174" s="24"/>
      <c r="B174" s="32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</row>
    <row r="175" spans="1:16" ht="15.75" customHeight="1" x14ac:dyDescent="0.3">
      <c r="A175" s="24"/>
      <c r="B175" s="32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</row>
    <row r="176" spans="1:16" ht="15.75" customHeight="1" x14ac:dyDescent="0.3">
      <c r="A176" s="24"/>
      <c r="B176" s="32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</row>
    <row r="177" spans="1:16" ht="15.75" customHeight="1" x14ac:dyDescent="0.3">
      <c r="A177" s="24"/>
      <c r="B177" s="32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</row>
    <row r="178" spans="1:16" ht="15.75" customHeight="1" x14ac:dyDescent="0.3">
      <c r="A178" s="24"/>
      <c r="B178" s="32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</row>
    <row r="179" spans="1:16" ht="15.75" customHeight="1" x14ac:dyDescent="0.3">
      <c r="A179" s="24"/>
      <c r="B179" s="32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</row>
    <row r="180" spans="1:16" ht="15.75" customHeight="1" x14ac:dyDescent="0.3">
      <c r="A180" s="24"/>
      <c r="B180" s="32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</row>
    <row r="181" spans="1:16" ht="15.75" customHeight="1" x14ac:dyDescent="0.3">
      <c r="A181" s="24"/>
      <c r="B181" s="32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</row>
    <row r="182" spans="1:16" ht="15.75" customHeight="1" x14ac:dyDescent="0.3">
      <c r="A182" s="24"/>
      <c r="B182" s="32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</row>
    <row r="183" spans="1:16" ht="15.75" customHeight="1" x14ac:dyDescent="0.3">
      <c r="A183" s="24"/>
      <c r="B183" s="32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</row>
    <row r="184" spans="1:16" ht="15.75" customHeight="1" x14ac:dyDescent="0.3">
      <c r="A184" s="24"/>
      <c r="B184" s="32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</row>
    <row r="185" spans="1:16" ht="15.75" customHeight="1" x14ac:dyDescent="0.3">
      <c r="A185" s="24"/>
      <c r="B185" s="32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</row>
    <row r="186" spans="1:16" ht="15.75" customHeight="1" x14ac:dyDescent="0.3">
      <c r="A186" s="24"/>
      <c r="B186" s="32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</row>
    <row r="187" spans="1:16" ht="15.75" customHeight="1" x14ac:dyDescent="0.3">
      <c r="A187" s="24"/>
      <c r="B187" s="32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</row>
    <row r="188" spans="1:16" ht="15.75" customHeight="1" x14ac:dyDescent="0.3">
      <c r="A188" s="24"/>
      <c r="B188" s="32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</row>
    <row r="189" spans="1:16" ht="15.75" customHeight="1" x14ac:dyDescent="0.3">
      <c r="A189" s="24"/>
      <c r="B189" s="32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</row>
    <row r="190" spans="1:16" ht="15.75" customHeight="1" x14ac:dyDescent="0.3">
      <c r="A190" s="24"/>
      <c r="B190" s="32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</row>
    <row r="191" spans="1:16" ht="15.75" customHeight="1" x14ac:dyDescent="0.3">
      <c r="A191" s="24"/>
      <c r="B191" s="32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</row>
    <row r="192" spans="1:16" ht="15.75" customHeight="1" x14ac:dyDescent="0.3">
      <c r="A192" s="24"/>
      <c r="B192" s="32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</row>
    <row r="193" spans="1:16" ht="15.75" customHeight="1" x14ac:dyDescent="0.3">
      <c r="A193" s="24"/>
      <c r="B193" s="32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</row>
    <row r="194" spans="1:16" ht="15.75" customHeight="1" x14ac:dyDescent="0.3">
      <c r="A194" s="24"/>
      <c r="B194" s="32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</row>
    <row r="195" spans="1:16" ht="15.75" customHeight="1" x14ac:dyDescent="0.3">
      <c r="A195" s="24"/>
      <c r="B195" s="32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</row>
    <row r="196" spans="1:16" ht="15.75" customHeight="1" x14ac:dyDescent="0.3">
      <c r="A196" s="24"/>
      <c r="B196" s="32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</row>
    <row r="197" spans="1:16" ht="15.75" customHeight="1" x14ac:dyDescent="0.3">
      <c r="A197" s="24"/>
      <c r="B197" s="32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</row>
    <row r="198" spans="1:16" ht="15.75" customHeight="1" x14ac:dyDescent="0.3">
      <c r="A198" s="24"/>
      <c r="B198" s="32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</row>
    <row r="199" spans="1:16" ht="15.75" customHeight="1" x14ac:dyDescent="0.3">
      <c r="A199" s="24"/>
      <c r="B199" s="32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</row>
    <row r="200" spans="1:16" ht="15.75" customHeight="1" x14ac:dyDescent="0.3">
      <c r="A200" s="24"/>
      <c r="B200" s="32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</row>
    <row r="201" spans="1:16" ht="15.75" customHeight="1" x14ac:dyDescent="0.3">
      <c r="A201" s="24"/>
      <c r="B201" s="32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</row>
    <row r="202" spans="1:16" ht="15.75" customHeight="1" x14ac:dyDescent="0.3">
      <c r="A202" s="24"/>
      <c r="B202" s="32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</row>
    <row r="203" spans="1:16" ht="15.75" customHeight="1" x14ac:dyDescent="0.3">
      <c r="A203" s="24"/>
      <c r="B203" s="32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</row>
    <row r="204" spans="1:16" ht="15.75" customHeight="1" x14ac:dyDescent="0.3">
      <c r="A204" s="24"/>
      <c r="B204" s="32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</row>
    <row r="205" spans="1:16" ht="15.75" customHeight="1" x14ac:dyDescent="0.3">
      <c r="A205" s="24"/>
      <c r="B205" s="32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</row>
    <row r="206" spans="1:16" ht="15.75" customHeight="1" x14ac:dyDescent="0.3">
      <c r="A206" s="24"/>
      <c r="B206" s="32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</row>
    <row r="207" spans="1:16" ht="15.75" customHeight="1" x14ac:dyDescent="0.3">
      <c r="A207" s="24"/>
      <c r="B207" s="32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</row>
    <row r="208" spans="1:16" ht="15.75" customHeight="1" x14ac:dyDescent="0.3">
      <c r="A208" s="24"/>
      <c r="B208" s="32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</row>
    <row r="209" spans="1:16" ht="15.75" customHeight="1" x14ac:dyDescent="0.3">
      <c r="A209" s="24"/>
      <c r="B209" s="32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</row>
    <row r="210" spans="1:16" ht="15.75" customHeight="1" x14ac:dyDescent="0.3">
      <c r="A210" s="24"/>
      <c r="B210" s="32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</row>
    <row r="211" spans="1:16" ht="15.75" customHeight="1" x14ac:dyDescent="0.3">
      <c r="A211" s="24"/>
      <c r="B211" s="32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</row>
    <row r="212" spans="1:16" ht="15.75" customHeight="1" x14ac:dyDescent="0.3">
      <c r="A212" s="24"/>
      <c r="B212" s="32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</row>
    <row r="213" spans="1:16" ht="15.75" customHeight="1" x14ac:dyDescent="0.3">
      <c r="A213" s="24"/>
      <c r="B213" s="32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</row>
    <row r="214" spans="1:16" ht="15.75" customHeight="1" x14ac:dyDescent="0.3">
      <c r="A214" s="24"/>
      <c r="B214" s="32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</row>
    <row r="215" spans="1:16" ht="15.75" customHeight="1" x14ac:dyDescent="0.3">
      <c r="A215" s="24"/>
      <c r="B215" s="32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</row>
    <row r="216" spans="1:16" ht="15.75" customHeight="1" x14ac:dyDescent="0.3">
      <c r="A216" s="24"/>
      <c r="B216" s="32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</row>
    <row r="217" spans="1:16" ht="15.75" customHeight="1" x14ac:dyDescent="0.3">
      <c r="A217" s="24"/>
      <c r="B217" s="32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</row>
    <row r="218" spans="1:16" ht="15.75" customHeight="1" x14ac:dyDescent="0.3">
      <c r="A218" s="24"/>
      <c r="B218" s="32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</row>
    <row r="219" spans="1:16" ht="15.75" customHeight="1" x14ac:dyDescent="0.3">
      <c r="A219" s="24"/>
      <c r="B219" s="32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</row>
    <row r="220" spans="1:16" ht="15.75" customHeight="1" x14ac:dyDescent="0.3">
      <c r="B220" s="33"/>
    </row>
    <row r="221" spans="1:16" ht="15.75" customHeight="1" x14ac:dyDescent="0.3">
      <c r="B221" s="33"/>
    </row>
    <row r="222" spans="1:16" ht="15.75" customHeight="1" x14ac:dyDescent="0.3">
      <c r="B222" s="33"/>
    </row>
    <row r="223" spans="1:16" ht="15.75" customHeight="1" x14ac:dyDescent="0.3">
      <c r="B223" s="33"/>
    </row>
    <row r="224" spans="1:16" ht="15.75" customHeight="1" x14ac:dyDescent="0.3">
      <c r="B224" s="33"/>
    </row>
    <row r="225" spans="2:2" ht="15.75" customHeight="1" x14ac:dyDescent="0.3">
      <c r="B225" s="33"/>
    </row>
    <row r="226" spans="2:2" ht="15.75" customHeight="1" x14ac:dyDescent="0.3">
      <c r="B226" s="33"/>
    </row>
    <row r="227" spans="2:2" ht="15.75" customHeight="1" x14ac:dyDescent="0.3">
      <c r="B227" s="33"/>
    </row>
    <row r="228" spans="2:2" ht="15.75" customHeight="1" x14ac:dyDescent="0.3">
      <c r="B228" s="33"/>
    </row>
    <row r="229" spans="2:2" ht="15.75" customHeight="1" x14ac:dyDescent="0.3">
      <c r="B229" s="33"/>
    </row>
    <row r="230" spans="2:2" ht="15.75" customHeight="1" x14ac:dyDescent="0.3">
      <c r="B230" s="33"/>
    </row>
    <row r="231" spans="2:2" ht="15.75" customHeight="1" x14ac:dyDescent="0.3">
      <c r="B231" s="33"/>
    </row>
    <row r="232" spans="2:2" ht="15.75" customHeight="1" x14ac:dyDescent="0.3">
      <c r="B232" s="33"/>
    </row>
    <row r="233" spans="2:2" ht="15.75" customHeight="1" x14ac:dyDescent="0.3">
      <c r="B233" s="33"/>
    </row>
    <row r="234" spans="2:2" ht="15.75" customHeight="1" x14ac:dyDescent="0.3">
      <c r="B234" s="33"/>
    </row>
    <row r="235" spans="2:2" ht="15.75" customHeight="1" x14ac:dyDescent="0.3">
      <c r="B235" s="33"/>
    </row>
    <row r="236" spans="2:2" ht="15.75" customHeight="1" x14ac:dyDescent="0.3">
      <c r="B236" s="33"/>
    </row>
    <row r="237" spans="2:2" ht="15.75" customHeight="1" x14ac:dyDescent="0.3">
      <c r="B237" s="33"/>
    </row>
    <row r="238" spans="2:2" ht="15.75" customHeight="1" x14ac:dyDescent="0.3">
      <c r="B238" s="33"/>
    </row>
    <row r="239" spans="2:2" ht="15.75" customHeight="1" x14ac:dyDescent="0.3">
      <c r="B239" s="33"/>
    </row>
    <row r="240" spans="2:2" ht="15.75" customHeight="1" x14ac:dyDescent="0.3">
      <c r="B240" s="33"/>
    </row>
    <row r="241" spans="2:2" ht="15.75" customHeight="1" x14ac:dyDescent="0.3">
      <c r="B241" s="33"/>
    </row>
    <row r="242" spans="2:2" ht="15.75" customHeight="1" x14ac:dyDescent="0.3">
      <c r="B242" s="33"/>
    </row>
    <row r="243" spans="2:2" ht="15.75" customHeight="1" x14ac:dyDescent="0.3">
      <c r="B243" s="33"/>
    </row>
    <row r="244" spans="2:2" ht="15.75" customHeight="1" x14ac:dyDescent="0.3">
      <c r="B244" s="33"/>
    </row>
    <row r="245" spans="2:2" ht="15.75" customHeight="1" x14ac:dyDescent="0.3">
      <c r="B245" s="33"/>
    </row>
    <row r="246" spans="2:2" ht="15.75" customHeight="1" x14ac:dyDescent="0.3">
      <c r="B246" s="33"/>
    </row>
    <row r="247" spans="2:2" ht="15.75" customHeight="1" x14ac:dyDescent="0.3">
      <c r="B247" s="33"/>
    </row>
    <row r="248" spans="2:2" ht="15.75" customHeight="1" x14ac:dyDescent="0.3">
      <c r="B248" s="33"/>
    </row>
    <row r="249" spans="2:2" ht="15.75" customHeight="1" x14ac:dyDescent="0.3">
      <c r="B249" s="33"/>
    </row>
    <row r="250" spans="2:2" ht="15.75" customHeight="1" x14ac:dyDescent="0.3">
      <c r="B250" s="33"/>
    </row>
    <row r="251" spans="2:2" ht="15.75" customHeight="1" x14ac:dyDescent="0.3">
      <c r="B251" s="33"/>
    </row>
    <row r="252" spans="2:2" ht="15.75" customHeight="1" x14ac:dyDescent="0.3">
      <c r="B252" s="33"/>
    </row>
    <row r="253" spans="2:2" ht="15.75" customHeight="1" x14ac:dyDescent="0.3">
      <c r="B253" s="33"/>
    </row>
    <row r="254" spans="2:2" ht="15.75" customHeight="1" x14ac:dyDescent="0.3">
      <c r="B254" s="33"/>
    </row>
    <row r="255" spans="2:2" ht="15.75" customHeight="1" x14ac:dyDescent="0.3">
      <c r="B255" s="33"/>
    </row>
    <row r="256" spans="2:2" ht="15.75" customHeight="1" x14ac:dyDescent="0.3">
      <c r="B256" s="33"/>
    </row>
    <row r="257" spans="2:2" ht="15.75" customHeight="1" x14ac:dyDescent="0.3">
      <c r="B257" s="33"/>
    </row>
    <row r="258" spans="2:2" ht="15.75" customHeight="1" x14ac:dyDescent="0.3">
      <c r="B258" s="33"/>
    </row>
    <row r="259" spans="2:2" ht="15.75" customHeight="1" x14ac:dyDescent="0.3">
      <c r="B259" s="33"/>
    </row>
    <row r="260" spans="2:2" ht="15.75" customHeight="1" x14ac:dyDescent="0.3">
      <c r="B260" s="33"/>
    </row>
    <row r="261" spans="2:2" ht="15.75" customHeight="1" x14ac:dyDescent="0.3">
      <c r="B261" s="33"/>
    </row>
    <row r="262" spans="2:2" ht="15.75" customHeight="1" x14ac:dyDescent="0.3">
      <c r="B262" s="33"/>
    </row>
    <row r="263" spans="2:2" ht="15.75" customHeight="1" x14ac:dyDescent="0.3">
      <c r="B263" s="33"/>
    </row>
    <row r="264" spans="2:2" ht="15.75" customHeight="1" x14ac:dyDescent="0.3">
      <c r="B264" s="33"/>
    </row>
    <row r="265" spans="2:2" ht="15.75" customHeight="1" x14ac:dyDescent="0.3">
      <c r="B265" s="33"/>
    </row>
    <row r="266" spans="2:2" ht="15.75" customHeight="1" x14ac:dyDescent="0.3">
      <c r="B266" s="33"/>
    </row>
    <row r="267" spans="2:2" ht="15.75" customHeight="1" x14ac:dyDescent="0.3">
      <c r="B267" s="33"/>
    </row>
    <row r="268" spans="2:2" ht="15.75" customHeight="1" x14ac:dyDescent="0.3">
      <c r="B268" s="33"/>
    </row>
    <row r="269" spans="2:2" ht="15.75" customHeight="1" x14ac:dyDescent="0.3">
      <c r="B269" s="33"/>
    </row>
    <row r="270" spans="2:2" ht="15.75" customHeight="1" x14ac:dyDescent="0.3">
      <c r="B270" s="33"/>
    </row>
    <row r="271" spans="2:2" ht="15.75" customHeight="1" x14ac:dyDescent="0.3">
      <c r="B271" s="33"/>
    </row>
    <row r="272" spans="2:2" ht="15.75" customHeight="1" x14ac:dyDescent="0.3">
      <c r="B272" s="33"/>
    </row>
    <row r="273" spans="2:2" ht="15.75" customHeight="1" x14ac:dyDescent="0.3">
      <c r="B273" s="33"/>
    </row>
    <row r="274" spans="2:2" ht="15.75" customHeight="1" x14ac:dyDescent="0.3">
      <c r="B274" s="33"/>
    </row>
    <row r="275" spans="2:2" ht="15.75" customHeight="1" x14ac:dyDescent="0.3">
      <c r="B275" s="33"/>
    </row>
    <row r="276" spans="2:2" ht="15.75" customHeight="1" x14ac:dyDescent="0.3">
      <c r="B276" s="33"/>
    </row>
    <row r="277" spans="2:2" ht="15.75" customHeight="1" x14ac:dyDescent="0.3">
      <c r="B277" s="33"/>
    </row>
    <row r="278" spans="2:2" ht="15.75" customHeight="1" x14ac:dyDescent="0.3">
      <c r="B278" s="33"/>
    </row>
    <row r="279" spans="2:2" ht="15.75" customHeight="1" x14ac:dyDescent="0.3">
      <c r="B279" s="33"/>
    </row>
    <row r="280" spans="2:2" ht="15.75" customHeight="1" x14ac:dyDescent="0.3">
      <c r="B280" s="33"/>
    </row>
    <row r="281" spans="2:2" ht="15.75" customHeight="1" x14ac:dyDescent="0.3">
      <c r="B281" s="33"/>
    </row>
    <row r="282" spans="2:2" ht="15.75" customHeight="1" x14ac:dyDescent="0.3">
      <c r="B282" s="33"/>
    </row>
    <row r="283" spans="2:2" ht="15.75" customHeight="1" x14ac:dyDescent="0.3">
      <c r="B283" s="33"/>
    </row>
    <row r="284" spans="2:2" ht="15.75" customHeight="1" x14ac:dyDescent="0.3">
      <c r="B284" s="33"/>
    </row>
    <row r="285" spans="2:2" ht="15.75" customHeight="1" x14ac:dyDescent="0.3">
      <c r="B285" s="33"/>
    </row>
    <row r="286" spans="2:2" ht="15.75" customHeight="1" x14ac:dyDescent="0.3">
      <c r="B286" s="33"/>
    </row>
    <row r="287" spans="2:2" ht="15.75" customHeight="1" x14ac:dyDescent="0.3">
      <c r="B287" s="33"/>
    </row>
    <row r="288" spans="2:2" ht="15.75" customHeight="1" x14ac:dyDescent="0.3">
      <c r="B288" s="33"/>
    </row>
    <row r="289" spans="2:2" ht="15.75" customHeight="1" x14ac:dyDescent="0.3">
      <c r="B289" s="33"/>
    </row>
    <row r="290" spans="2:2" ht="15.75" customHeight="1" x14ac:dyDescent="0.3">
      <c r="B290" s="33"/>
    </row>
    <row r="291" spans="2:2" ht="15.75" customHeight="1" x14ac:dyDescent="0.3">
      <c r="B291" s="33"/>
    </row>
    <row r="292" spans="2:2" ht="15.75" customHeight="1" x14ac:dyDescent="0.3">
      <c r="B292" s="33"/>
    </row>
    <row r="293" spans="2:2" ht="15.75" customHeight="1" x14ac:dyDescent="0.3">
      <c r="B293" s="33"/>
    </row>
    <row r="294" spans="2:2" ht="15.75" customHeight="1" x14ac:dyDescent="0.3">
      <c r="B294" s="33"/>
    </row>
    <row r="295" spans="2:2" ht="15.75" customHeight="1" x14ac:dyDescent="0.3">
      <c r="B295" s="33"/>
    </row>
    <row r="296" spans="2:2" ht="15.75" customHeight="1" x14ac:dyDescent="0.3">
      <c r="B296" s="33"/>
    </row>
    <row r="297" spans="2:2" ht="15.75" customHeight="1" x14ac:dyDescent="0.3">
      <c r="B297" s="33"/>
    </row>
    <row r="298" spans="2:2" ht="15.75" customHeight="1" x14ac:dyDescent="0.3">
      <c r="B298" s="33"/>
    </row>
    <row r="299" spans="2:2" ht="15.75" customHeight="1" x14ac:dyDescent="0.3">
      <c r="B299" s="33"/>
    </row>
    <row r="300" spans="2:2" ht="15.75" customHeight="1" x14ac:dyDescent="0.3">
      <c r="B300" s="33"/>
    </row>
    <row r="301" spans="2:2" ht="15.75" customHeight="1" x14ac:dyDescent="0.3">
      <c r="B301" s="33"/>
    </row>
    <row r="302" spans="2:2" ht="15.75" customHeight="1" x14ac:dyDescent="0.3">
      <c r="B302" s="33"/>
    </row>
    <row r="303" spans="2:2" ht="15.75" customHeight="1" x14ac:dyDescent="0.3">
      <c r="B303" s="33"/>
    </row>
    <row r="304" spans="2:2" ht="15.75" customHeight="1" x14ac:dyDescent="0.3">
      <c r="B304" s="33"/>
    </row>
    <row r="305" spans="2:2" ht="15.75" customHeight="1" x14ac:dyDescent="0.3">
      <c r="B305" s="33"/>
    </row>
    <row r="306" spans="2:2" ht="15.75" customHeight="1" x14ac:dyDescent="0.3">
      <c r="B306" s="33"/>
    </row>
    <row r="307" spans="2:2" ht="15.75" customHeight="1" x14ac:dyDescent="0.3">
      <c r="B307" s="33"/>
    </row>
    <row r="308" spans="2:2" ht="15.75" customHeight="1" x14ac:dyDescent="0.3">
      <c r="B308" s="33"/>
    </row>
    <row r="309" spans="2:2" ht="15.75" customHeight="1" x14ac:dyDescent="0.3">
      <c r="B309" s="33"/>
    </row>
    <row r="310" spans="2:2" ht="15.75" customHeight="1" x14ac:dyDescent="0.3">
      <c r="B310" s="33"/>
    </row>
    <row r="311" spans="2:2" ht="15.75" customHeight="1" x14ac:dyDescent="0.3">
      <c r="B311" s="33"/>
    </row>
    <row r="312" spans="2:2" ht="15.75" customHeight="1" x14ac:dyDescent="0.3">
      <c r="B312" s="33"/>
    </row>
    <row r="313" spans="2:2" ht="15.75" customHeight="1" x14ac:dyDescent="0.3">
      <c r="B313" s="33"/>
    </row>
    <row r="314" spans="2:2" ht="15.75" customHeight="1" x14ac:dyDescent="0.3">
      <c r="B314" s="33"/>
    </row>
    <row r="315" spans="2:2" ht="15.75" customHeight="1" x14ac:dyDescent="0.3">
      <c r="B315" s="33"/>
    </row>
    <row r="316" spans="2:2" ht="15.75" customHeight="1" x14ac:dyDescent="0.3">
      <c r="B316" s="33"/>
    </row>
    <row r="317" spans="2:2" ht="15.75" customHeight="1" x14ac:dyDescent="0.3">
      <c r="B317" s="33"/>
    </row>
    <row r="318" spans="2:2" ht="15.75" customHeight="1" x14ac:dyDescent="0.3">
      <c r="B318" s="33"/>
    </row>
    <row r="319" spans="2:2" ht="15.75" customHeight="1" x14ac:dyDescent="0.3">
      <c r="B319" s="33"/>
    </row>
    <row r="320" spans="2:2" ht="15.75" customHeight="1" x14ac:dyDescent="0.3">
      <c r="B320" s="33"/>
    </row>
    <row r="321" spans="2:2" ht="15.75" customHeight="1" x14ac:dyDescent="0.3">
      <c r="B321" s="33"/>
    </row>
    <row r="322" spans="2:2" ht="15.75" customHeight="1" x14ac:dyDescent="0.3">
      <c r="B322" s="33"/>
    </row>
    <row r="323" spans="2:2" ht="15.75" customHeight="1" x14ac:dyDescent="0.3">
      <c r="B323" s="33"/>
    </row>
    <row r="324" spans="2:2" ht="15.75" customHeight="1" x14ac:dyDescent="0.3">
      <c r="B324" s="33"/>
    </row>
    <row r="325" spans="2:2" ht="15.75" customHeight="1" x14ac:dyDescent="0.3">
      <c r="B325" s="33"/>
    </row>
    <row r="326" spans="2:2" ht="15.75" customHeight="1" x14ac:dyDescent="0.3">
      <c r="B326" s="33"/>
    </row>
    <row r="327" spans="2:2" ht="15.75" customHeight="1" x14ac:dyDescent="0.3">
      <c r="B327" s="33"/>
    </row>
    <row r="328" spans="2:2" ht="15.75" customHeight="1" x14ac:dyDescent="0.3">
      <c r="B328" s="33"/>
    </row>
    <row r="329" spans="2:2" ht="15.75" customHeight="1" x14ac:dyDescent="0.3">
      <c r="B329" s="33"/>
    </row>
    <row r="330" spans="2:2" ht="15.75" customHeight="1" x14ac:dyDescent="0.3">
      <c r="B330" s="33"/>
    </row>
    <row r="331" spans="2:2" ht="15.75" customHeight="1" x14ac:dyDescent="0.3">
      <c r="B331" s="33"/>
    </row>
    <row r="332" spans="2:2" ht="15.75" customHeight="1" x14ac:dyDescent="0.3">
      <c r="B332" s="33"/>
    </row>
    <row r="333" spans="2:2" ht="15.75" customHeight="1" x14ac:dyDescent="0.3">
      <c r="B333" s="33"/>
    </row>
    <row r="334" spans="2:2" ht="15.75" customHeight="1" x14ac:dyDescent="0.3">
      <c r="B334" s="33"/>
    </row>
    <row r="335" spans="2:2" ht="15.75" customHeight="1" x14ac:dyDescent="0.3">
      <c r="B335" s="33"/>
    </row>
    <row r="336" spans="2:2" ht="15.75" customHeight="1" x14ac:dyDescent="0.3">
      <c r="B336" s="33"/>
    </row>
    <row r="337" spans="2:2" ht="15.75" customHeight="1" x14ac:dyDescent="0.3">
      <c r="B337" s="33"/>
    </row>
    <row r="338" spans="2:2" ht="15.75" customHeight="1" x14ac:dyDescent="0.3">
      <c r="B338" s="33"/>
    </row>
    <row r="339" spans="2:2" ht="15.75" customHeight="1" x14ac:dyDescent="0.3">
      <c r="B339" s="33"/>
    </row>
    <row r="340" spans="2:2" ht="15.75" customHeight="1" x14ac:dyDescent="0.3">
      <c r="B340" s="33"/>
    </row>
    <row r="341" spans="2:2" ht="15.75" customHeight="1" x14ac:dyDescent="0.3">
      <c r="B341" s="33"/>
    </row>
    <row r="342" spans="2:2" ht="15.75" customHeight="1" x14ac:dyDescent="0.3">
      <c r="B342" s="33"/>
    </row>
    <row r="343" spans="2:2" ht="15.75" customHeight="1" x14ac:dyDescent="0.3">
      <c r="B343" s="33"/>
    </row>
    <row r="344" spans="2:2" ht="15.75" customHeight="1" x14ac:dyDescent="0.3">
      <c r="B344" s="33"/>
    </row>
    <row r="345" spans="2:2" ht="15.75" customHeight="1" x14ac:dyDescent="0.3">
      <c r="B345" s="33"/>
    </row>
    <row r="346" spans="2:2" ht="15.75" customHeight="1" x14ac:dyDescent="0.3">
      <c r="B346" s="33"/>
    </row>
    <row r="347" spans="2:2" ht="15.75" customHeight="1" x14ac:dyDescent="0.3">
      <c r="B347" s="33"/>
    </row>
    <row r="348" spans="2:2" ht="15.75" customHeight="1" x14ac:dyDescent="0.3">
      <c r="B348" s="33"/>
    </row>
    <row r="349" spans="2:2" ht="15.75" customHeight="1" x14ac:dyDescent="0.3">
      <c r="B349" s="33"/>
    </row>
    <row r="350" spans="2:2" ht="15.75" customHeight="1" x14ac:dyDescent="0.3">
      <c r="B350" s="33"/>
    </row>
    <row r="351" spans="2:2" ht="15.75" customHeight="1" x14ac:dyDescent="0.3">
      <c r="B351" s="33"/>
    </row>
    <row r="352" spans="2:2" ht="15.75" customHeight="1" x14ac:dyDescent="0.3">
      <c r="B352" s="33"/>
    </row>
    <row r="353" spans="2:2" ht="15.75" customHeight="1" x14ac:dyDescent="0.3">
      <c r="B353" s="33"/>
    </row>
    <row r="354" spans="2:2" ht="15.75" customHeight="1" x14ac:dyDescent="0.3">
      <c r="B354" s="33"/>
    </row>
    <row r="355" spans="2:2" ht="15.75" customHeight="1" x14ac:dyDescent="0.3">
      <c r="B355" s="33"/>
    </row>
    <row r="356" spans="2:2" ht="15.75" customHeight="1" x14ac:dyDescent="0.3">
      <c r="B356" s="33"/>
    </row>
    <row r="357" spans="2:2" ht="15.75" customHeight="1" x14ac:dyDescent="0.3">
      <c r="B357" s="33"/>
    </row>
    <row r="358" spans="2:2" ht="15.75" customHeight="1" x14ac:dyDescent="0.3">
      <c r="B358" s="33"/>
    </row>
    <row r="359" spans="2:2" ht="15.75" customHeight="1" x14ac:dyDescent="0.3">
      <c r="B359" s="33"/>
    </row>
    <row r="360" spans="2:2" ht="15.75" customHeight="1" x14ac:dyDescent="0.3">
      <c r="B360" s="33"/>
    </row>
    <row r="361" spans="2:2" ht="15.75" customHeight="1" x14ac:dyDescent="0.3">
      <c r="B361" s="33"/>
    </row>
    <row r="362" spans="2:2" ht="15.75" customHeight="1" x14ac:dyDescent="0.3">
      <c r="B362" s="33"/>
    </row>
    <row r="363" spans="2:2" ht="15.75" customHeight="1" x14ac:dyDescent="0.3">
      <c r="B363" s="33"/>
    </row>
    <row r="364" spans="2:2" ht="15.75" customHeight="1" x14ac:dyDescent="0.3">
      <c r="B364" s="33"/>
    </row>
    <row r="365" spans="2:2" ht="15.75" customHeight="1" x14ac:dyDescent="0.3">
      <c r="B365" s="33"/>
    </row>
    <row r="366" spans="2:2" ht="15.75" customHeight="1" x14ac:dyDescent="0.3">
      <c r="B366" s="33"/>
    </row>
    <row r="367" spans="2:2" ht="15.75" customHeight="1" x14ac:dyDescent="0.3">
      <c r="B367" s="33"/>
    </row>
    <row r="368" spans="2:2" ht="15.75" customHeight="1" x14ac:dyDescent="0.3">
      <c r="B368" s="33"/>
    </row>
    <row r="369" spans="2:2" ht="15.75" customHeight="1" x14ac:dyDescent="0.3">
      <c r="B369" s="33"/>
    </row>
    <row r="370" spans="2:2" ht="15.75" customHeight="1" x14ac:dyDescent="0.3">
      <c r="B370" s="33"/>
    </row>
    <row r="371" spans="2:2" ht="15.75" customHeight="1" x14ac:dyDescent="0.3">
      <c r="B371" s="33"/>
    </row>
    <row r="372" spans="2:2" ht="15.75" customHeight="1" x14ac:dyDescent="0.3">
      <c r="B372" s="33"/>
    </row>
    <row r="373" spans="2:2" ht="15.75" customHeight="1" x14ac:dyDescent="0.3">
      <c r="B373" s="33"/>
    </row>
    <row r="374" spans="2:2" ht="15.75" customHeight="1" x14ac:dyDescent="0.3">
      <c r="B374" s="33"/>
    </row>
    <row r="375" spans="2:2" ht="15.75" customHeight="1" x14ac:dyDescent="0.3">
      <c r="B375" s="33"/>
    </row>
    <row r="376" spans="2:2" ht="15.75" customHeight="1" x14ac:dyDescent="0.3">
      <c r="B376" s="33"/>
    </row>
    <row r="377" spans="2:2" ht="15.75" customHeight="1" x14ac:dyDescent="0.3">
      <c r="B377" s="33"/>
    </row>
    <row r="378" spans="2:2" ht="15.75" customHeight="1" x14ac:dyDescent="0.3">
      <c r="B378" s="33"/>
    </row>
    <row r="379" spans="2:2" ht="15.75" customHeight="1" x14ac:dyDescent="0.3">
      <c r="B379" s="33"/>
    </row>
    <row r="380" spans="2:2" ht="15.75" customHeight="1" x14ac:dyDescent="0.3">
      <c r="B380" s="33"/>
    </row>
    <row r="381" spans="2:2" ht="15.75" customHeight="1" x14ac:dyDescent="0.3">
      <c r="B381" s="33"/>
    </row>
    <row r="382" spans="2:2" ht="15.75" customHeight="1" x14ac:dyDescent="0.3">
      <c r="B382" s="33"/>
    </row>
    <row r="383" spans="2:2" ht="15.75" customHeight="1" x14ac:dyDescent="0.3">
      <c r="B383" s="33"/>
    </row>
    <row r="384" spans="2:2" ht="15.75" customHeight="1" x14ac:dyDescent="0.3">
      <c r="B384" s="33"/>
    </row>
    <row r="385" spans="2:2" ht="15.75" customHeight="1" x14ac:dyDescent="0.3">
      <c r="B385" s="33"/>
    </row>
    <row r="386" spans="2:2" ht="15.75" customHeight="1" x14ac:dyDescent="0.3">
      <c r="B386" s="33"/>
    </row>
    <row r="387" spans="2:2" ht="15.75" customHeight="1" x14ac:dyDescent="0.3">
      <c r="B387" s="33"/>
    </row>
    <row r="388" spans="2:2" ht="15.75" customHeight="1" x14ac:dyDescent="0.3">
      <c r="B388" s="33"/>
    </row>
    <row r="389" spans="2:2" ht="15.75" customHeight="1" x14ac:dyDescent="0.3">
      <c r="B389" s="33"/>
    </row>
    <row r="390" spans="2:2" ht="15.75" customHeight="1" x14ac:dyDescent="0.3">
      <c r="B390" s="33"/>
    </row>
    <row r="391" spans="2:2" ht="15.75" customHeight="1" x14ac:dyDescent="0.3">
      <c r="B391" s="33"/>
    </row>
    <row r="392" spans="2:2" ht="15.75" customHeight="1" x14ac:dyDescent="0.3">
      <c r="B392" s="33"/>
    </row>
    <row r="393" spans="2:2" ht="15.75" customHeight="1" x14ac:dyDescent="0.3">
      <c r="B393" s="33"/>
    </row>
    <row r="394" spans="2:2" ht="15.75" customHeight="1" x14ac:dyDescent="0.3">
      <c r="B394" s="33"/>
    </row>
    <row r="395" spans="2:2" ht="15.75" customHeight="1" x14ac:dyDescent="0.3">
      <c r="B395" s="33"/>
    </row>
    <row r="396" spans="2:2" ht="15.75" customHeight="1" x14ac:dyDescent="0.3">
      <c r="B396" s="33"/>
    </row>
    <row r="397" spans="2:2" ht="15.75" customHeight="1" x14ac:dyDescent="0.3">
      <c r="B397" s="33"/>
    </row>
    <row r="398" spans="2:2" ht="15.75" customHeight="1" x14ac:dyDescent="0.3">
      <c r="B398" s="33"/>
    </row>
    <row r="399" spans="2:2" ht="15.75" customHeight="1" x14ac:dyDescent="0.3">
      <c r="B399" s="33"/>
    </row>
    <row r="400" spans="2:2" ht="15.75" customHeight="1" x14ac:dyDescent="0.3">
      <c r="B400" s="33"/>
    </row>
    <row r="401" spans="2:2" ht="15.75" customHeight="1" x14ac:dyDescent="0.3">
      <c r="B401" s="33"/>
    </row>
    <row r="402" spans="2:2" ht="15.75" customHeight="1" x14ac:dyDescent="0.3">
      <c r="B402" s="33"/>
    </row>
    <row r="403" spans="2:2" ht="15.75" customHeight="1" x14ac:dyDescent="0.3">
      <c r="B403" s="33"/>
    </row>
    <row r="404" spans="2:2" ht="15.75" customHeight="1" x14ac:dyDescent="0.3">
      <c r="B404" s="33"/>
    </row>
    <row r="405" spans="2:2" ht="15.75" customHeight="1" x14ac:dyDescent="0.3">
      <c r="B405" s="33"/>
    </row>
    <row r="406" spans="2:2" ht="15.75" customHeight="1" x14ac:dyDescent="0.3">
      <c r="B406" s="33"/>
    </row>
    <row r="407" spans="2:2" ht="15.75" customHeight="1" x14ac:dyDescent="0.3">
      <c r="B407" s="33"/>
    </row>
    <row r="408" spans="2:2" ht="15.75" customHeight="1" x14ac:dyDescent="0.3">
      <c r="B408" s="33"/>
    </row>
    <row r="409" spans="2:2" ht="15.75" customHeight="1" x14ac:dyDescent="0.3">
      <c r="B409" s="33"/>
    </row>
    <row r="410" spans="2:2" ht="15.75" customHeight="1" x14ac:dyDescent="0.3">
      <c r="B410" s="33"/>
    </row>
    <row r="411" spans="2:2" ht="15.75" customHeight="1" x14ac:dyDescent="0.3">
      <c r="B411" s="33"/>
    </row>
    <row r="412" spans="2:2" ht="15.75" customHeight="1" x14ac:dyDescent="0.3">
      <c r="B412" s="33"/>
    </row>
    <row r="413" spans="2:2" ht="15.75" customHeight="1" x14ac:dyDescent="0.3">
      <c r="B413" s="33"/>
    </row>
    <row r="414" spans="2:2" ht="15.75" customHeight="1" x14ac:dyDescent="0.3">
      <c r="B414" s="33"/>
    </row>
    <row r="415" spans="2:2" ht="15.75" customHeight="1" x14ac:dyDescent="0.3">
      <c r="B415" s="33"/>
    </row>
    <row r="416" spans="2:2" ht="15.75" customHeight="1" x14ac:dyDescent="0.3">
      <c r="B416" s="33"/>
    </row>
    <row r="417" spans="2:2" ht="15.75" customHeight="1" x14ac:dyDescent="0.3">
      <c r="B417" s="33"/>
    </row>
    <row r="418" spans="2:2" ht="15.75" customHeight="1" x14ac:dyDescent="0.3">
      <c r="B418" s="33"/>
    </row>
    <row r="419" spans="2:2" ht="15.75" customHeight="1" x14ac:dyDescent="0.3">
      <c r="B419" s="33"/>
    </row>
    <row r="420" spans="2:2" ht="15.75" customHeight="1" x14ac:dyDescent="0.3">
      <c r="B420" s="33"/>
    </row>
    <row r="421" spans="2:2" ht="15.75" customHeight="1" x14ac:dyDescent="0.3">
      <c r="B421" s="33"/>
    </row>
    <row r="422" spans="2:2" ht="15.75" customHeight="1" x14ac:dyDescent="0.3">
      <c r="B422" s="33"/>
    </row>
    <row r="423" spans="2:2" ht="15.75" customHeight="1" x14ac:dyDescent="0.3">
      <c r="B423" s="33"/>
    </row>
    <row r="424" spans="2:2" ht="15.75" customHeight="1" x14ac:dyDescent="0.3">
      <c r="B424" s="33"/>
    </row>
    <row r="425" spans="2:2" ht="15.75" customHeight="1" x14ac:dyDescent="0.3">
      <c r="B425" s="33"/>
    </row>
    <row r="426" spans="2:2" ht="15.75" customHeight="1" x14ac:dyDescent="0.3">
      <c r="B426" s="33"/>
    </row>
    <row r="427" spans="2:2" ht="15.75" customHeight="1" x14ac:dyDescent="0.3">
      <c r="B427" s="33"/>
    </row>
    <row r="428" spans="2:2" ht="15.75" customHeight="1" x14ac:dyDescent="0.3">
      <c r="B428" s="33"/>
    </row>
    <row r="429" spans="2:2" ht="15.75" customHeight="1" x14ac:dyDescent="0.3">
      <c r="B429" s="33"/>
    </row>
    <row r="430" spans="2:2" ht="15.75" customHeight="1" x14ac:dyDescent="0.3">
      <c r="B430" s="33"/>
    </row>
    <row r="431" spans="2:2" ht="15.75" customHeight="1" x14ac:dyDescent="0.3">
      <c r="B431" s="33"/>
    </row>
    <row r="432" spans="2:2" ht="15.75" customHeight="1" x14ac:dyDescent="0.3">
      <c r="B432" s="33"/>
    </row>
    <row r="433" spans="2:2" ht="15.75" customHeight="1" x14ac:dyDescent="0.3">
      <c r="B433" s="33"/>
    </row>
    <row r="434" spans="2:2" ht="15.75" customHeight="1" x14ac:dyDescent="0.3">
      <c r="B434" s="33"/>
    </row>
    <row r="435" spans="2:2" ht="15.75" customHeight="1" x14ac:dyDescent="0.3">
      <c r="B435" s="33"/>
    </row>
    <row r="436" spans="2:2" ht="15.75" customHeight="1" x14ac:dyDescent="0.3">
      <c r="B436" s="33"/>
    </row>
    <row r="437" spans="2:2" ht="15.75" customHeight="1" x14ac:dyDescent="0.3">
      <c r="B437" s="33"/>
    </row>
    <row r="438" spans="2:2" ht="15.75" customHeight="1" x14ac:dyDescent="0.3">
      <c r="B438" s="33"/>
    </row>
    <row r="439" spans="2:2" ht="15.75" customHeight="1" x14ac:dyDescent="0.3">
      <c r="B439" s="33"/>
    </row>
    <row r="440" spans="2:2" ht="15.75" customHeight="1" x14ac:dyDescent="0.3">
      <c r="B440" s="33"/>
    </row>
    <row r="441" spans="2:2" ht="15.75" customHeight="1" x14ac:dyDescent="0.3">
      <c r="B441" s="33"/>
    </row>
    <row r="442" spans="2:2" ht="15.75" customHeight="1" x14ac:dyDescent="0.3">
      <c r="B442" s="33"/>
    </row>
    <row r="443" spans="2:2" ht="15.75" customHeight="1" x14ac:dyDescent="0.3">
      <c r="B443" s="33"/>
    </row>
    <row r="444" spans="2:2" ht="15.75" customHeight="1" x14ac:dyDescent="0.3">
      <c r="B444" s="33"/>
    </row>
    <row r="445" spans="2:2" ht="15.75" customHeight="1" x14ac:dyDescent="0.3">
      <c r="B445" s="33"/>
    </row>
    <row r="446" spans="2:2" ht="15.75" customHeight="1" x14ac:dyDescent="0.3">
      <c r="B446" s="33"/>
    </row>
    <row r="447" spans="2:2" ht="15.75" customHeight="1" x14ac:dyDescent="0.3">
      <c r="B447" s="33"/>
    </row>
    <row r="448" spans="2:2" ht="15.75" customHeight="1" x14ac:dyDescent="0.3">
      <c r="B448" s="33"/>
    </row>
    <row r="449" spans="2:2" ht="15.75" customHeight="1" x14ac:dyDescent="0.3">
      <c r="B449" s="33"/>
    </row>
    <row r="450" spans="2:2" ht="15.75" customHeight="1" x14ac:dyDescent="0.3">
      <c r="B450" s="33"/>
    </row>
    <row r="451" spans="2:2" ht="15.75" customHeight="1" x14ac:dyDescent="0.3">
      <c r="B451" s="33"/>
    </row>
    <row r="452" spans="2:2" ht="15.75" customHeight="1" x14ac:dyDescent="0.3">
      <c r="B452" s="33"/>
    </row>
    <row r="453" spans="2:2" ht="15.75" customHeight="1" x14ac:dyDescent="0.3">
      <c r="B453" s="33"/>
    </row>
    <row r="454" spans="2:2" ht="15.75" customHeight="1" x14ac:dyDescent="0.3">
      <c r="B454" s="33"/>
    </row>
    <row r="455" spans="2:2" ht="15.75" customHeight="1" x14ac:dyDescent="0.3">
      <c r="B455" s="33"/>
    </row>
    <row r="456" spans="2:2" ht="15.75" customHeight="1" x14ac:dyDescent="0.3">
      <c r="B456" s="33"/>
    </row>
    <row r="457" spans="2:2" ht="15.75" customHeight="1" x14ac:dyDescent="0.3">
      <c r="B457" s="33"/>
    </row>
    <row r="458" spans="2:2" ht="15.75" customHeight="1" x14ac:dyDescent="0.3">
      <c r="B458" s="33"/>
    </row>
    <row r="459" spans="2:2" ht="15.75" customHeight="1" x14ac:dyDescent="0.3">
      <c r="B459" s="33"/>
    </row>
    <row r="460" spans="2:2" ht="15.75" customHeight="1" x14ac:dyDescent="0.3">
      <c r="B460" s="33"/>
    </row>
    <row r="461" spans="2:2" ht="15.75" customHeight="1" x14ac:dyDescent="0.3">
      <c r="B461" s="33"/>
    </row>
    <row r="462" spans="2:2" ht="15.75" customHeight="1" x14ac:dyDescent="0.3">
      <c r="B462" s="33"/>
    </row>
    <row r="463" spans="2:2" ht="15.75" customHeight="1" x14ac:dyDescent="0.3">
      <c r="B463" s="33"/>
    </row>
    <row r="464" spans="2:2" ht="15.75" customHeight="1" x14ac:dyDescent="0.3">
      <c r="B464" s="33"/>
    </row>
    <row r="465" spans="2:2" ht="15.75" customHeight="1" x14ac:dyDescent="0.3">
      <c r="B465" s="33"/>
    </row>
    <row r="466" spans="2:2" ht="15.75" customHeight="1" x14ac:dyDescent="0.3">
      <c r="B466" s="33"/>
    </row>
    <row r="467" spans="2:2" ht="15.75" customHeight="1" x14ac:dyDescent="0.3">
      <c r="B467" s="33"/>
    </row>
    <row r="468" spans="2:2" ht="15.75" customHeight="1" x14ac:dyDescent="0.3">
      <c r="B468" s="33"/>
    </row>
    <row r="469" spans="2:2" ht="15.75" customHeight="1" x14ac:dyDescent="0.3">
      <c r="B469" s="33"/>
    </row>
    <row r="470" spans="2:2" ht="15.75" customHeight="1" x14ac:dyDescent="0.3">
      <c r="B470" s="33"/>
    </row>
    <row r="471" spans="2:2" ht="15.75" customHeight="1" x14ac:dyDescent="0.3">
      <c r="B471" s="33"/>
    </row>
    <row r="472" spans="2:2" ht="15.75" customHeight="1" x14ac:dyDescent="0.3">
      <c r="B472" s="33"/>
    </row>
    <row r="473" spans="2:2" ht="15.75" customHeight="1" x14ac:dyDescent="0.3">
      <c r="B473" s="33"/>
    </row>
    <row r="474" spans="2:2" ht="15.75" customHeight="1" x14ac:dyDescent="0.3">
      <c r="B474" s="33"/>
    </row>
    <row r="475" spans="2:2" ht="15.75" customHeight="1" x14ac:dyDescent="0.3">
      <c r="B475" s="33"/>
    </row>
    <row r="476" spans="2:2" ht="15.75" customHeight="1" x14ac:dyDescent="0.3">
      <c r="B476" s="33"/>
    </row>
    <row r="477" spans="2:2" ht="15.75" customHeight="1" x14ac:dyDescent="0.3">
      <c r="B477" s="33"/>
    </row>
    <row r="478" spans="2:2" ht="15.75" customHeight="1" x14ac:dyDescent="0.3">
      <c r="B478" s="33"/>
    </row>
    <row r="479" spans="2:2" ht="15.75" customHeight="1" x14ac:dyDescent="0.3">
      <c r="B479" s="33"/>
    </row>
    <row r="480" spans="2:2" ht="15.75" customHeight="1" x14ac:dyDescent="0.3">
      <c r="B480" s="33"/>
    </row>
    <row r="481" spans="2:2" ht="15.75" customHeight="1" x14ac:dyDescent="0.3">
      <c r="B481" s="33"/>
    </row>
    <row r="482" spans="2:2" ht="15.75" customHeight="1" x14ac:dyDescent="0.3">
      <c r="B482" s="33"/>
    </row>
    <row r="483" spans="2:2" ht="15.75" customHeight="1" x14ac:dyDescent="0.3">
      <c r="B483" s="33"/>
    </row>
    <row r="484" spans="2:2" ht="15.75" customHeight="1" x14ac:dyDescent="0.3">
      <c r="B484" s="33"/>
    </row>
    <row r="485" spans="2:2" ht="15.75" customHeight="1" x14ac:dyDescent="0.3">
      <c r="B485" s="33"/>
    </row>
    <row r="486" spans="2:2" ht="15.75" customHeight="1" x14ac:dyDescent="0.3">
      <c r="B486" s="33"/>
    </row>
    <row r="487" spans="2:2" ht="15.75" customHeight="1" x14ac:dyDescent="0.3">
      <c r="B487" s="33"/>
    </row>
    <row r="488" spans="2:2" ht="15.75" customHeight="1" x14ac:dyDescent="0.3">
      <c r="B488" s="33"/>
    </row>
    <row r="489" spans="2:2" ht="15.75" customHeight="1" x14ac:dyDescent="0.3">
      <c r="B489" s="33"/>
    </row>
    <row r="490" spans="2:2" ht="15.75" customHeight="1" x14ac:dyDescent="0.3">
      <c r="B490" s="33"/>
    </row>
    <row r="491" spans="2:2" ht="15.75" customHeight="1" x14ac:dyDescent="0.3">
      <c r="B491" s="33"/>
    </row>
    <row r="492" spans="2:2" ht="15.75" customHeight="1" x14ac:dyDescent="0.3">
      <c r="B492" s="33"/>
    </row>
    <row r="493" spans="2:2" ht="15.75" customHeight="1" x14ac:dyDescent="0.3">
      <c r="B493" s="33"/>
    </row>
    <row r="494" spans="2:2" ht="15.75" customHeight="1" x14ac:dyDescent="0.3">
      <c r="B494" s="33"/>
    </row>
    <row r="495" spans="2:2" ht="15.75" customHeight="1" x14ac:dyDescent="0.3">
      <c r="B495" s="33"/>
    </row>
    <row r="496" spans="2:2" ht="15.75" customHeight="1" x14ac:dyDescent="0.3">
      <c r="B496" s="33"/>
    </row>
    <row r="497" spans="2:2" ht="15.75" customHeight="1" x14ac:dyDescent="0.3">
      <c r="B497" s="33"/>
    </row>
    <row r="498" spans="2:2" ht="15.75" customHeight="1" x14ac:dyDescent="0.3">
      <c r="B498" s="33"/>
    </row>
    <row r="499" spans="2:2" ht="15.75" customHeight="1" x14ac:dyDescent="0.3">
      <c r="B499" s="33"/>
    </row>
    <row r="500" spans="2:2" ht="15.75" customHeight="1" x14ac:dyDescent="0.3">
      <c r="B500" s="33"/>
    </row>
    <row r="501" spans="2:2" ht="15.75" customHeight="1" x14ac:dyDescent="0.3">
      <c r="B501" s="33"/>
    </row>
    <row r="502" spans="2:2" ht="15.75" customHeight="1" x14ac:dyDescent="0.3">
      <c r="B502" s="33"/>
    </row>
    <row r="503" spans="2:2" ht="15.75" customHeight="1" x14ac:dyDescent="0.3">
      <c r="B503" s="33"/>
    </row>
    <row r="504" spans="2:2" ht="15.75" customHeight="1" x14ac:dyDescent="0.3">
      <c r="B504" s="33"/>
    </row>
    <row r="505" spans="2:2" ht="15.75" customHeight="1" x14ac:dyDescent="0.3">
      <c r="B505" s="33"/>
    </row>
    <row r="506" spans="2:2" ht="15.75" customHeight="1" x14ac:dyDescent="0.3">
      <c r="B506" s="33"/>
    </row>
    <row r="507" spans="2:2" ht="15.75" customHeight="1" x14ac:dyDescent="0.3">
      <c r="B507" s="33"/>
    </row>
    <row r="508" spans="2:2" ht="15.75" customHeight="1" x14ac:dyDescent="0.3">
      <c r="B508" s="33"/>
    </row>
    <row r="509" spans="2:2" ht="15.75" customHeight="1" x14ac:dyDescent="0.3">
      <c r="B509" s="33"/>
    </row>
    <row r="510" spans="2:2" ht="15.75" customHeight="1" x14ac:dyDescent="0.3">
      <c r="B510" s="33"/>
    </row>
    <row r="511" spans="2:2" ht="15.75" customHeight="1" x14ac:dyDescent="0.3">
      <c r="B511" s="33"/>
    </row>
    <row r="512" spans="2:2" ht="15.75" customHeight="1" x14ac:dyDescent="0.3">
      <c r="B512" s="33"/>
    </row>
    <row r="513" spans="2:2" ht="15.75" customHeight="1" x14ac:dyDescent="0.3">
      <c r="B513" s="33"/>
    </row>
    <row r="514" spans="2:2" ht="15.75" customHeight="1" x14ac:dyDescent="0.3">
      <c r="B514" s="33"/>
    </row>
    <row r="515" spans="2:2" ht="15.75" customHeight="1" x14ac:dyDescent="0.3">
      <c r="B515" s="33"/>
    </row>
    <row r="516" spans="2:2" ht="15.75" customHeight="1" x14ac:dyDescent="0.3">
      <c r="B516" s="33"/>
    </row>
    <row r="517" spans="2:2" ht="15.75" customHeight="1" x14ac:dyDescent="0.3">
      <c r="B517" s="33"/>
    </row>
    <row r="518" spans="2:2" ht="15.75" customHeight="1" x14ac:dyDescent="0.3">
      <c r="B518" s="33"/>
    </row>
    <row r="519" spans="2:2" ht="15.75" customHeight="1" x14ac:dyDescent="0.3">
      <c r="B519" s="33"/>
    </row>
    <row r="520" spans="2:2" ht="15.75" customHeight="1" x14ac:dyDescent="0.3">
      <c r="B520" s="33"/>
    </row>
    <row r="521" spans="2:2" ht="15.75" customHeight="1" x14ac:dyDescent="0.3">
      <c r="B521" s="33"/>
    </row>
    <row r="522" spans="2:2" ht="15.75" customHeight="1" x14ac:dyDescent="0.3">
      <c r="B522" s="33"/>
    </row>
    <row r="523" spans="2:2" ht="15.75" customHeight="1" x14ac:dyDescent="0.3">
      <c r="B523" s="33"/>
    </row>
    <row r="524" spans="2:2" ht="15.75" customHeight="1" x14ac:dyDescent="0.3">
      <c r="B524" s="33"/>
    </row>
    <row r="525" spans="2:2" ht="15.75" customHeight="1" x14ac:dyDescent="0.3">
      <c r="B525" s="33"/>
    </row>
    <row r="526" spans="2:2" ht="15.75" customHeight="1" x14ac:dyDescent="0.3">
      <c r="B526" s="33"/>
    </row>
    <row r="527" spans="2:2" ht="15.75" customHeight="1" x14ac:dyDescent="0.3">
      <c r="B527" s="33"/>
    </row>
    <row r="528" spans="2:2" ht="15.75" customHeight="1" x14ac:dyDescent="0.3">
      <c r="B528" s="33"/>
    </row>
    <row r="529" spans="2:2" ht="15.75" customHeight="1" x14ac:dyDescent="0.3">
      <c r="B529" s="33"/>
    </row>
    <row r="530" spans="2:2" ht="15.75" customHeight="1" x14ac:dyDescent="0.3">
      <c r="B530" s="33"/>
    </row>
    <row r="531" spans="2:2" ht="15.75" customHeight="1" x14ac:dyDescent="0.3">
      <c r="B531" s="33"/>
    </row>
    <row r="532" spans="2:2" ht="15.75" customHeight="1" x14ac:dyDescent="0.3">
      <c r="B532" s="33"/>
    </row>
    <row r="533" spans="2:2" ht="15.75" customHeight="1" x14ac:dyDescent="0.3">
      <c r="B533" s="33"/>
    </row>
    <row r="534" spans="2:2" ht="15.75" customHeight="1" x14ac:dyDescent="0.3">
      <c r="B534" s="33"/>
    </row>
    <row r="535" spans="2:2" ht="15.75" customHeight="1" x14ac:dyDescent="0.3">
      <c r="B535" s="33"/>
    </row>
    <row r="536" spans="2:2" ht="15.75" customHeight="1" x14ac:dyDescent="0.3">
      <c r="B536" s="33"/>
    </row>
    <row r="537" spans="2:2" ht="15.75" customHeight="1" x14ac:dyDescent="0.3">
      <c r="B537" s="33"/>
    </row>
    <row r="538" spans="2:2" ht="15.75" customHeight="1" x14ac:dyDescent="0.3">
      <c r="B538" s="33"/>
    </row>
    <row r="539" spans="2:2" ht="15.75" customHeight="1" x14ac:dyDescent="0.3">
      <c r="B539" s="33"/>
    </row>
    <row r="540" spans="2:2" ht="15.75" customHeight="1" x14ac:dyDescent="0.3">
      <c r="B540" s="33"/>
    </row>
    <row r="541" spans="2:2" ht="15.75" customHeight="1" x14ac:dyDescent="0.3">
      <c r="B541" s="33"/>
    </row>
    <row r="542" spans="2:2" ht="15.75" customHeight="1" x14ac:dyDescent="0.3">
      <c r="B542" s="33"/>
    </row>
    <row r="543" spans="2:2" ht="15.75" customHeight="1" x14ac:dyDescent="0.3">
      <c r="B543" s="33"/>
    </row>
    <row r="544" spans="2:2" ht="15.75" customHeight="1" x14ac:dyDescent="0.3">
      <c r="B544" s="33"/>
    </row>
    <row r="545" spans="2:2" ht="15.75" customHeight="1" x14ac:dyDescent="0.3">
      <c r="B545" s="33"/>
    </row>
    <row r="546" spans="2:2" ht="15.75" customHeight="1" x14ac:dyDescent="0.3">
      <c r="B546" s="33"/>
    </row>
    <row r="547" spans="2:2" ht="15.75" customHeight="1" x14ac:dyDescent="0.3">
      <c r="B547" s="33"/>
    </row>
    <row r="548" spans="2:2" ht="15.75" customHeight="1" x14ac:dyDescent="0.3">
      <c r="B548" s="33"/>
    </row>
    <row r="549" spans="2:2" ht="15.75" customHeight="1" x14ac:dyDescent="0.3">
      <c r="B549" s="33"/>
    </row>
    <row r="550" spans="2:2" ht="15.75" customHeight="1" x14ac:dyDescent="0.3">
      <c r="B550" s="33"/>
    </row>
    <row r="551" spans="2:2" ht="15.75" customHeight="1" x14ac:dyDescent="0.3">
      <c r="B551" s="33"/>
    </row>
    <row r="552" spans="2:2" ht="15.75" customHeight="1" x14ac:dyDescent="0.3">
      <c r="B552" s="33"/>
    </row>
    <row r="553" spans="2:2" ht="15.75" customHeight="1" x14ac:dyDescent="0.3">
      <c r="B553" s="33"/>
    </row>
    <row r="554" spans="2:2" ht="15.75" customHeight="1" x14ac:dyDescent="0.3">
      <c r="B554" s="33"/>
    </row>
    <row r="555" spans="2:2" ht="15.75" customHeight="1" x14ac:dyDescent="0.3">
      <c r="B555" s="33"/>
    </row>
    <row r="556" spans="2:2" ht="15.75" customHeight="1" x14ac:dyDescent="0.3">
      <c r="B556" s="33"/>
    </row>
    <row r="557" spans="2:2" ht="15.75" customHeight="1" x14ac:dyDescent="0.3">
      <c r="B557" s="33"/>
    </row>
    <row r="558" spans="2:2" ht="15.75" customHeight="1" x14ac:dyDescent="0.3">
      <c r="B558" s="33"/>
    </row>
    <row r="559" spans="2:2" ht="15.75" customHeight="1" x14ac:dyDescent="0.3">
      <c r="B559" s="33"/>
    </row>
    <row r="560" spans="2:2" ht="15.75" customHeight="1" x14ac:dyDescent="0.3">
      <c r="B560" s="33"/>
    </row>
    <row r="561" spans="2:2" ht="15.75" customHeight="1" x14ac:dyDescent="0.3">
      <c r="B561" s="33"/>
    </row>
    <row r="562" spans="2:2" ht="15.75" customHeight="1" x14ac:dyDescent="0.3">
      <c r="B562" s="33"/>
    </row>
    <row r="563" spans="2:2" ht="15.75" customHeight="1" x14ac:dyDescent="0.3">
      <c r="B563" s="33"/>
    </row>
    <row r="564" spans="2:2" ht="15.75" customHeight="1" x14ac:dyDescent="0.3">
      <c r="B564" s="33"/>
    </row>
    <row r="565" spans="2:2" ht="15.75" customHeight="1" x14ac:dyDescent="0.3">
      <c r="B565" s="33"/>
    </row>
    <row r="566" spans="2:2" ht="15.75" customHeight="1" x14ac:dyDescent="0.3">
      <c r="B566" s="33"/>
    </row>
    <row r="567" spans="2:2" ht="15.75" customHeight="1" x14ac:dyDescent="0.3">
      <c r="B567" s="33"/>
    </row>
    <row r="568" spans="2:2" ht="15.75" customHeight="1" x14ac:dyDescent="0.3">
      <c r="B568" s="33"/>
    </row>
    <row r="569" spans="2:2" ht="15.75" customHeight="1" x14ac:dyDescent="0.3">
      <c r="B569" s="33"/>
    </row>
    <row r="570" spans="2:2" ht="15.75" customHeight="1" x14ac:dyDescent="0.3">
      <c r="B570" s="33"/>
    </row>
    <row r="571" spans="2:2" ht="15.75" customHeight="1" x14ac:dyDescent="0.3">
      <c r="B571" s="33"/>
    </row>
    <row r="572" spans="2:2" ht="15.75" customHeight="1" x14ac:dyDescent="0.3">
      <c r="B572" s="33"/>
    </row>
    <row r="573" spans="2:2" ht="15.75" customHeight="1" x14ac:dyDescent="0.3">
      <c r="B573" s="33"/>
    </row>
    <row r="574" spans="2:2" ht="15.75" customHeight="1" x14ac:dyDescent="0.3">
      <c r="B574" s="33"/>
    </row>
    <row r="575" spans="2:2" ht="15.75" customHeight="1" x14ac:dyDescent="0.3">
      <c r="B575" s="33"/>
    </row>
    <row r="576" spans="2:2" ht="15.75" customHeight="1" x14ac:dyDescent="0.3">
      <c r="B576" s="33"/>
    </row>
    <row r="577" spans="2:2" ht="15.75" customHeight="1" x14ac:dyDescent="0.3">
      <c r="B577" s="33"/>
    </row>
    <row r="578" spans="2:2" ht="15.75" customHeight="1" x14ac:dyDescent="0.3">
      <c r="B578" s="33"/>
    </row>
    <row r="579" spans="2:2" ht="15.75" customHeight="1" x14ac:dyDescent="0.3">
      <c r="B579" s="33"/>
    </row>
    <row r="580" spans="2:2" ht="15.75" customHeight="1" x14ac:dyDescent="0.3">
      <c r="B580" s="33"/>
    </row>
    <row r="581" spans="2:2" ht="15.75" customHeight="1" x14ac:dyDescent="0.3">
      <c r="B581" s="33"/>
    </row>
    <row r="582" spans="2:2" ht="15.75" customHeight="1" x14ac:dyDescent="0.3">
      <c r="B582" s="33"/>
    </row>
    <row r="583" spans="2:2" ht="15.75" customHeight="1" x14ac:dyDescent="0.3">
      <c r="B583" s="33"/>
    </row>
    <row r="584" spans="2:2" ht="15.75" customHeight="1" x14ac:dyDescent="0.3">
      <c r="B584" s="33"/>
    </row>
    <row r="585" spans="2:2" ht="15.75" customHeight="1" x14ac:dyDescent="0.3">
      <c r="B585" s="33"/>
    </row>
    <row r="586" spans="2:2" ht="15.75" customHeight="1" x14ac:dyDescent="0.3">
      <c r="B586" s="33"/>
    </row>
    <row r="587" spans="2:2" ht="15.75" customHeight="1" x14ac:dyDescent="0.3">
      <c r="B587" s="33"/>
    </row>
    <row r="588" spans="2:2" ht="15.75" customHeight="1" x14ac:dyDescent="0.3">
      <c r="B588" s="33"/>
    </row>
    <row r="589" spans="2:2" ht="15.75" customHeight="1" x14ac:dyDescent="0.3">
      <c r="B589" s="33"/>
    </row>
    <row r="590" spans="2:2" ht="15.75" customHeight="1" x14ac:dyDescent="0.3">
      <c r="B590" s="33"/>
    </row>
    <row r="591" spans="2:2" ht="15.75" customHeight="1" x14ac:dyDescent="0.3">
      <c r="B591" s="33"/>
    </row>
    <row r="592" spans="2:2" ht="15.75" customHeight="1" x14ac:dyDescent="0.3">
      <c r="B592" s="33"/>
    </row>
    <row r="593" spans="2:2" ht="15.75" customHeight="1" x14ac:dyDescent="0.3">
      <c r="B593" s="33"/>
    </row>
    <row r="594" spans="2:2" ht="15.75" customHeight="1" x14ac:dyDescent="0.3">
      <c r="B594" s="33"/>
    </row>
    <row r="595" spans="2:2" ht="15.75" customHeight="1" x14ac:dyDescent="0.3">
      <c r="B595" s="33"/>
    </row>
    <row r="596" spans="2:2" ht="15.75" customHeight="1" x14ac:dyDescent="0.3">
      <c r="B596" s="33"/>
    </row>
    <row r="597" spans="2:2" ht="15.75" customHeight="1" x14ac:dyDescent="0.3">
      <c r="B597" s="33"/>
    </row>
    <row r="598" spans="2:2" ht="15.75" customHeight="1" x14ac:dyDescent="0.3">
      <c r="B598" s="33"/>
    </row>
    <row r="599" spans="2:2" ht="15.75" customHeight="1" x14ac:dyDescent="0.3">
      <c r="B599" s="33"/>
    </row>
    <row r="600" spans="2:2" ht="15.75" customHeight="1" x14ac:dyDescent="0.3">
      <c r="B600" s="33"/>
    </row>
    <row r="601" spans="2:2" ht="15.75" customHeight="1" x14ac:dyDescent="0.3">
      <c r="B601" s="33"/>
    </row>
    <row r="602" spans="2:2" ht="15.75" customHeight="1" x14ac:dyDescent="0.3">
      <c r="B602" s="33"/>
    </row>
    <row r="603" spans="2:2" ht="15.75" customHeight="1" x14ac:dyDescent="0.3">
      <c r="B603" s="33"/>
    </row>
    <row r="604" spans="2:2" ht="15.75" customHeight="1" x14ac:dyDescent="0.3">
      <c r="B604" s="33"/>
    </row>
    <row r="605" spans="2:2" ht="15.75" customHeight="1" x14ac:dyDescent="0.3">
      <c r="B605" s="33"/>
    </row>
    <row r="606" spans="2:2" ht="15.75" customHeight="1" x14ac:dyDescent="0.3">
      <c r="B606" s="33"/>
    </row>
    <row r="607" spans="2:2" ht="15.75" customHeight="1" x14ac:dyDescent="0.3">
      <c r="B607" s="33"/>
    </row>
    <row r="608" spans="2:2" ht="15.75" customHeight="1" x14ac:dyDescent="0.3">
      <c r="B608" s="33"/>
    </row>
    <row r="609" spans="2:2" ht="15.75" customHeight="1" x14ac:dyDescent="0.3">
      <c r="B609" s="33"/>
    </row>
    <row r="610" spans="2:2" ht="15.75" customHeight="1" x14ac:dyDescent="0.3">
      <c r="B610" s="33"/>
    </row>
    <row r="611" spans="2:2" ht="15.75" customHeight="1" x14ac:dyDescent="0.3">
      <c r="B611" s="33"/>
    </row>
    <row r="612" spans="2:2" ht="15.75" customHeight="1" x14ac:dyDescent="0.3">
      <c r="B612" s="33"/>
    </row>
    <row r="613" spans="2:2" ht="15.75" customHeight="1" x14ac:dyDescent="0.3">
      <c r="B613" s="33"/>
    </row>
    <row r="614" spans="2:2" ht="15.75" customHeight="1" x14ac:dyDescent="0.3">
      <c r="B614" s="33"/>
    </row>
    <row r="615" spans="2:2" ht="15.75" customHeight="1" x14ac:dyDescent="0.3">
      <c r="B615" s="33"/>
    </row>
    <row r="616" spans="2:2" ht="15.75" customHeight="1" x14ac:dyDescent="0.3">
      <c r="B616" s="33"/>
    </row>
    <row r="617" spans="2:2" ht="15.75" customHeight="1" x14ac:dyDescent="0.3">
      <c r="B617" s="33"/>
    </row>
    <row r="618" spans="2:2" ht="15.75" customHeight="1" x14ac:dyDescent="0.3">
      <c r="B618" s="33"/>
    </row>
    <row r="619" spans="2:2" ht="15.75" customHeight="1" x14ac:dyDescent="0.3">
      <c r="B619" s="33"/>
    </row>
    <row r="620" spans="2:2" ht="15.75" customHeight="1" x14ac:dyDescent="0.3">
      <c r="B620" s="33"/>
    </row>
    <row r="621" spans="2:2" ht="15.75" customHeight="1" x14ac:dyDescent="0.3">
      <c r="B621" s="33"/>
    </row>
    <row r="622" spans="2:2" ht="15.75" customHeight="1" x14ac:dyDescent="0.3">
      <c r="B622" s="33"/>
    </row>
    <row r="623" spans="2:2" ht="15.75" customHeight="1" x14ac:dyDescent="0.3">
      <c r="B623" s="33"/>
    </row>
    <row r="624" spans="2:2" ht="15.75" customHeight="1" x14ac:dyDescent="0.3">
      <c r="B624" s="33"/>
    </row>
    <row r="625" spans="2:2" ht="15.75" customHeight="1" x14ac:dyDescent="0.3">
      <c r="B625" s="33"/>
    </row>
    <row r="626" spans="2:2" ht="15.75" customHeight="1" x14ac:dyDescent="0.3">
      <c r="B626" s="33"/>
    </row>
    <row r="627" spans="2:2" ht="15.75" customHeight="1" x14ac:dyDescent="0.3">
      <c r="B627" s="33"/>
    </row>
    <row r="628" spans="2:2" ht="15.75" customHeight="1" x14ac:dyDescent="0.3">
      <c r="B628" s="33"/>
    </row>
    <row r="629" spans="2:2" ht="15.75" customHeight="1" x14ac:dyDescent="0.3">
      <c r="B629" s="33"/>
    </row>
    <row r="630" spans="2:2" ht="15.75" customHeight="1" x14ac:dyDescent="0.3">
      <c r="B630" s="33"/>
    </row>
    <row r="631" spans="2:2" ht="15.75" customHeight="1" x14ac:dyDescent="0.3">
      <c r="B631" s="33"/>
    </row>
    <row r="632" spans="2:2" ht="15.75" customHeight="1" x14ac:dyDescent="0.3">
      <c r="B632" s="33"/>
    </row>
    <row r="633" spans="2:2" ht="15.75" customHeight="1" x14ac:dyDescent="0.3">
      <c r="B633" s="33"/>
    </row>
    <row r="634" spans="2:2" ht="15.75" customHeight="1" x14ac:dyDescent="0.3">
      <c r="B634" s="33"/>
    </row>
    <row r="635" spans="2:2" ht="15.75" customHeight="1" x14ac:dyDescent="0.3">
      <c r="B635" s="33"/>
    </row>
    <row r="636" spans="2:2" ht="15.75" customHeight="1" x14ac:dyDescent="0.3">
      <c r="B636" s="33"/>
    </row>
    <row r="637" spans="2:2" ht="15.75" customHeight="1" x14ac:dyDescent="0.3">
      <c r="B637" s="33"/>
    </row>
    <row r="638" spans="2:2" ht="15.75" customHeight="1" x14ac:dyDescent="0.3">
      <c r="B638" s="33"/>
    </row>
    <row r="639" spans="2:2" ht="15.75" customHeight="1" x14ac:dyDescent="0.3">
      <c r="B639" s="33"/>
    </row>
    <row r="640" spans="2:2" ht="15.75" customHeight="1" x14ac:dyDescent="0.3">
      <c r="B640" s="33"/>
    </row>
    <row r="641" spans="2:2" ht="15.75" customHeight="1" x14ac:dyDescent="0.3">
      <c r="B641" s="33"/>
    </row>
    <row r="642" spans="2:2" ht="15.75" customHeight="1" x14ac:dyDescent="0.3">
      <c r="B642" s="33"/>
    </row>
    <row r="643" spans="2:2" ht="15.75" customHeight="1" x14ac:dyDescent="0.3">
      <c r="B643" s="33"/>
    </row>
    <row r="644" spans="2:2" ht="15.75" customHeight="1" x14ac:dyDescent="0.3">
      <c r="B644" s="33"/>
    </row>
    <row r="645" spans="2:2" ht="15.75" customHeight="1" x14ac:dyDescent="0.3">
      <c r="B645" s="33"/>
    </row>
    <row r="646" spans="2:2" ht="15.75" customHeight="1" x14ac:dyDescent="0.3">
      <c r="B646" s="33"/>
    </row>
    <row r="647" spans="2:2" ht="15.75" customHeight="1" x14ac:dyDescent="0.3">
      <c r="B647" s="33"/>
    </row>
    <row r="648" spans="2:2" ht="15.75" customHeight="1" x14ac:dyDescent="0.3">
      <c r="B648" s="33"/>
    </row>
    <row r="649" spans="2:2" ht="15.75" customHeight="1" x14ac:dyDescent="0.3">
      <c r="B649" s="33"/>
    </row>
    <row r="650" spans="2:2" ht="15.75" customHeight="1" x14ac:dyDescent="0.3">
      <c r="B650" s="33"/>
    </row>
    <row r="651" spans="2:2" ht="15.75" customHeight="1" x14ac:dyDescent="0.3">
      <c r="B651" s="33"/>
    </row>
    <row r="652" spans="2:2" ht="15.75" customHeight="1" x14ac:dyDescent="0.3">
      <c r="B652" s="33"/>
    </row>
    <row r="653" spans="2:2" ht="15.75" customHeight="1" x14ac:dyDescent="0.3">
      <c r="B653" s="33"/>
    </row>
    <row r="654" spans="2:2" ht="15.75" customHeight="1" x14ac:dyDescent="0.3">
      <c r="B654" s="33"/>
    </row>
    <row r="655" spans="2:2" ht="15.75" customHeight="1" x14ac:dyDescent="0.3">
      <c r="B655" s="33"/>
    </row>
    <row r="656" spans="2:2" ht="15.75" customHeight="1" x14ac:dyDescent="0.3">
      <c r="B656" s="33"/>
    </row>
    <row r="657" spans="2:2" ht="15.75" customHeight="1" x14ac:dyDescent="0.3">
      <c r="B657" s="33"/>
    </row>
    <row r="658" spans="2:2" ht="15.75" customHeight="1" x14ac:dyDescent="0.3">
      <c r="B658" s="33"/>
    </row>
    <row r="659" spans="2:2" ht="15.75" customHeight="1" x14ac:dyDescent="0.3">
      <c r="B659" s="33"/>
    </row>
    <row r="660" spans="2:2" ht="15.75" customHeight="1" x14ac:dyDescent="0.3">
      <c r="B660" s="33"/>
    </row>
    <row r="661" spans="2:2" ht="15.75" customHeight="1" x14ac:dyDescent="0.3">
      <c r="B661" s="33"/>
    </row>
    <row r="662" spans="2:2" ht="15.75" customHeight="1" x14ac:dyDescent="0.3">
      <c r="B662" s="33"/>
    </row>
    <row r="663" spans="2:2" ht="15.75" customHeight="1" x14ac:dyDescent="0.3">
      <c r="B663" s="33"/>
    </row>
    <row r="664" spans="2:2" ht="15.75" customHeight="1" x14ac:dyDescent="0.3">
      <c r="B664" s="33"/>
    </row>
    <row r="665" spans="2:2" ht="15.75" customHeight="1" x14ac:dyDescent="0.3">
      <c r="B665" s="33"/>
    </row>
    <row r="666" spans="2:2" ht="15.75" customHeight="1" x14ac:dyDescent="0.3">
      <c r="B666" s="33"/>
    </row>
    <row r="667" spans="2:2" ht="15.75" customHeight="1" x14ac:dyDescent="0.3">
      <c r="B667" s="33"/>
    </row>
    <row r="668" spans="2:2" ht="15.75" customHeight="1" x14ac:dyDescent="0.3">
      <c r="B668" s="33"/>
    </row>
    <row r="669" spans="2:2" ht="15.75" customHeight="1" x14ac:dyDescent="0.3">
      <c r="B669" s="33"/>
    </row>
    <row r="670" spans="2:2" ht="15.75" customHeight="1" x14ac:dyDescent="0.3">
      <c r="B670" s="33"/>
    </row>
    <row r="671" spans="2:2" ht="15.75" customHeight="1" x14ac:dyDescent="0.3">
      <c r="B671" s="33"/>
    </row>
    <row r="672" spans="2:2" ht="15.75" customHeight="1" x14ac:dyDescent="0.3">
      <c r="B672" s="33"/>
    </row>
    <row r="673" spans="2:2" ht="15.75" customHeight="1" x14ac:dyDescent="0.3">
      <c r="B673" s="33"/>
    </row>
    <row r="674" spans="2:2" ht="15.75" customHeight="1" x14ac:dyDescent="0.3">
      <c r="B674" s="33"/>
    </row>
    <row r="675" spans="2:2" ht="15.75" customHeight="1" x14ac:dyDescent="0.3">
      <c r="B675" s="33"/>
    </row>
    <row r="676" spans="2:2" ht="15.75" customHeight="1" x14ac:dyDescent="0.3">
      <c r="B676" s="33"/>
    </row>
    <row r="677" spans="2:2" ht="15.75" customHeight="1" x14ac:dyDescent="0.3">
      <c r="B677" s="33"/>
    </row>
    <row r="678" spans="2:2" ht="15.75" customHeight="1" x14ac:dyDescent="0.3">
      <c r="B678" s="33"/>
    </row>
    <row r="679" spans="2:2" ht="15.75" customHeight="1" x14ac:dyDescent="0.3">
      <c r="B679" s="33"/>
    </row>
    <row r="680" spans="2:2" ht="15.75" customHeight="1" x14ac:dyDescent="0.3">
      <c r="B680" s="33"/>
    </row>
    <row r="681" spans="2:2" ht="15.75" customHeight="1" x14ac:dyDescent="0.3">
      <c r="B681" s="33"/>
    </row>
    <row r="682" spans="2:2" ht="15.75" customHeight="1" x14ac:dyDescent="0.3">
      <c r="B682" s="33"/>
    </row>
    <row r="683" spans="2:2" ht="15.75" customHeight="1" x14ac:dyDescent="0.3">
      <c r="B683" s="33"/>
    </row>
    <row r="684" spans="2:2" ht="15.75" customHeight="1" x14ac:dyDescent="0.3">
      <c r="B684" s="33"/>
    </row>
    <row r="685" spans="2:2" ht="15.75" customHeight="1" x14ac:dyDescent="0.3">
      <c r="B685" s="33"/>
    </row>
    <row r="686" spans="2:2" ht="15.75" customHeight="1" x14ac:dyDescent="0.3">
      <c r="B686" s="33"/>
    </row>
    <row r="687" spans="2:2" ht="15.75" customHeight="1" x14ac:dyDescent="0.3">
      <c r="B687" s="33"/>
    </row>
    <row r="688" spans="2:2" ht="15.75" customHeight="1" x14ac:dyDescent="0.3">
      <c r="B688" s="33"/>
    </row>
    <row r="689" spans="2:2" ht="15.75" customHeight="1" x14ac:dyDescent="0.3">
      <c r="B689" s="33"/>
    </row>
    <row r="690" spans="2:2" ht="15.75" customHeight="1" x14ac:dyDescent="0.3">
      <c r="B690" s="33"/>
    </row>
    <row r="691" spans="2:2" ht="15.75" customHeight="1" x14ac:dyDescent="0.3">
      <c r="B691" s="33"/>
    </row>
    <row r="692" spans="2:2" ht="15.75" customHeight="1" x14ac:dyDescent="0.3">
      <c r="B692" s="33"/>
    </row>
    <row r="693" spans="2:2" ht="15.75" customHeight="1" x14ac:dyDescent="0.3">
      <c r="B693" s="33"/>
    </row>
    <row r="694" spans="2:2" ht="15.75" customHeight="1" x14ac:dyDescent="0.3">
      <c r="B694" s="33"/>
    </row>
    <row r="695" spans="2:2" ht="15.75" customHeight="1" x14ac:dyDescent="0.3">
      <c r="B695" s="33"/>
    </row>
    <row r="696" spans="2:2" ht="15.75" customHeight="1" x14ac:dyDescent="0.3">
      <c r="B696" s="33"/>
    </row>
    <row r="697" spans="2:2" ht="15.75" customHeight="1" x14ac:dyDescent="0.3">
      <c r="B697" s="33"/>
    </row>
    <row r="698" spans="2:2" ht="15.75" customHeight="1" x14ac:dyDescent="0.3">
      <c r="B698" s="33"/>
    </row>
    <row r="699" spans="2:2" ht="15.75" customHeight="1" x14ac:dyDescent="0.3">
      <c r="B699" s="33"/>
    </row>
    <row r="700" spans="2:2" ht="15.75" customHeight="1" x14ac:dyDescent="0.3">
      <c r="B700" s="33"/>
    </row>
    <row r="701" spans="2:2" ht="15.75" customHeight="1" x14ac:dyDescent="0.3">
      <c r="B701" s="33"/>
    </row>
    <row r="702" spans="2:2" ht="15.75" customHeight="1" x14ac:dyDescent="0.3">
      <c r="B702" s="33"/>
    </row>
    <row r="703" spans="2:2" ht="15.75" customHeight="1" x14ac:dyDescent="0.3">
      <c r="B703" s="33"/>
    </row>
    <row r="704" spans="2:2" ht="15.75" customHeight="1" x14ac:dyDescent="0.3">
      <c r="B704" s="33"/>
    </row>
    <row r="705" spans="2:2" ht="15.75" customHeight="1" x14ac:dyDescent="0.3">
      <c r="B705" s="33"/>
    </row>
    <row r="706" spans="2:2" ht="15.75" customHeight="1" x14ac:dyDescent="0.3">
      <c r="B706" s="33"/>
    </row>
    <row r="707" spans="2:2" ht="15.75" customHeight="1" x14ac:dyDescent="0.3">
      <c r="B707" s="33"/>
    </row>
    <row r="708" spans="2:2" ht="15.75" customHeight="1" x14ac:dyDescent="0.3">
      <c r="B708" s="33"/>
    </row>
    <row r="709" spans="2:2" ht="15.75" customHeight="1" x14ac:dyDescent="0.3">
      <c r="B709" s="33"/>
    </row>
    <row r="710" spans="2:2" ht="15.75" customHeight="1" x14ac:dyDescent="0.3">
      <c r="B710" s="33"/>
    </row>
    <row r="711" spans="2:2" ht="15.75" customHeight="1" x14ac:dyDescent="0.3">
      <c r="B711" s="33"/>
    </row>
    <row r="712" spans="2:2" ht="15.75" customHeight="1" x14ac:dyDescent="0.3">
      <c r="B712" s="33"/>
    </row>
    <row r="713" spans="2:2" ht="15.75" customHeight="1" x14ac:dyDescent="0.3">
      <c r="B713" s="33"/>
    </row>
    <row r="714" spans="2:2" ht="15.75" customHeight="1" x14ac:dyDescent="0.3">
      <c r="B714" s="33"/>
    </row>
    <row r="715" spans="2:2" ht="15.75" customHeight="1" x14ac:dyDescent="0.3">
      <c r="B715" s="33"/>
    </row>
    <row r="716" spans="2:2" ht="15.75" customHeight="1" x14ac:dyDescent="0.3">
      <c r="B716" s="33"/>
    </row>
    <row r="717" spans="2:2" ht="15.75" customHeight="1" x14ac:dyDescent="0.3">
      <c r="B717" s="33"/>
    </row>
    <row r="718" spans="2:2" ht="15.75" customHeight="1" x14ac:dyDescent="0.3">
      <c r="B718" s="33"/>
    </row>
    <row r="719" spans="2:2" ht="15.75" customHeight="1" x14ac:dyDescent="0.3">
      <c r="B719" s="33"/>
    </row>
    <row r="720" spans="2:2" ht="15.75" customHeight="1" x14ac:dyDescent="0.3">
      <c r="B720" s="33"/>
    </row>
    <row r="721" spans="2:2" ht="15.75" customHeight="1" x14ac:dyDescent="0.3">
      <c r="B721" s="33"/>
    </row>
    <row r="722" spans="2:2" ht="15.75" customHeight="1" x14ac:dyDescent="0.3">
      <c r="B722" s="33"/>
    </row>
    <row r="723" spans="2:2" ht="15.75" customHeight="1" x14ac:dyDescent="0.3">
      <c r="B723" s="33"/>
    </row>
    <row r="724" spans="2:2" ht="15.75" customHeight="1" x14ac:dyDescent="0.3">
      <c r="B724" s="33"/>
    </row>
    <row r="725" spans="2:2" ht="15.75" customHeight="1" x14ac:dyDescent="0.3">
      <c r="B725" s="33"/>
    </row>
    <row r="726" spans="2:2" ht="15.75" customHeight="1" x14ac:dyDescent="0.3">
      <c r="B726" s="33"/>
    </row>
    <row r="727" spans="2:2" ht="15.75" customHeight="1" x14ac:dyDescent="0.3">
      <c r="B727" s="33"/>
    </row>
    <row r="728" spans="2:2" ht="15.75" customHeight="1" x14ac:dyDescent="0.3">
      <c r="B728" s="33"/>
    </row>
    <row r="729" spans="2:2" ht="15.75" customHeight="1" x14ac:dyDescent="0.3">
      <c r="B729" s="33"/>
    </row>
    <row r="730" spans="2:2" ht="15.75" customHeight="1" x14ac:dyDescent="0.3">
      <c r="B730" s="33"/>
    </row>
    <row r="731" spans="2:2" ht="15.75" customHeight="1" x14ac:dyDescent="0.3">
      <c r="B731" s="33"/>
    </row>
    <row r="732" spans="2:2" ht="15.75" customHeight="1" x14ac:dyDescent="0.3">
      <c r="B732" s="33"/>
    </row>
    <row r="733" spans="2:2" ht="15.75" customHeight="1" x14ac:dyDescent="0.3">
      <c r="B733" s="33"/>
    </row>
    <row r="734" spans="2:2" ht="15.75" customHeight="1" x14ac:dyDescent="0.3">
      <c r="B734" s="33"/>
    </row>
    <row r="735" spans="2:2" ht="15.75" customHeight="1" x14ac:dyDescent="0.3">
      <c r="B735" s="33"/>
    </row>
    <row r="736" spans="2:2" ht="15.75" customHeight="1" x14ac:dyDescent="0.3">
      <c r="B736" s="33"/>
    </row>
    <row r="737" spans="2:2" ht="15.75" customHeight="1" x14ac:dyDescent="0.3">
      <c r="B737" s="33"/>
    </row>
    <row r="738" spans="2:2" ht="15.75" customHeight="1" x14ac:dyDescent="0.3">
      <c r="B738" s="33"/>
    </row>
    <row r="739" spans="2:2" ht="15.75" customHeight="1" x14ac:dyDescent="0.3">
      <c r="B739" s="33"/>
    </row>
    <row r="740" spans="2:2" ht="15.75" customHeight="1" x14ac:dyDescent="0.3">
      <c r="B740" s="33"/>
    </row>
    <row r="741" spans="2:2" ht="15.75" customHeight="1" x14ac:dyDescent="0.3">
      <c r="B741" s="33"/>
    </row>
    <row r="742" spans="2:2" ht="15.75" customHeight="1" x14ac:dyDescent="0.3">
      <c r="B742" s="33"/>
    </row>
    <row r="743" spans="2:2" ht="15.75" customHeight="1" x14ac:dyDescent="0.3">
      <c r="B743" s="33"/>
    </row>
    <row r="744" spans="2:2" ht="15.75" customHeight="1" x14ac:dyDescent="0.3">
      <c r="B744" s="33"/>
    </row>
    <row r="745" spans="2:2" ht="15.75" customHeight="1" x14ac:dyDescent="0.3">
      <c r="B745" s="33"/>
    </row>
    <row r="746" spans="2:2" ht="15.75" customHeight="1" x14ac:dyDescent="0.3">
      <c r="B746" s="33"/>
    </row>
    <row r="747" spans="2:2" ht="15.75" customHeight="1" x14ac:dyDescent="0.3">
      <c r="B747" s="33"/>
    </row>
    <row r="748" spans="2:2" ht="15.75" customHeight="1" x14ac:dyDescent="0.3">
      <c r="B748" s="33"/>
    </row>
    <row r="749" spans="2:2" ht="15.75" customHeight="1" x14ac:dyDescent="0.3">
      <c r="B749" s="33"/>
    </row>
    <row r="750" spans="2:2" ht="15.75" customHeight="1" x14ac:dyDescent="0.3">
      <c r="B750" s="33"/>
    </row>
    <row r="751" spans="2:2" ht="15.75" customHeight="1" x14ac:dyDescent="0.3">
      <c r="B751" s="33"/>
    </row>
    <row r="752" spans="2:2" ht="15.75" customHeight="1" x14ac:dyDescent="0.3">
      <c r="B752" s="33"/>
    </row>
    <row r="753" spans="2:2" ht="15.75" customHeight="1" x14ac:dyDescent="0.3">
      <c r="B753" s="33"/>
    </row>
    <row r="754" spans="2:2" ht="15.75" customHeight="1" x14ac:dyDescent="0.3">
      <c r="B754" s="33"/>
    </row>
    <row r="755" spans="2:2" ht="15.75" customHeight="1" x14ac:dyDescent="0.3">
      <c r="B755" s="33"/>
    </row>
    <row r="756" spans="2:2" ht="15.75" customHeight="1" x14ac:dyDescent="0.3">
      <c r="B756" s="33"/>
    </row>
    <row r="757" spans="2:2" ht="15.75" customHeight="1" x14ac:dyDescent="0.3">
      <c r="B757" s="33"/>
    </row>
    <row r="758" spans="2:2" ht="15.75" customHeight="1" x14ac:dyDescent="0.3">
      <c r="B758" s="33"/>
    </row>
    <row r="759" spans="2:2" ht="15.75" customHeight="1" x14ac:dyDescent="0.3">
      <c r="B759" s="33"/>
    </row>
    <row r="760" spans="2:2" ht="15.75" customHeight="1" x14ac:dyDescent="0.3">
      <c r="B760" s="33"/>
    </row>
    <row r="761" spans="2:2" ht="15.75" customHeight="1" x14ac:dyDescent="0.3">
      <c r="B761" s="33"/>
    </row>
    <row r="762" spans="2:2" ht="15.75" customHeight="1" x14ac:dyDescent="0.3">
      <c r="B762" s="33"/>
    </row>
    <row r="763" spans="2:2" ht="15.75" customHeight="1" x14ac:dyDescent="0.3">
      <c r="B763" s="33"/>
    </row>
    <row r="764" spans="2:2" ht="15.75" customHeight="1" x14ac:dyDescent="0.3">
      <c r="B764" s="33"/>
    </row>
    <row r="765" spans="2:2" ht="15.75" customHeight="1" x14ac:dyDescent="0.3">
      <c r="B765" s="33"/>
    </row>
    <row r="766" spans="2:2" ht="15.75" customHeight="1" x14ac:dyDescent="0.3">
      <c r="B766" s="33"/>
    </row>
    <row r="767" spans="2:2" ht="15.75" customHeight="1" x14ac:dyDescent="0.3">
      <c r="B767" s="33"/>
    </row>
    <row r="768" spans="2:2" ht="15.75" customHeight="1" x14ac:dyDescent="0.3">
      <c r="B768" s="33"/>
    </row>
    <row r="769" spans="2:2" ht="15.75" customHeight="1" x14ac:dyDescent="0.3">
      <c r="B769" s="33"/>
    </row>
    <row r="770" spans="2:2" ht="15.75" customHeight="1" x14ac:dyDescent="0.3">
      <c r="B770" s="33"/>
    </row>
    <row r="771" spans="2:2" ht="15.75" customHeight="1" x14ac:dyDescent="0.3">
      <c r="B771" s="33"/>
    </row>
    <row r="772" spans="2:2" ht="15.75" customHeight="1" x14ac:dyDescent="0.3">
      <c r="B772" s="33"/>
    </row>
    <row r="773" spans="2:2" ht="15.75" customHeight="1" x14ac:dyDescent="0.3">
      <c r="B773" s="33"/>
    </row>
    <row r="774" spans="2:2" ht="15.75" customHeight="1" x14ac:dyDescent="0.3">
      <c r="B774" s="33"/>
    </row>
    <row r="775" spans="2:2" ht="15.75" customHeight="1" x14ac:dyDescent="0.3">
      <c r="B775" s="33"/>
    </row>
    <row r="776" spans="2:2" ht="15.75" customHeight="1" x14ac:dyDescent="0.3">
      <c r="B776" s="33"/>
    </row>
    <row r="777" spans="2:2" ht="15.75" customHeight="1" x14ac:dyDescent="0.3">
      <c r="B777" s="33"/>
    </row>
    <row r="778" spans="2:2" ht="15.75" customHeight="1" x14ac:dyDescent="0.3">
      <c r="B778" s="33"/>
    </row>
    <row r="779" spans="2:2" ht="15.75" customHeight="1" x14ac:dyDescent="0.3">
      <c r="B779" s="33"/>
    </row>
    <row r="780" spans="2:2" ht="15.75" customHeight="1" x14ac:dyDescent="0.3">
      <c r="B780" s="33"/>
    </row>
    <row r="781" spans="2:2" ht="15.75" customHeight="1" x14ac:dyDescent="0.3">
      <c r="B781" s="33"/>
    </row>
    <row r="782" spans="2:2" ht="15.75" customHeight="1" x14ac:dyDescent="0.3">
      <c r="B782" s="33"/>
    </row>
    <row r="783" spans="2:2" ht="15.75" customHeight="1" x14ac:dyDescent="0.3">
      <c r="B783" s="33"/>
    </row>
    <row r="784" spans="2:2" ht="15.75" customHeight="1" x14ac:dyDescent="0.3">
      <c r="B784" s="33"/>
    </row>
    <row r="785" spans="2:2" ht="15.75" customHeight="1" x14ac:dyDescent="0.3">
      <c r="B785" s="33"/>
    </row>
    <row r="786" spans="2:2" ht="15.75" customHeight="1" x14ac:dyDescent="0.3">
      <c r="B786" s="33"/>
    </row>
    <row r="787" spans="2:2" ht="15.75" customHeight="1" x14ac:dyDescent="0.3">
      <c r="B787" s="33"/>
    </row>
    <row r="788" spans="2:2" ht="15.75" customHeight="1" x14ac:dyDescent="0.3">
      <c r="B788" s="33"/>
    </row>
    <row r="789" spans="2:2" ht="15.75" customHeight="1" x14ac:dyDescent="0.3">
      <c r="B789" s="33"/>
    </row>
    <row r="790" spans="2:2" ht="15.75" customHeight="1" x14ac:dyDescent="0.3">
      <c r="B790" s="33"/>
    </row>
    <row r="791" spans="2:2" ht="15.75" customHeight="1" x14ac:dyDescent="0.3">
      <c r="B791" s="33"/>
    </row>
    <row r="792" spans="2:2" ht="15.75" customHeight="1" x14ac:dyDescent="0.3">
      <c r="B792" s="33"/>
    </row>
    <row r="793" spans="2:2" ht="15.75" customHeight="1" x14ac:dyDescent="0.3">
      <c r="B793" s="33"/>
    </row>
    <row r="794" spans="2:2" ht="15.75" customHeight="1" x14ac:dyDescent="0.3">
      <c r="B794" s="33"/>
    </row>
    <row r="795" spans="2:2" ht="15.75" customHeight="1" x14ac:dyDescent="0.3">
      <c r="B795" s="33"/>
    </row>
    <row r="796" spans="2:2" ht="15.75" customHeight="1" x14ac:dyDescent="0.3">
      <c r="B796" s="33"/>
    </row>
    <row r="797" spans="2:2" ht="15.75" customHeight="1" x14ac:dyDescent="0.3">
      <c r="B797" s="33"/>
    </row>
    <row r="798" spans="2:2" ht="15.75" customHeight="1" x14ac:dyDescent="0.3">
      <c r="B798" s="33"/>
    </row>
    <row r="799" spans="2:2" ht="15.75" customHeight="1" x14ac:dyDescent="0.3">
      <c r="B799" s="33"/>
    </row>
    <row r="800" spans="2:2" ht="15.75" customHeight="1" x14ac:dyDescent="0.3">
      <c r="B800" s="33"/>
    </row>
    <row r="801" spans="2:2" ht="15.75" customHeight="1" x14ac:dyDescent="0.3">
      <c r="B801" s="33"/>
    </row>
    <row r="802" spans="2:2" ht="15.75" customHeight="1" x14ac:dyDescent="0.3">
      <c r="B802" s="33"/>
    </row>
    <row r="803" spans="2:2" ht="15.75" customHeight="1" x14ac:dyDescent="0.3">
      <c r="B803" s="33"/>
    </row>
    <row r="804" spans="2:2" ht="15.75" customHeight="1" x14ac:dyDescent="0.3">
      <c r="B804" s="33"/>
    </row>
    <row r="805" spans="2:2" ht="15.75" customHeight="1" x14ac:dyDescent="0.3">
      <c r="B805" s="33"/>
    </row>
    <row r="806" spans="2:2" ht="15.75" customHeight="1" x14ac:dyDescent="0.3">
      <c r="B806" s="33"/>
    </row>
    <row r="807" spans="2:2" ht="15.75" customHeight="1" x14ac:dyDescent="0.3">
      <c r="B807" s="33"/>
    </row>
    <row r="808" spans="2:2" ht="15.75" customHeight="1" x14ac:dyDescent="0.3">
      <c r="B808" s="33"/>
    </row>
    <row r="809" spans="2:2" ht="15.75" customHeight="1" x14ac:dyDescent="0.3">
      <c r="B809" s="33"/>
    </row>
    <row r="810" spans="2:2" ht="15.75" customHeight="1" x14ac:dyDescent="0.3">
      <c r="B810" s="33"/>
    </row>
    <row r="811" spans="2:2" ht="15.75" customHeight="1" x14ac:dyDescent="0.3">
      <c r="B811" s="33"/>
    </row>
    <row r="812" spans="2:2" ht="15.75" customHeight="1" x14ac:dyDescent="0.3">
      <c r="B812" s="33"/>
    </row>
    <row r="813" spans="2:2" ht="15.75" customHeight="1" x14ac:dyDescent="0.3">
      <c r="B813" s="33"/>
    </row>
    <row r="814" spans="2:2" ht="15.75" customHeight="1" x14ac:dyDescent="0.3">
      <c r="B814" s="33"/>
    </row>
    <row r="815" spans="2:2" ht="15.75" customHeight="1" x14ac:dyDescent="0.3">
      <c r="B815" s="33"/>
    </row>
    <row r="816" spans="2:2" ht="15.75" customHeight="1" x14ac:dyDescent="0.3">
      <c r="B816" s="33"/>
    </row>
    <row r="817" spans="2:2" ht="15.75" customHeight="1" x14ac:dyDescent="0.3">
      <c r="B817" s="33"/>
    </row>
    <row r="818" spans="2:2" ht="15.75" customHeight="1" x14ac:dyDescent="0.3">
      <c r="B818" s="33"/>
    </row>
    <row r="819" spans="2:2" ht="15.75" customHeight="1" x14ac:dyDescent="0.3">
      <c r="B819" s="33"/>
    </row>
    <row r="820" spans="2:2" ht="15.75" customHeight="1" x14ac:dyDescent="0.3">
      <c r="B820" s="33"/>
    </row>
    <row r="821" spans="2:2" ht="15.75" customHeight="1" x14ac:dyDescent="0.3">
      <c r="B821" s="33"/>
    </row>
    <row r="822" spans="2:2" ht="15.75" customHeight="1" x14ac:dyDescent="0.3">
      <c r="B822" s="33"/>
    </row>
    <row r="823" spans="2:2" ht="15.75" customHeight="1" x14ac:dyDescent="0.3">
      <c r="B823" s="33"/>
    </row>
    <row r="824" spans="2:2" ht="15.75" customHeight="1" x14ac:dyDescent="0.3">
      <c r="B824" s="33"/>
    </row>
    <row r="825" spans="2:2" ht="15.75" customHeight="1" x14ac:dyDescent="0.3">
      <c r="B825" s="33"/>
    </row>
    <row r="826" spans="2:2" ht="15.75" customHeight="1" x14ac:dyDescent="0.3">
      <c r="B826" s="33"/>
    </row>
    <row r="827" spans="2:2" ht="15.75" customHeight="1" x14ac:dyDescent="0.3">
      <c r="B827" s="33"/>
    </row>
    <row r="828" spans="2:2" ht="15.75" customHeight="1" x14ac:dyDescent="0.3">
      <c r="B828" s="33"/>
    </row>
    <row r="829" spans="2:2" ht="15.75" customHeight="1" x14ac:dyDescent="0.3">
      <c r="B829" s="33"/>
    </row>
    <row r="830" spans="2:2" ht="15.75" customHeight="1" x14ac:dyDescent="0.3">
      <c r="B830" s="33"/>
    </row>
    <row r="831" spans="2:2" ht="15.75" customHeight="1" x14ac:dyDescent="0.3">
      <c r="B831" s="33"/>
    </row>
    <row r="832" spans="2:2" ht="15.75" customHeight="1" x14ac:dyDescent="0.3">
      <c r="B832" s="33"/>
    </row>
    <row r="833" spans="2:2" ht="15.75" customHeight="1" x14ac:dyDescent="0.3">
      <c r="B833" s="33"/>
    </row>
    <row r="834" spans="2:2" ht="15.75" customHeight="1" x14ac:dyDescent="0.3">
      <c r="B834" s="33"/>
    </row>
    <row r="835" spans="2:2" ht="15.75" customHeight="1" x14ac:dyDescent="0.3">
      <c r="B835" s="33"/>
    </row>
    <row r="836" spans="2:2" ht="15.75" customHeight="1" x14ac:dyDescent="0.3">
      <c r="B836" s="33"/>
    </row>
    <row r="837" spans="2:2" ht="15.75" customHeight="1" x14ac:dyDescent="0.3">
      <c r="B837" s="33"/>
    </row>
    <row r="838" spans="2:2" ht="15.75" customHeight="1" x14ac:dyDescent="0.3">
      <c r="B838" s="33"/>
    </row>
    <row r="839" spans="2:2" ht="15.75" customHeight="1" x14ac:dyDescent="0.3">
      <c r="B839" s="33"/>
    </row>
    <row r="840" spans="2:2" ht="15.75" customHeight="1" x14ac:dyDescent="0.3">
      <c r="B840" s="33"/>
    </row>
    <row r="841" spans="2:2" ht="15.75" customHeight="1" x14ac:dyDescent="0.3">
      <c r="B841" s="33"/>
    </row>
    <row r="842" spans="2:2" ht="15.75" customHeight="1" x14ac:dyDescent="0.3">
      <c r="B842" s="33"/>
    </row>
    <row r="843" spans="2:2" ht="15.75" customHeight="1" x14ac:dyDescent="0.3">
      <c r="B843" s="33"/>
    </row>
    <row r="844" spans="2:2" ht="15.75" customHeight="1" x14ac:dyDescent="0.3">
      <c r="B844" s="33"/>
    </row>
    <row r="845" spans="2:2" ht="15.75" customHeight="1" x14ac:dyDescent="0.3">
      <c r="B845" s="33"/>
    </row>
    <row r="846" spans="2:2" ht="15.75" customHeight="1" x14ac:dyDescent="0.3">
      <c r="B846" s="33"/>
    </row>
    <row r="847" spans="2:2" ht="15.75" customHeight="1" x14ac:dyDescent="0.3">
      <c r="B847" s="33"/>
    </row>
    <row r="848" spans="2:2" ht="15.75" customHeight="1" x14ac:dyDescent="0.3">
      <c r="B848" s="33"/>
    </row>
    <row r="849" spans="2:2" ht="15.75" customHeight="1" x14ac:dyDescent="0.3">
      <c r="B849" s="33"/>
    </row>
    <row r="850" spans="2:2" ht="15.75" customHeight="1" x14ac:dyDescent="0.3">
      <c r="B850" s="33"/>
    </row>
    <row r="851" spans="2:2" ht="15.75" customHeight="1" x14ac:dyDescent="0.3">
      <c r="B851" s="33"/>
    </row>
    <row r="852" spans="2:2" ht="15.75" customHeight="1" x14ac:dyDescent="0.3">
      <c r="B852" s="33"/>
    </row>
    <row r="853" spans="2:2" ht="15.75" customHeight="1" x14ac:dyDescent="0.3">
      <c r="B853" s="33"/>
    </row>
    <row r="854" spans="2:2" ht="15.75" customHeight="1" x14ac:dyDescent="0.3">
      <c r="B854" s="33"/>
    </row>
    <row r="855" spans="2:2" ht="15.75" customHeight="1" x14ac:dyDescent="0.3">
      <c r="B855" s="33"/>
    </row>
    <row r="856" spans="2:2" ht="15.75" customHeight="1" x14ac:dyDescent="0.3">
      <c r="B856" s="33"/>
    </row>
    <row r="857" spans="2:2" ht="15.75" customHeight="1" x14ac:dyDescent="0.3">
      <c r="B857" s="33"/>
    </row>
    <row r="858" spans="2:2" ht="15.75" customHeight="1" x14ac:dyDescent="0.3">
      <c r="B858" s="33"/>
    </row>
    <row r="859" spans="2:2" ht="15.75" customHeight="1" x14ac:dyDescent="0.3">
      <c r="B859" s="33"/>
    </row>
    <row r="860" spans="2:2" ht="15.75" customHeight="1" x14ac:dyDescent="0.3">
      <c r="B860" s="33"/>
    </row>
    <row r="861" spans="2:2" ht="15.75" customHeight="1" x14ac:dyDescent="0.3">
      <c r="B861" s="33"/>
    </row>
    <row r="862" spans="2:2" ht="15.75" customHeight="1" x14ac:dyDescent="0.3">
      <c r="B862" s="33"/>
    </row>
    <row r="863" spans="2:2" ht="15.75" customHeight="1" x14ac:dyDescent="0.3">
      <c r="B863" s="33"/>
    </row>
    <row r="864" spans="2:2" ht="15.75" customHeight="1" x14ac:dyDescent="0.3">
      <c r="B864" s="33"/>
    </row>
    <row r="865" spans="2:2" ht="15.75" customHeight="1" x14ac:dyDescent="0.3">
      <c r="B865" s="33"/>
    </row>
    <row r="866" spans="2:2" ht="15.75" customHeight="1" x14ac:dyDescent="0.3">
      <c r="B866" s="33"/>
    </row>
    <row r="867" spans="2:2" ht="15.75" customHeight="1" x14ac:dyDescent="0.3">
      <c r="B867" s="33"/>
    </row>
    <row r="868" spans="2:2" ht="15.75" customHeight="1" x14ac:dyDescent="0.3">
      <c r="B868" s="33"/>
    </row>
    <row r="869" spans="2:2" ht="15.75" customHeight="1" x14ac:dyDescent="0.3">
      <c r="B869" s="33"/>
    </row>
    <row r="870" spans="2:2" ht="15.75" customHeight="1" x14ac:dyDescent="0.3">
      <c r="B870" s="33"/>
    </row>
    <row r="871" spans="2:2" ht="15.75" customHeight="1" x14ac:dyDescent="0.3">
      <c r="B871" s="33"/>
    </row>
    <row r="872" spans="2:2" ht="15.75" customHeight="1" x14ac:dyDescent="0.3">
      <c r="B872" s="33"/>
    </row>
    <row r="873" spans="2:2" ht="15.75" customHeight="1" x14ac:dyDescent="0.3">
      <c r="B873" s="33"/>
    </row>
    <row r="874" spans="2:2" ht="15.75" customHeight="1" x14ac:dyDescent="0.3">
      <c r="B874" s="33"/>
    </row>
    <row r="875" spans="2:2" ht="15.75" customHeight="1" x14ac:dyDescent="0.3">
      <c r="B875" s="33"/>
    </row>
    <row r="876" spans="2:2" ht="15.75" customHeight="1" x14ac:dyDescent="0.3">
      <c r="B876" s="33"/>
    </row>
    <row r="877" spans="2:2" ht="15.75" customHeight="1" x14ac:dyDescent="0.3">
      <c r="B877" s="33"/>
    </row>
    <row r="878" spans="2:2" ht="15.75" customHeight="1" x14ac:dyDescent="0.3">
      <c r="B878" s="33"/>
    </row>
    <row r="879" spans="2:2" ht="15.75" customHeight="1" x14ac:dyDescent="0.3">
      <c r="B879" s="33"/>
    </row>
    <row r="880" spans="2:2" ht="15.75" customHeight="1" x14ac:dyDescent="0.3">
      <c r="B880" s="33"/>
    </row>
    <row r="881" spans="2:2" ht="15.75" customHeight="1" x14ac:dyDescent="0.3">
      <c r="B881" s="33"/>
    </row>
    <row r="882" spans="2:2" ht="15.75" customHeight="1" x14ac:dyDescent="0.3">
      <c r="B882" s="33"/>
    </row>
    <row r="883" spans="2:2" ht="15.75" customHeight="1" x14ac:dyDescent="0.3">
      <c r="B883" s="33"/>
    </row>
    <row r="884" spans="2:2" ht="15.75" customHeight="1" x14ac:dyDescent="0.3">
      <c r="B884" s="33"/>
    </row>
    <row r="885" spans="2:2" ht="15.75" customHeight="1" x14ac:dyDescent="0.3">
      <c r="B885" s="33"/>
    </row>
    <row r="886" spans="2:2" ht="15.75" customHeight="1" x14ac:dyDescent="0.3">
      <c r="B886" s="33"/>
    </row>
    <row r="887" spans="2:2" ht="15.75" customHeight="1" x14ac:dyDescent="0.3">
      <c r="B887" s="33"/>
    </row>
    <row r="888" spans="2:2" ht="15.75" customHeight="1" x14ac:dyDescent="0.3">
      <c r="B888" s="33"/>
    </row>
    <row r="889" spans="2:2" ht="15.75" customHeight="1" x14ac:dyDescent="0.3">
      <c r="B889" s="33"/>
    </row>
    <row r="890" spans="2:2" ht="15.75" customHeight="1" x14ac:dyDescent="0.3">
      <c r="B890" s="33"/>
    </row>
    <row r="891" spans="2:2" ht="15.75" customHeight="1" x14ac:dyDescent="0.3">
      <c r="B891" s="33"/>
    </row>
    <row r="892" spans="2:2" ht="15.75" customHeight="1" x14ac:dyDescent="0.3">
      <c r="B892" s="33"/>
    </row>
    <row r="893" spans="2:2" ht="15.75" customHeight="1" x14ac:dyDescent="0.3">
      <c r="B893" s="33"/>
    </row>
    <row r="894" spans="2:2" ht="15.75" customHeight="1" x14ac:dyDescent="0.3">
      <c r="B894" s="33"/>
    </row>
    <row r="895" spans="2:2" ht="15.75" customHeight="1" x14ac:dyDescent="0.3">
      <c r="B895" s="33"/>
    </row>
    <row r="896" spans="2:2" ht="15.75" customHeight="1" x14ac:dyDescent="0.3">
      <c r="B896" s="33"/>
    </row>
    <row r="897" spans="2:2" ht="15.75" customHeight="1" x14ac:dyDescent="0.3">
      <c r="B897" s="33"/>
    </row>
    <row r="898" spans="2:2" ht="15.75" customHeight="1" x14ac:dyDescent="0.3">
      <c r="B898" s="33"/>
    </row>
    <row r="899" spans="2:2" ht="15.75" customHeight="1" x14ac:dyDescent="0.3">
      <c r="B899" s="33"/>
    </row>
    <row r="900" spans="2:2" ht="15.75" customHeight="1" x14ac:dyDescent="0.3">
      <c r="B900" s="33"/>
    </row>
    <row r="901" spans="2:2" ht="15.75" customHeight="1" x14ac:dyDescent="0.3">
      <c r="B901" s="33"/>
    </row>
    <row r="902" spans="2:2" ht="15.75" customHeight="1" x14ac:dyDescent="0.3">
      <c r="B902" s="33"/>
    </row>
    <row r="903" spans="2:2" ht="15.75" customHeight="1" x14ac:dyDescent="0.3">
      <c r="B903" s="33"/>
    </row>
    <row r="904" spans="2:2" ht="15.75" customHeight="1" x14ac:dyDescent="0.3">
      <c r="B904" s="33"/>
    </row>
    <row r="905" spans="2:2" ht="15.75" customHeight="1" x14ac:dyDescent="0.3">
      <c r="B905" s="33"/>
    </row>
    <row r="906" spans="2:2" ht="15.75" customHeight="1" x14ac:dyDescent="0.3">
      <c r="B906" s="33"/>
    </row>
    <row r="907" spans="2:2" ht="15.75" customHeight="1" x14ac:dyDescent="0.3">
      <c r="B907" s="33"/>
    </row>
    <row r="908" spans="2:2" ht="15.75" customHeight="1" x14ac:dyDescent="0.3">
      <c r="B908" s="33"/>
    </row>
    <row r="909" spans="2:2" ht="15.75" customHeight="1" x14ac:dyDescent="0.3">
      <c r="B909" s="33"/>
    </row>
    <row r="910" spans="2:2" ht="15.75" customHeight="1" x14ac:dyDescent="0.3">
      <c r="B910" s="33"/>
    </row>
    <row r="911" spans="2:2" ht="15.75" customHeight="1" x14ac:dyDescent="0.3">
      <c r="B911" s="33"/>
    </row>
    <row r="912" spans="2:2" ht="15.75" customHeight="1" x14ac:dyDescent="0.3">
      <c r="B912" s="33"/>
    </row>
    <row r="913" spans="2:2" ht="15.75" customHeight="1" x14ac:dyDescent="0.3">
      <c r="B913" s="33"/>
    </row>
    <row r="914" spans="2:2" ht="15.75" customHeight="1" x14ac:dyDescent="0.3">
      <c r="B914" s="33"/>
    </row>
    <row r="915" spans="2:2" ht="15.75" customHeight="1" x14ac:dyDescent="0.3">
      <c r="B915" s="33"/>
    </row>
    <row r="916" spans="2:2" ht="15.75" customHeight="1" x14ac:dyDescent="0.3">
      <c r="B916" s="33"/>
    </row>
    <row r="917" spans="2:2" ht="15.75" customHeight="1" x14ac:dyDescent="0.3">
      <c r="B917" s="33"/>
    </row>
    <row r="918" spans="2:2" ht="15.75" customHeight="1" x14ac:dyDescent="0.3">
      <c r="B918" s="33"/>
    </row>
    <row r="919" spans="2:2" ht="15.75" customHeight="1" x14ac:dyDescent="0.3">
      <c r="B919" s="33"/>
    </row>
    <row r="920" spans="2:2" ht="15.75" customHeight="1" x14ac:dyDescent="0.3">
      <c r="B920" s="33"/>
    </row>
    <row r="921" spans="2:2" ht="15.75" customHeight="1" x14ac:dyDescent="0.3">
      <c r="B921" s="33"/>
    </row>
    <row r="922" spans="2:2" ht="15.75" customHeight="1" x14ac:dyDescent="0.3">
      <c r="B922" s="33"/>
    </row>
    <row r="923" spans="2:2" ht="15.75" customHeight="1" x14ac:dyDescent="0.3">
      <c r="B923" s="33"/>
    </row>
    <row r="924" spans="2:2" ht="15.75" customHeight="1" x14ac:dyDescent="0.3">
      <c r="B924" s="33"/>
    </row>
    <row r="925" spans="2:2" ht="15.75" customHeight="1" x14ac:dyDescent="0.3">
      <c r="B925" s="33"/>
    </row>
    <row r="926" spans="2:2" ht="15.75" customHeight="1" x14ac:dyDescent="0.3">
      <c r="B926" s="33"/>
    </row>
    <row r="927" spans="2:2" ht="15.75" customHeight="1" x14ac:dyDescent="0.3">
      <c r="B927" s="33"/>
    </row>
    <row r="928" spans="2:2" ht="15.75" customHeight="1" x14ac:dyDescent="0.3">
      <c r="B928" s="33"/>
    </row>
    <row r="929" spans="2:2" ht="15.75" customHeight="1" x14ac:dyDescent="0.3">
      <c r="B929" s="33"/>
    </row>
    <row r="930" spans="2:2" ht="15.75" customHeight="1" x14ac:dyDescent="0.3">
      <c r="B930" s="33"/>
    </row>
    <row r="931" spans="2:2" ht="15.75" customHeight="1" x14ac:dyDescent="0.3">
      <c r="B931" s="33"/>
    </row>
    <row r="932" spans="2:2" ht="15.75" customHeight="1" x14ac:dyDescent="0.3">
      <c r="B932" s="33"/>
    </row>
    <row r="933" spans="2:2" ht="15.75" customHeight="1" x14ac:dyDescent="0.3">
      <c r="B933" s="33"/>
    </row>
    <row r="934" spans="2:2" ht="15.75" customHeight="1" x14ac:dyDescent="0.3">
      <c r="B934" s="33"/>
    </row>
    <row r="935" spans="2:2" ht="15.75" customHeight="1" x14ac:dyDescent="0.3">
      <c r="B935" s="33"/>
    </row>
    <row r="936" spans="2:2" ht="15.75" customHeight="1" x14ac:dyDescent="0.3">
      <c r="B936" s="33"/>
    </row>
    <row r="937" spans="2:2" ht="15.75" customHeight="1" x14ac:dyDescent="0.3">
      <c r="B937" s="33"/>
    </row>
    <row r="938" spans="2:2" ht="15.75" customHeight="1" x14ac:dyDescent="0.3">
      <c r="B938" s="33"/>
    </row>
    <row r="939" spans="2:2" ht="15.75" customHeight="1" x14ac:dyDescent="0.3">
      <c r="B939" s="33"/>
    </row>
    <row r="940" spans="2:2" ht="15.75" customHeight="1" x14ac:dyDescent="0.3">
      <c r="B940" s="33"/>
    </row>
    <row r="941" spans="2:2" ht="15.75" customHeight="1" x14ac:dyDescent="0.3">
      <c r="B941" s="33"/>
    </row>
    <row r="942" spans="2:2" ht="15.75" customHeight="1" x14ac:dyDescent="0.3">
      <c r="B942" s="33"/>
    </row>
    <row r="943" spans="2:2" ht="15.75" customHeight="1" x14ac:dyDescent="0.3">
      <c r="B943" s="33"/>
    </row>
    <row r="944" spans="2:2" ht="15.75" customHeight="1" x14ac:dyDescent="0.3">
      <c r="B944" s="33"/>
    </row>
    <row r="945" spans="2:2" ht="15.75" customHeight="1" x14ac:dyDescent="0.3">
      <c r="B945" s="33"/>
    </row>
    <row r="946" spans="2:2" ht="15.75" customHeight="1" x14ac:dyDescent="0.3">
      <c r="B946" s="33"/>
    </row>
    <row r="947" spans="2:2" ht="15.75" customHeight="1" x14ac:dyDescent="0.3">
      <c r="B947" s="33"/>
    </row>
    <row r="948" spans="2:2" ht="15.75" customHeight="1" x14ac:dyDescent="0.3">
      <c r="B948" s="33"/>
    </row>
    <row r="949" spans="2:2" ht="15.75" customHeight="1" x14ac:dyDescent="0.3">
      <c r="B949" s="33"/>
    </row>
    <row r="950" spans="2:2" ht="15.75" customHeight="1" x14ac:dyDescent="0.3">
      <c r="B950" s="33"/>
    </row>
    <row r="951" spans="2:2" ht="15.75" customHeight="1" x14ac:dyDescent="0.3">
      <c r="B951" s="33"/>
    </row>
    <row r="952" spans="2:2" ht="15.75" customHeight="1" x14ac:dyDescent="0.3">
      <c r="B952" s="33"/>
    </row>
    <row r="953" spans="2:2" ht="15.75" customHeight="1" x14ac:dyDescent="0.3">
      <c r="B953" s="33"/>
    </row>
    <row r="954" spans="2:2" ht="15.75" customHeight="1" x14ac:dyDescent="0.3">
      <c r="B954" s="33"/>
    </row>
    <row r="955" spans="2:2" ht="15.75" customHeight="1" x14ac:dyDescent="0.3">
      <c r="B955" s="33"/>
    </row>
    <row r="956" spans="2:2" ht="15.75" customHeight="1" x14ac:dyDescent="0.3">
      <c r="B956" s="33"/>
    </row>
    <row r="957" spans="2:2" ht="15.75" customHeight="1" x14ac:dyDescent="0.3">
      <c r="B957" s="33"/>
    </row>
    <row r="958" spans="2:2" ht="15.75" customHeight="1" x14ac:dyDescent="0.3">
      <c r="B958" s="33"/>
    </row>
    <row r="959" spans="2:2" ht="15.75" customHeight="1" x14ac:dyDescent="0.3">
      <c r="B959" s="33"/>
    </row>
    <row r="960" spans="2:2" ht="15.75" customHeight="1" x14ac:dyDescent="0.3">
      <c r="B960" s="33"/>
    </row>
    <row r="961" spans="2:2" ht="15.75" customHeight="1" x14ac:dyDescent="0.3">
      <c r="B961" s="33"/>
    </row>
    <row r="962" spans="2:2" ht="15.75" customHeight="1" x14ac:dyDescent="0.3">
      <c r="B962" s="33"/>
    </row>
    <row r="963" spans="2:2" ht="15.75" customHeight="1" x14ac:dyDescent="0.3">
      <c r="B963" s="33"/>
    </row>
    <row r="964" spans="2:2" ht="15.75" customHeight="1" x14ac:dyDescent="0.3">
      <c r="B964" s="33"/>
    </row>
    <row r="965" spans="2:2" ht="15.75" customHeight="1" x14ac:dyDescent="0.3">
      <c r="B965" s="33"/>
    </row>
    <row r="966" spans="2:2" ht="15.75" customHeight="1" x14ac:dyDescent="0.3">
      <c r="B966" s="33"/>
    </row>
    <row r="967" spans="2:2" ht="15.75" customHeight="1" x14ac:dyDescent="0.3">
      <c r="B967" s="33"/>
    </row>
    <row r="968" spans="2:2" ht="15.75" customHeight="1" x14ac:dyDescent="0.3">
      <c r="B968" s="33"/>
    </row>
    <row r="969" spans="2:2" ht="15.75" customHeight="1" x14ac:dyDescent="0.3">
      <c r="B969" s="33"/>
    </row>
    <row r="970" spans="2:2" ht="15.75" customHeight="1" x14ac:dyDescent="0.3">
      <c r="B970" s="33"/>
    </row>
    <row r="971" spans="2:2" ht="15.75" customHeight="1" x14ac:dyDescent="0.3">
      <c r="B971" s="33"/>
    </row>
    <row r="972" spans="2:2" ht="15.75" customHeight="1" x14ac:dyDescent="0.3">
      <c r="B972" s="33"/>
    </row>
    <row r="973" spans="2:2" ht="15.75" customHeight="1" x14ac:dyDescent="0.3">
      <c r="B973" s="33"/>
    </row>
    <row r="974" spans="2:2" ht="15.75" customHeight="1" x14ac:dyDescent="0.3">
      <c r="B974" s="33"/>
    </row>
    <row r="975" spans="2:2" ht="15.75" customHeight="1" x14ac:dyDescent="0.3">
      <c r="B975" s="33"/>
    </row>
    <row r="976" spans="2:2" ht="15.75" customHeight="1" x14ac:dyDescent="0.3">
      <c r="B976" s="33"/>
    </row>
    <row r="977" spans="2:2" ht="15.75" customHeight="1" x14ac:dyDescent="0.3">
      <c r="B977" s="33"/>
    </row>
    <row r="978" spans="2:2" ht="15.75" customHeight="1" x14ac:dyDescent="0.3">
      <c r="B978" s="33"/>
    </row>
    <row r="979" spans="2:2" ht="15.75" customHeight="1" x14ac:dyDescent="0.3">
      <c r="B979" s="33"/>
    </row>
    <row r="980" spans="2:2" ht="15.75" customHeight="1" x14ac:dyDescent="0.3">
      <c r="B980" s="33"/>
    </row>
    <row r="981" spans="2:2" ht="15.75" customHeight="1" x14ac:dyDescent="0.3">
      <c r="B981" s="33"/>
    </row>
    <row r="982" spans="2:2" ht="15.75" customHeight="1" x14ac:dyDescent="0.3">
      <c r="B982" s="33"/>
    </row>
    <row r="983" spans="2:2" ht="15.75" customHeight="1" x14ac:dyDescent="0.3">
      <c r="B983" s="33"/>
    </row>
    <row r="984" spans="2:2" ht="15.75" customHeight="1" x14ac:dyDescent="0.3">
      <c r="B984" s="33"/>
    </row>
    <row r="985" spans="2:2" ht="15.75" customHeight="1" x14ac:dyDescent="0.3">
      <c r="B985" s="33"/>
    </row>
    <row r="986" spans="2:2" ht="15.75" customHeight="1" x14ac:dyDescent="0.3">
      <c r="B986" s="33"/>
    </row>
    <row r="987" spans="2:2" ht="15.75" customHeight="1" x14ac:dyDescent="0.3">
      <c r="B987" s="33"/>
    </row>
    <row r="988" spans="2:2" ht="15.75" customHeight="1" x14ac:dyDescent="0.3">
      <c r="B988" s="33"/>
    </row>
    <row r="989" spans="2:2" ht="15.75" customHeight="1" x14ac:dyDescent="0.3">
      <c r="B989" s="33"/>
    </row>
    <row r="990" spans="2:2" ht="15.75" customHeight="1" x14ac:dyDescent="0.3">
      <c r="B990" s="33"/>
    </row>
    <row r="991" spans="2:2" ht="15.75" customHeight="1" x14ac:dyDescent="0.3">
      <c r="B991" s="33"/>
    </row>
    <row r="992" spans="2:2" ht="15.75" customHeight="1" x14ac:dyDescent="0.3">
      <c r="B992" s="33"/>
    </row>
    <row r="993" spans="2:2" ht="15.75" customHeight="1" x14ac:dyDescent="0.3">
      <c r="B993" s="33"/>
    </row>
    <row r="994" spans="2:2" ht="15.75" customHeight="1" x14ac:dyDescent="0.3">
      <c r="B994" s="33"/>
    </row>
    <row r="995" spans="2:2" ht="15.75" customHeight="1" x14ac:dyDescent="0.3">
      <c r="B995" s="33"/>
    </row>
    <row r="996" spans="2:2" ht="15.75" customHeight="1" x14ac:dyDescent="0.3">
      <c r="B996" s="33"/>
    </row>
    <row r="997" spans="2:2" ht="15.75" customHeight="1" x14ac:dyDescent="0.3">
      <c r="B997" s="33"/>
    </row>
    <row r="998" spans="2:2" ht="15.75" customHeight="1" x14ac:dyDescent="0.3">
      <c r="B998" s="33"/>
    </row>
    <row r="999" spans="2:2" ht="15.75" customHeight="1" x14ac:dyDescent="0.3">
      <c r="B999" s="33"/>
    </row>
  </sheetData>
  <autoFilter ref="A2:P16" xr:uid="{00000000-0009-0000-0000-000005000000}"/>
  <mergeCells count="1">
    <mergeCell ref="B1:D1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00"/>
  <sheetViews>
    <sheetView workbookViewId="0">
      <selection activeCell="G22" sqref="G22"/>
    </sheetView>
  </sheetViews>
  <sheetFormatPr baseColWidth="10" defaultColWidth="14.44140625" defaultRowHeight="15" customHeight="1" x14ac:dyDescent="0.3"/>
  <cols>
    <col min="1" max="1" width="13.33203125" customWidth="1"/>
    <col min="2" max="2" width="34.109375" customWidth="1"/>
    <col min="3" max="3" width="28.33203125" customWidth="1"/>
    <col min="4" max="4" width="19.109375" customWidth="1"/>
    <col min="5" max="5" width="4.109375" customWidth="1"/>
    <col min="6" max="6" width="13" customWidth="1"/>
    <col min="7" max="7" width="27.6640625" customWidth="1"/>
    <col min="8" max="8" width="9.5546875" customWidth="1"/>
    <col min="9" max="9" width="16.109375" customWidth="1"/>
    <col min="10" max="10" width="10" customWidth="1"/>
    <col min="11" max="12" width="10.6640625" customWidth="1"/>
    <col min="13" max="13" width="17.88671875" customWidth="1"/>
    <col min="15" max="15" width="14.5546875" customWidth="1"/>
  </cols>
  <sheetData>
    <row r="1" spans="1:16" ht="15" customHeight="1" x14ac:dyDescent="0.3">
      <c r="A1" s="34" t="s">
        <v>410</v>
      </c>
      <c r="B1" s="185" t="str">
        <f>'Formato Cronograma'!C9</f>
        <v>Creación de Valor Público y Gestión para Resultados</v>
      </c>
      <c r="C1" s="182"/>
      <c r="D1" s="182"/>
    </row>
    <row r="2" spans="1:16" ht="15" customHeight="1" x14ac:dyDescent="0.3">
      <c r="A2" s="34" t="s">
        <v>411</v>
      </c>
      <c r="B2" s="35" t="s">
        <v>412</v>
      </c>
      <c r="C2" s="36" t="s">
        <v>413</v>
      </c>
      <c r="D2" s="37" t="s">
        <v>414</v>
      </c>
      <c r="E2" s="24"/>
      <c r="F2" s="25"/>
      <c r="G2" s="25"/>
      <c r="H2" s="25"/>
      <c r="I2" s="25"/>
      <c r="J2" s="25"/>
      <c r="K2" s="25"/>
      <c r="L2" s="25"/>
      <c r="M2" s="25"/>
      <c r="N2" s="24"/>
      <c r="O2" s="24"/>
      <c r="P2" s="24"/>
    </row>
    <row r="3" spans="1:16" ht="15" customHeight="1" x14ac:dyDescent="0.3">
      <c r="A3" s="38">
        <v>1</v>
      </c>
      <c r="B3" s="39">
        <f>VLOOKUP((MATCH(A3,'Formato Cronograma'!$N$9:$LJ$9,0)),Datos!A:D,4,FALSE)</f>
        <v>46230</v>
      </c>
      <c r="C3" s="38" t="s">
        <v>415</v>
      </c>
      <c r="D3" s="38" t="s">
        <v>421</v>
      </c>
      <c r="E3" s="24"/>
      <c r="F3" s="28"/>
      <c r="G3" s="28"/>
      <c r="H3" s="25"/>
      <c r="I3" s="28"/>
      <c r="J3" s="28"/>
      <c r="K3" s="28"/>
      <c r="L3" s="28"/>
      <c r="M3" s="28"/>
      <c r="N3" s="24"/>
      <c r="O3" s="24"/>
      <c r="P3" s="24"/>
    </row>
    <row r="4" spans="1:16" ht="15" customHeight="1" x14ac:dyDescent="0.3">
      <c r="A4" s="38">
        <v>2</v>
      </c>
      <c r="B4" s="39">
        <f>VLOOKUP((MATCH(A4,'Formato Cronograma'!$N$9:$LJ$9,0)),Datos!A:D,4,FALSE)</f>
        <v>46232</v>
      </c>
      <c r="C4" s="38" t="s">
        <v>417</v>
      </c>
      <c r="D4" s="38" t="s">
        <v>425</v>
      </c>
      <c r="E4" s="24"/>
      <c r="F4" s="29"/>
      <c r="G4" s="30"/>
      <c r="H4" s="29"/>
      <c r="I4" s="29"/>
      <c r="J4" s="29"/>
      <c r="K4" s="31"/>
      <c r="L4" s="31"/>
      <c r="M4" s="29"/>
      <c r="N4" s="24"/>
      <c r="O4" s="24"/>
      <c r="P4" s="24"/>
    </row>
    <row r="5" spans="1:16" ht="15" customHeight="1" x14ac:dyDescent="0.3">
      <c r="A5" s="38">
        <v>3</v>
      </c>
      <c r="B5" s="39">
        <f>VLOOKUP((MATCH(A5,'Formato Cronograma'!$N$9:$LJ$9,0)),Datos!A:D,4,FALSE)</f>
        <v>46234</v>
      </c>
      <c r="C5" s="38" t="s">
        <v>417</v>
      </c>
      <c r="D5" s="38" t="s">
        <v>425</v>
      </c>
      <c r="E5" s="24"/>
      <c r="F5" s="29"/>
      <c r="G5" s="30"/>
      <c r="H5" s="29"/>
      <c r="I5" s="29"/>
      <c r="J5" s="29"/>
      <c r="K5" s="31"/>
      <c r="L5" s="31"/>
      <c r="M5" s="29"/>
      <c r="N5" s="24"/>
      <c r="O5" s="24"/>
      <c r="P5" s="24"/>
    </row>
    <row r="6" spans="1:16" ht="15" customHeight="1" x14ac:dyDescent="0.3">
      <c r="A6" s="38">
        <v>4</v>
      </c>
      <c r="B6" s="39">
        <f>VLOOKUP((MATCH(A6,'Formato Cronograma'!$N$9:$LJ$9,0)),Datos!A:D,4,FALSE)</f>
        <v>46237</v>
      </c>
      <c r="C6" s="38" t="s">
        <v>417</v>
      </c>
      <c r="D6" s="38" t="s">
        <v>425</v>
      </c>
      <c r="E6" s="24"/>
      <c r="F6" s="29"/>
      <c r="G6" s="30"/>
      <c r="H6" s="29"/>
      <c r="I6" s="29"/>
      <c r="J6" s="29"/>
      <c r="K6" s="31"/>
      <c r="L6" s="31"/>
      <c r="M6" s="29"/>
      <c r="N6" s="24"/>
      <c r="O6" s="24"/>
      <c r="P6" s="24"/>
    </row>
    <row r="7" spans="1:16" ht="15" customHeight="1" x14ac:dyDescent="0.3">
      <c r="A7" s="38">
        <v>5</v>
      </c>
      <c r="B7" s="39">
        <f>VLOOKUP((MATCH(A7,'Formato Cronograma'!$N$9:$LJ$9,0)),Datos!A:D,4,FALSE)</f>
        <v>46241</v>
      </c>
      <c r="C7" s="38" t="s">
        <v>417</v>
      </c>
      <c r="D7" s="38" t="s">
        <v>425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</row>
    <row r="8" spans="1:16" ht="15" customHeight="1" x14ac:dyDescent="0.3">
      <c r="A8" s="38">
        <v>6</v>
      </c>
      <c r="B8" s="39">
        <f>VLOOKUP((MATCH(A8,'Formato Cronograma'!$N$9:$LJ$9,0)),Datos!A:D,4,FALSE)</f>
        <v>46244</v>
      </c>
      <c r="C8" s="38" t="s">
        <v>417</v>
      </c>
      <c r="D8" s="38" t="s">
        <v>425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spans="1:16" ht="15" customHeight="1" x14ac:dyDescent="0.3">
      <c r="A9" s="38">
        <v>7</v>
      </c>
      <c r="B9" s="39">
        <f>VLOOKUP((MATCH(A9,'Formato Cronograma'!$N$9:$LJ$9,0)),Datos!A:D,4,FALSE)</f>
        <v>46248</v>
      </c>
      <c r="C9" s="38" t="s">
        <v>417</v>
      </c>
      <c r="D9" s="38" t="s">
        <v>425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 ht="15" customHeight="1" x14ac:dyDescent="0.3">
      <c r="A10" s="38">
        <v>8</v>
      </c>
      <c r="B10" s="39">
        <f>VLOOKUP((MATCH(A10,'Formato Cronograma'!$N$9:$LJ$9,0)),Datos!A:D,4,FALSE)</f>
        <v>46253</v>
      </c>
      <c r="C10" s="38" t="s">
        <v>417</v>
      </c>
      <c r="D10" s="38" t="s">
        <v>425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6" ht="14.4" x14ac:dyDescent="0.3">
      <c r="A11" s="38">
        <v>9</v>
      </c>
      <c r="B11" s="39">
        <f>VLOOKUP((MATCH(A11,'Formato Cronograma'!$N$9:$LJ$9,0)),Datos!A:D,4,FALSE)</f>
        <v>46255</v>
      </c>
      <c r="C11" s="38" t="s">
        <v>417</v>
      </c>
      <c r="D11" s="38" t="s">
        <v>425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spans="1:16" ht="14.4" x14ac:dyDescent="0.3">
      <c r="A12" s="38">
        <v>10</v>
      </c>
      <c r="B12" s="39">
        <f>VLOOKUP((MATCH(A12,'Formato Cronograma'!$N$9:$LJ$9,0)),Datos!A:D,4,FALSE)</f>
        <v>46258</v>
      </c>
      <c r="C12" s="38" t="s">
        <v>415</v>
      </c>
      <c r="D12" s="38" t="s">
        <v>421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spans="1:16" ht="14.4" x14ac:dyDescent="0.3">
      <c r="A13" s="38">
        <v>11</v>
      </c>
      <c r="B13" s="39">
        <f>VLOOKUP((MATCH(A13,'Formato Cronograma'!$N$9:$LJ$9,0)),Datos!A:D,4,FALSE)</f>
        <v>46260</v>
      </c>
      <c r="C13" s="38" t="s">
        <v>417</v>
      </c>
      <c r="D13" s="38" t="s">
        <v>425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1:16" ht="14.4" x14ac:dyDescent="0.3">
      <c r="A14" s="38">
        <v>12</v>
      </c>
      <c r="B14" s="39">
        <f>VLOOKUP((MATCH(A14,'Formato Cronograma'!$N$9:$LJ$9,0)),Datos!A:D,4,FALSE)</f>
        <v>46262</v>
      </c>
      <c r="C14" s="38" t="s">
        <v>417</v>
      </c>
      <c r="D14" s="38" t="s">
        <v>425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</row>
    <row r="15" spans="1:16" ht="14.4" x14ac:dyDescent="0.3">
      <c r="A15" s="38">
        <v>13</v>
      </c>
      <c r="B15" s="39">
        <f>VLOOKUP((MATCH(A15,'Formato Cronograma'!$N$9:$LJ$9,0)),Datos!A:D,4,FALSE)</f>
        <v>46265</v>
      </c>
      <c r="C15" s="38" t="s">
        <v>417</v>
      </c>
      <c r="D15" s="38" t="s">
        <v>425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</row>
    <row r="16" spans="1:16" ht="14.4" x14ac:dyDescent="0.3">
      <c r="A16" s="38">
        <v>14</v>
      </c>
      <c r="B16" s="39">
        <f>VLOOKUP((MATCH(A16,'Formato Cronograma'!$N$9:$LJ$9,0)),Datos!A:D,4,FALSE)</f>
        <v>46267</v>
      </c>
      <c r="C16" s="38" t="s">
        <v>417</v>
      </c>
      <c r="D16" s="38" t="s">
        <v>425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6" ht="14.4" x14ac:dyDescent="0.3">
      <c r="A17" s="38">
        <v>15</v>
      </c>
      <c r="B17" s="39">
        <f>VLOOKUP((MATCH(A17,'Formato Cronograma'!$N$9:$LJ$9,0)),Datos!A:D,4,FALSE)</f>
        <v>46269</v>
      </c>
      <c r="C17" s="38" t="s">
        <v>417</v>
      </c>
      <c r="D17" s="38" t="s">
        <v>425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</row>
    <row r="18" spans="1:16" ht="14.4" x14ac:dyDescent="0.3">
      <c r="A18" s="38">
        <v>16</v>
      </c>
      <c r="B18" s="39">
        <f>VLOOKUP((MATCH(A18,'Formato Cronograma'!$N$9:$LJ$9,0)),Datos!A:D,4,FALSE)</f>
        <v>46272</v>
      </c>
      <c r="C18" s="38" t="s">
        <v>417</v>
      </c>
      <c r="D18" s="38" t="s">
        <v>425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</row>
    <row r="19" spans="1:16" ht="14.4" x14ac:dyDescent="0.3">
      <c r="A19" s="38">
        <v>17</v>
      </c>
      <c r="B19" s="39">
        <f>VLOOKUP((MATCH(A19,'Formato Cronograma'!$N$9:$LJ$9,0)),Datos!A:D,4,FALSE)</f>
        <v>46274</v>
      </c>
      <c r="C19" s="38" t="s">
        <v>417</v>
      </c>
      <c r="D19" s="38" t="s">
        <v>425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spans="1:16" ht="15.75" customHeight="1" x14ac:dyDescent="0.3">
      <c r="A20" s="38">
        <v>18</v>
      </c>
      <c r="B20" s="39">
        <f>VLOOKUP((MATCH(A20,'Formato Cronograma'!$N$9:$LJ$9,0)),Datos!A:D,4,FALSE)</f>
        <v>46276</v>
      </c>
      <c r="C20" s="38" t="s">
        <v>417</v>
      </c>
      <c r="D20" s="38" t="s">
        <v>425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 ht="15.75" customHeight="1" x14ac:dyDescent="0.3">
      <c r="A21" s="38">
        <v>19</v>
      </c>
      <c r="B21" s="39">
        <f>VLOOKUP((MATCH(A21,'Formato Cronograma'!$N$9:$LJ$9,0)),Datos!A:D,4,FALSE)</f>
        <v>46279</v>
      </c>
      <c r="C21" s="38" t="s">
        <v>415</v>
      </c>
      <c r="D21" s="38" t="s">
        <v>421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spans="1:16" ht="15.75" customHeight="1" x14ac:dyDescent="0.3">
      <c r="A22" s="24"/>
      <c r="B22" s="32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</row>
    <row r="23" spans="1:16" ht="15.75" customHeight="1" x14ac:dyDescent="0.3">
      <c r="A23" s="24"/>
      <c r="B23" s="32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4" spans="1:16" ht="15.75" customHeight="1" x14ac:dyDescent="0.3">
      <c r="A24" s="24"/>
      <c r="B24" s="32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  <row r="25" spans="1:16" ht="15.75" customHeight="1" x14ac:dyDescent="0.3">
      <c r="A25" s="24"/>
      <c r="B25" s="32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16" ht="15.75" customHeight="1" x14ac:dyDescent="0.3">
      <c r="A26" s="24"/>
      <c r="B26" s="32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</row>
    <row r="27" spans="1:16" ht="15.75" customHeight="1" x14ac:dyDescent="0.3">
      <c r="A27" s="24"/>
      <c r="B27" s="32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</row>
    <row r="28" spans="1:16" ht="15.75" customHeight="1" x14ac:dyDescent="0.3">
      <c r="A28" s="24"/>
      <c r="B28" s="32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</row>
    <row r="29" spans="1:16" ht="15.75" customHeight="1" x14ac:dyDescent="0.3">
      <c r="A29" s="24"/>
      <c r="B29" s="32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</row>
    <row r="30" spans="1:16" ht="15.75" customHeight="1" x14ac:dyDescent="0.3">
      <c r="A30" s="24"/>
      <c r="B30" s="32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</row>
    <row r="31" spans="1:16" ht="15.75" customHeight="1" x14ac:dyDescent="0.3">
      <c r="A31" s="24"/>
      <c r="B31" s="32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</row>
    <row r="32" spans="1:16" ht="15.75" customHeight="1" x14ac:dyDescent="0.3">
      <c r="A32" s="24"/>
      <c r="B32" s="32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</row>
    <row r="33" spans="1:16" ht="15.75" customHeight="1" x14ac:dyDescent="0.3">
      <c r="A33" s="24"/>
      <c r="B33" s="32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</row>
    <row r="34" spans="1:16" ht="15.75" customHeight="1" x14ac:dyDescent="0.3">
      <c r="A34" s="24"/>
      <c r="B34" s="32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spans="1:16" ht="15.75" customHeight="1" x14ac:dyDescent="0.3">
      <c r="A35" s="24"/>
      <c r="B35" s="32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</row>
    <row r="36" spans="1:16" ht="15.75" customHeight="1" x14ac:dyDescent="0.3">
      <c r="A36" s="24"/>
      <c r="B36" s="32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</row>
    <row r="37" spans="1:16" ht="15.75" customHeight="1" x14ac:dyDescent="0.3">
      <c r="A37" s="24"/>
      <c r="B37" s="32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</row>
    <row r="38" spans="1:16" ht="15.75" customHeight="1" x14ac:dyDescent="0.3">
      <c r="A38" s="24"/>
      <c r="B38" s="32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</row>
    <row r="39" spans="1:16" ht="15.75" customHeight="1" x14ac:dyDescent="0.3">
      <c r="A39" s="24"/>
      <c r="B39" s="32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</row>
    <row r="40" spans="1:16" ht="15.75" customHeight="1" x14ac:dyDescent="0.3">
      <c r="A40" s="24"/>
      <c r="B40" s="32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</row>
    <row r="41" spans="1:16" ht="15.75" customHeight="1" x14ac:dyDescent="0.3">
      <c r="A41" s="24"/>
      <c r="B41" s="32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</row>
    <row r="42" spans="1:16" ht="15.75" customHeight="1" x14ac:dyDescent="0.3">
      <c r="A42" s="24"/>
      <c r="B42" s="32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</row>
    <row r="43" spans="1:16" ht="15.75" customHeight="1" x14ac:dyDescent="0.3">
      <c r="A43" s="24"/>
      <c r="B43" s="32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</row>
    <row r="44" spans="1:16" ht="15.75" customHeight="1" x14ac:dyDescent="0.3">
      <c r="A44" s="24"/>
      <c r="B44" s="32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</row>
    <row r="45" spans="1:16" ht="15.75" customHeight="1" x14ac:dyDescent="0.3">
      <c r="A45" s="24"/>
      <c r="B45" s="32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</row>
    <row r="46" spans="1:16" ht="15.75" customHeight="1" x14ac:dyDescent="0.3">
      <c r="A46" s="24"/>
      <c r="B46" s="32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</row>
    <row r="47" spans="1:16" ht="15.75" customHeight="1" x14ac:dyDescent="0.3">
      <c r="A47" s="24"/>
      <c r="B47" s="32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</row>
    <row r="48" spans="1:16" ht="15.75" customHeight="1" x14ac:dyDescent="0.3">
      <c r="A48" s="24"/>
      <c r="B48" s="32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</row>
    <row r="49" spans="1:16" ht="15.75" customHeight="1" x14ac:dyDescent="0.3">
      <c r="A49" s="24"/>
      <c r="B49" s="32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</row>
    <row r="50" spans="1:16" ht="15.75" customHeight="1" x14ac:dyDescent="0.3">
      <c r="A50" s="24"/>
      <c r="B50" s="32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</row>
    <row r="51" spans="1:16" ht="15.75" customHeight="1" x14ac:dyDescent="0.3">
      <c r="A51" s="24"/>
      <c r="B51" s="32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</row>
    <row r="52" spans="1:16" ht="15.75" customHeight="1" x14ac:dyDescent="0.3">
      <c r="A52" s="24"/>
      <c r="B52" s="32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</row>
    <row r="53" spans="1:16" ht="15.75" customHeight="1" x14ac:dyDescent="0.3">
      <c r="A53" s="24"/>
      <c r="B53" s="32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</row>
    <row r="54" spans="1:16" ht="15.75" customHeight="1" x14ac:dyDescent="0.3">
      <c r="A54" s="24"/>
      <c r="B54" s="32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1:16" ht="15.75" customHeight="1" x14ac:dyDescent="0.3">
      <c r="A55" s="24"/>
      <c r="B55" s="32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</row>
    <row r="56" spans="1:16" ht="15.75" customHeight="1" x14ac:dyDescent="0.3">
      <c r="A56" s="24"/>
      <c r="B56" s="32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</row>
    <row r="57" spans="1:16" ht="15.75" customHeight="1" x14ac:dyDescent="0.3">
      <c r="A57" s="24"/>
      <c r="B57" s="32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</row>
    <row r="58" spans="1:16" ht="15.75" customHeight="1" x14ac:dyDescent="0.3">
      <c r="A58" s="24"/>
      <c r="B58" s="32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</row>
    <row r="59" spans="1:16" ht="15.75" customHeight="1" x14ac:dyDescent="0.3">
      <c r="A59" s="24"/>
      <c r="B59" s="32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</row>
    <row r="60" spans="1:16" ht="15.75" customHeight="1" x14ac:dyDescent="0.3">
      <c r="A60" s="24"/>
      <c r="B60" s="32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</row>
    <row r="61" spans="1:16" ht="15.75" customHeight="1" x14ac:dyDescent="0.3">
      <c r="A61" s="24"/>
      <c r="B61" s="32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</row>
    <row r="62" spans="1:16" ht="15.75" customHeight="1" x14ac:dyDescent="0.3">
      <c r="A62" s="24"/>
      <c r="B62" s="32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</row>
    <row r="63" spans="1:16" ht="15.75" customHeight="1" x14ac:dyDescent="0.3">
      <c r="A63" s="24"/>
      <c r="B63" s="32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</row>
    <row r="64" spans="1:16" ht="15.75" customHeight="1" x14ac:dyDescent="0.3">
      <c r="A64" s="24"/>
      <c r="B64" s="32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</row>
    <row r="65" spans="1:16" ht="15.75" customHeight="1" x14ac:dyDescent="0.3">
      <c r="A65" s="24"/>
      <c r="B65" s="32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</row>
    <row r="66" spans="1:16" ht="15.75" customHeight="1" x14ac:dyDescent="0.3">
      <c r="A66" s="24"/>
      <c r="B66" s="32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</row>
    <row r="67" spans="1:16" ht="15.75" customHeight="1" x14ac:dyDescent="0.3">
      <c r="A67" s="24"/>
      <c r="B67" s="32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</row>
    <row r="68" spans="1:16" ht="15.75" customHeight="1" x14ac:dyDescent="0.3">
      <c r="A68" s="24"/>
      <c r="B68" s="32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</row>
    <row r="69" spans="1:16" ht="15.75" customHeight="1" x14ac:dyDescent="0.3">
      <c r="A69" s="24"/>
      <c r="B69" s="32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</row>
    <row r="70" spans="1:16" ht="15.75" customHeight="1" x14ac:dyDescent="0.3">
      <c r="A70" s="24"/>
      <c r="B70" s="32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</row>
    <row r="71" spans="1:16" ht="15.75" customHeight="1" x14ac:dyDescent="0.3">
      <c r="A71" s="24"/>
      <c r="B71" s="32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</row>
    <row r="72" spans="1:16" ht="15.75" customHeight="1" x14ac:dyDescent="0.3">
      <c r="A72" s="24"/>
      <c r="B72" s="32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</row>
    <row r="73" spans="1:16" ht="15.75" customHeight="1" x14ac:dyDescent="0.3">
      <c r="A73" s="24"/>
      <c r="B73" s="32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</row>
    <row r="74" spans="1:16" ht="15.75" customHeight="1" x14ac:dyDescent="0.3">
      <c r="A74" s="24"/>
      <c r="B74" s="32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</row>
    <row r="75" spans="1:16" ht="15.75" customHeight="1" x14ac:dyDescent="0.3">
      <c r="A75" s="24"/>
      <c r="B75" s="32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</row>
    <row r="76" spans="1:16" ht="15.75" customHeight="1" x14ac:dyDescent="0.3">
      <c r="A76" s="24"/>
      <c r="B76" s="32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</row>
    <row r="77" spans="1:16" ht="15.75" customHeight="1" x14ac:dyDescent="0.3">
      <c r="A77" s="24"/>
      <c r="B77" s="32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</row>
    <row r="78" spans="1:16" ht="15.75" customHeight="1" x14ac:dyDescent="0.3">
      <c r="A78" s="24"/>
      <c r="B78" s="32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</row>
    <row r="79" spans="1:16" ht="15.75" customHeight="1" x14ac:dyDescent="0.3">
      <c r="A79" s="24"/>
      <c r="B79" s="32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</row>
    <row r="80" spans="1:16" ht="15.75" customHeight="1" x14ac:dyDescent="0.3">
      <c r="A80" s="24"/>
      <c r="B80" s="32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</row>
    <row r="81" spans="1:16" ht="15.75" customHeight="1" x14ac:dyDescent="0.3">
      <c r="A81" s="24"/>
      <c r="B81" s="32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</row>
    <row r="82" spans="1:16" ht="15.75" customHeight="1" x14ac:dyDescent="0.3">
      <c r="A82" s="24"/>
      <c r="B82" s="32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</row>
    <row r="83" spans="1:16" ht="15.75" customHeight="1" x14ac:dyDescent="0.3">
      <c r="A83" s="24"/>
      <c r="B83" s="32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</row>
    <row r="84" spans="1:16" ht="15.75" customHeight="1" x14ac:dyDescent="0.3">
      <c r="A84" s="24"/>
      <c r="B84" s="32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</row>
    <row r="85" spans="1:16" ht="15.75" customHeight="1" x14ac:dyDescent="0.3">
      <c r="A85" s="24"/>
      <c r="B85" s="32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</row>
    <row r="86" spans="1:16" ht="15.75" customHeight="1" x14ac:dyDescent="0.3">
      <c r="A86" s="24"/>
      <c r="B86" s="32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</row>
    <row r="87" spans="1:16" ht="15.75" customHeight="1" x14ac:dyDescent="0.3">
      <c r="A87" s="24"/>
      <c r="B87" s="32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</row>
    <row r="88" spans="1:16" ht="15.75" customHeight="1" x14ac:dyDescent="0.3">
      <c r="A88" s="24"/>
      <c r="B88" s="32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</row>
    <row r="89" spans="1:16" ht="15.75" customHeight="1" x14ac:dyDescent="0.3">
      <c r="A89" s="24"/>
      <c r="B89" s="32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</row>
    <row r="90" spans="1:16" ht="15.75" customHeight="1" x14ac:dyDescent="0.3">
      <c r="A90" s="24"/>
      <c r="B90" s="32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</row>
    <row r="91" spans="1:16" ht="15.75" customHeight="1" x14ac:dyDescent="0.3">
      <c r="A91" s="24"/>
      <c r="B91" s="32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</row>
    <row r="92" spans="1:16" ht="15.75" customHeight="1" x14ac:dyDescent="0.3">
      <c r="A92" s="24"/>
      <c r="B92" s="32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</row>
    <row r="93" spans="1:16" ht="15.75" customHeight="1" x14ac:dyDescent="0.3">
      <c r="A93" s="24"/>
      <c r="B93" s="32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</row>
    <row r="94" spans="1:16" ht="15.75" customHeight="1" x14ac:dyDescent="0.3">
      <c r="A94" s="24"/>
      <c r="B94" s="32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</row>
    <row r="95" spans="1:16" ht="15.75" customHeight="1" x14ac:dyDescent="0.3">
      <c r="A95" s="24"/>
      <c r="B95" s="32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</row>
    <row r="96" spans="1:16" ht="15.75" customHeight="1" x14ac:dyDescent="0.3">
      <c r="A96" s="24"/>
      <c r="B96" s="32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</row>
    <row r="97" spans="1:16" ht="15.75" customHeight="1" x14ac:dyDescent="0.3">
      <c r="A97" s="24"/>
      <c r="B97" s="32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</row>
    <row r="98" spans="1:16" ht="15.75" customHeight="1" x14ac:dyDescent="0.3">
      <c r="A98" s="24"/>
      <c r="B98" s="32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</row>
    <row r="99" spans="1:16" ht="15.75" customHeight="1" x14ac:dyDescent="0.3">
      <c r="A99" s="24"/>
      <c r="B99" s="32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</row>
    <row r="100" spans="1:16" ht="15.75" customHeight="1" x14ac:dyDescent="0.3">
      <c r="A100" s="24"/>
      <c r="B100" s="32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</row>
    <row r="101" spans="1:16" ht="15.75" customHeight="1" x14ac:dyDescent="0.3">
      <c r="A101" s="24"/>
      <c r="B101" s="32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</row>
    <row r="102" spans="1:16" ht="15.75" customHeight="1" x14ac:dyDescent="0.3">
      <c r="A102" s="24"/>
      <c r="B102" s="32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</row>
    <row r="103" spans="1:16" ht="15.75" customHeight="1" x14ac:dyDescent="0.3">
      <c r="A103" s="24"/>
      <c r="B103" s="32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</row>
    <row r="104" spans="1:16" ht="15.75" customHeight="1" x14ac:dyDescent="0.3">
      <c r="A104" s="24"/>
      <c r="B104" s="32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</row>
    <row r="105" spans="1:16" ht="15.75" customHeight="1" x14ac:dyDescent="0.3">
      <c r="A105" s="24"/>
      <c r="B105" s="32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</row>
    <row r="106" spans="1:16" ht="15.75" customHeight="1" x14ac:dyDescent="0.3">
      <c r="A106" s="24"/>
      <c r="B106" s="32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</row>
    <row r="107" spans="1:16" ht="15.75" customHeight="1" x14ac:dyDescent="0.3">
      <c r="A107" s="24"/>
      <c r="B107" s="32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</row>
    <row r="108" spans="1:16" ht="15.75" customHeight="1" x14ac:dyDescent="0.3">
      <c r="A108" s="24"/>
      <c r="B108" s="32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</row>
    <row r="109" spans="1:16" ht="15.75" customHeight="1" x14ac:dyDescent="0.3">
      <c r="A109" s="24"/>
      <c r="B109" s="32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</row>
    <row r="110" spans="1:16" ht="15.75" customHeight="1" x14ac:dyDescent="0.3">
      <c r="A110" s="24"/>
      <c r="B110" s="32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</row>
    <row r="111" spans="1:16" ht="15.75" customHeight="1" x14ac:dyDescent="0.3">
      <c r="A111" s="24"/>
      <c r="B111" s="32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</row>
    <row r="112" spans="1:16" ht="15.75" customHeight="1" x14ac:dyDescent="0.3">
      <c r="A112" s="24"/>
      <c r="B112" s="32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</row>
    <row r="113" spans="1:16" ht="15.75" customHeight="1" x14ac:dyDescent="0.3">
      <c r="A113" s="24"/>
      <c r="B113" s="32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</row>
    <row r="114" spans="1:16" ht="15.75" customHeight="1" x14ac:dyDescent="0.3">
      <c r="A114" s="24"/>
      <c r="B114" s="32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</row>
    <row r="115" spans="1:16" ht="15.75" customHeight="1" x14ac:dyDescent="0.3">
      <c r="A115" s="24"/>
      <c r="B115" s="32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</row>
    <row r="116" spans="1:16" ht="15.75" customHeight="1" x14ac:dyDescent="0.3">
      <c r="A116" s="24"/>
      <c r="B116" s="32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</row>
    <row r="117" spans="1:16" ht="15.75" customHeight="1" x14ac:dyDescent="0.3">
      <c r="A117" s="24"/>
      <c r="B117" s="32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</row>
    <row r="118" spans="1:16" ht="15.75" customHeight="1" x14ac:dyDescent="0.3">
      <c r="A118" s="24"/>
      <c r="B118" s="32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</row>
    <row r="119" spans="1:16" ht="15.75" customHeight="1" x14ac:dyDescent="0.3">
      <c r="A119" s="24"/>
      <c r="B119" s="32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</row>
    <row r="120" spans="1:16" ht="15.75" customHeight="1" x14ac:dyDescent="0.3">
      <c r="A120" s="24"/>
      <c r="B120" s="32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</row>
    <row r="121" spans="1:16" ht="15.75" customHeight="1" x14ac:dyDescent="0.3">
      <c r="A121" s="24"/>
      <c r="B121" s="32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</row>
    <row r="122" spans="1:16" ht="15.75" customHeight="1" x14ac:dyDescent="0.3">
      <c r="A122" s="24"/>
      <c r="B122" s="32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</row>
    <row r="123" spans="1:16" ht="15.75" customHeight="1" x14ac:dyDescent="0.3">
      <c r="A123" s="24"/>
      <c r="B123" s="32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</row>
    <row r="124" spans="1:16" ht="15.75" customHeight="1" x14ac:dyDescent="0.3">
      <c r="A124" s="24"/>
      <c r="B124" s="32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</row>
    <row r="125" spans="1:16" ht="15.75" customHeight="1" x14ac:dyDescent="0.3">
      <c r="A125" s="24"/>
      <c r="B125" s="32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</row>
    <row r="126" spans="1:16" ht="15.75" customHeight="1" x14ac:dyDescent="0.3">
      <c r="A126" s="24"/>
      <c r="B126" s="32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</row>
    <row r="127" spans="1:16" ht="15.75" customHeight="1" x14ac:dyDescent="0.3">
      <c r="A127" s="24"/>
      <c r="B127" s="32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</row>
    <row r="128" spans="1:16" ht="15.75" customHeight="1" x14ac:dyDescent="0.3">
      <c r="A128" s="24"/>
      <c r="B128" s="32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</row>
    <row r="129" spans="1:16" ht="15.75" customHeight="1" x14ac:dyDescent="0.3">
      <c r="A129" s="24"/>
      <c r="B129" s="32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</row>
    <row r="130" spans="1:16" ht="15.75" customHeight="1" x14ac:dyDescent="0.3">
      <c r="A130" s="24"/>
      <c r="B130" s="32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</row>
    <row r="131" spans="1:16" ht="15.75" customHeight="1" x14ac:dyDescent="0.3">
      <c r="A131" s="24"/>
      <c r="B131" s="32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</row>
    <row r="132" spans="1:16" ht="15.75" customHeight="1" x14ac:dyDescent="0.3">
      <c r="A132" s="24"/>
      <c r="B132" s="32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</row>
    <row r="133" spans="1:16" ht="15.75" customHeight="1" x14ac:dyDescent="0.3">
      <c r="A133" s="24"/>
      <c r="B133" s="32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</row>
    <row r="134" spans="1:16" ht="15.75" customHeight="1" x14ac:dyDescent="0.3">
      <c r="A134" s="24"/>
      <c r="B134" s="32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</row>
    <row r="135" spans="1:16" ht="15.75" customHeight="1" x14ac:dyDescent="0.3">
      <c r="A135" s="24"/>
      <c r="B135" s="32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</row>
    <row r="136" spans="1:16" ht="15.75" customHeight="1" x14ac:dyDescent="0.3">
      <c r="A136" s="24"/>
      <c r="B136" s="32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</row>
    <row r="137" spans="1:16" ht="15.75" customHeight="1" x14ac:dyDescent="0.3">
      <c r="A137" s="24"/>
      <c r="B137" s="32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</row>
    <row r="138" spans="1:16" ht="15.75" customHeight="1" x14ac:dyDescent="0.3">
      <c r="A138" s="24"/>
      <c r="B138" s="32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</row>
    <row r="139" spans="1:16" ht="15.75" customHeight="1" x14ac:dyDescent="0.3">
      <c r="A139" s="24"/>
      <c r="B139" s="32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</row>
    <row r="140" spans="1:16" ht="15.75" customHeight="1" x14ac:dyDescent="0.3">
      <c r="A140" s="24"/>
      <c r="B140" s="32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</row>
    <row r="141" spans="1:16" ht="15.75" customHeight="1" x14ac:dyDescent="0.3">
      <c r="A141" s="24"/>
      <c r="B141" s="32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</row>
    <row r="142" spans="1:16" ht="15.75" customHeight="1" x14ac:dyDescent="0.3">
      <c r="A142" s="24"/>
      <c r="B142" s="32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</row>
    <row r="143" spans="1:16" ht="15.75" customHeight="1" x14ac:dyDescent="0.3">
      <c r="A143" s="24"/>
      <c r="B143" s="32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</row>
    <row r="144" spans="1:16" ht="15.75" customHeight="1" x14ac:dyDescent="0.3">
      <c r="A144" s="24"/>
      <c r="B144" s="32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</row>
    <row r="145" spans="1:16" ht="15.75" customHeight="1" x14ac:dyDescent="0.3">
      <c r="A145" s="24"/>
      <c r="B145" s="32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</row>
    <row r="146" spans="1:16" ht="15.75" customHeight="1" x14ac:dyDescent="0.3">
      <c r="A146" s="24"/>
      <c r="B146" s="32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</row>
    <row r="147" spans="1:16" ht="15.75" customHeight="1" x14ac:dyDescent="0.3">
      <c r="A147" s="24"/>
      <c r="B147" s="32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</row>
    <row r="148" spans="1:16" ht="15.75" customHeight="1" x14ac:dyDescent="0.3">
      <c r="A148" s="24"/>
      <c r="B148" s="32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</row>
    <row r="149" spans="1:16" ht="15.75" customHeight="1" x14ac:dyDescent="0.3">
      <c r="A149" s="24"/>
      <c r="B149" s="32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</row>
    <row r="150" spans="1:16" ht="15.75" customHeight="1" x14ac:dyDescent="0.3">
      <c r="A150" s="24"/>
      <c r="B150" s="32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</row>
    <row r="151" spans="1:16" ht="15.75" customHeight="1" x14ac:dyDescent="0.3">
      <c r="A151" s="24"/>
      <c r="B151" s="32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</row>
    <row r="152" spans="1:16" ht="15.75" customHeight="1" x14ac:dyDescent="0.3">
      <c r="A152" s="24"/>
      <c r="B152" s="32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</row>
    <row r="153" spans="1:16" ht="15.75" customHeight="1" x14ac:dyDescent="0.3">
      <c r="A153" s="24"/>
      <c r="B153" s="32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</row>
    <row r="154" spans="1:16" ht="15.75" customHeight="1" x14ac:dyDescent="0.3">
      <c r="A154" s="24"/>
      <c r="B154" s="32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</row>
    <row r="155" spans="1:16" ht="15.75" customHeight="1" x14ac:dyDescent="0.3">
      <c r="A155" s="24"/>
      <c r="B155" s="32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</row>
    <row r="156" spans="1:16" ht="15.75" customHeight="1" x14ac:dyDescent="0.3">
      <c r="A156" s="24"/>
      <c r="B156" s="32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</row>
    <row r="157" spans="1:16" ht="15.75" customHeight="1" x14ac:dyDescent="0.3">
      <c r="A157" s="24"/>
      <c r="B157" s="32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</row>
    <row r="158" spans="1:16" ht="15.75" customHeight="1" x14ac:dyDescent="0.3">
      <c r="A158" s="24"/>
      <c r="B158" s="32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</row>
    <row r="159" spans="1:16" ht="15.75" customHeight="1" x14ac:dyDescent="0.3">
      <c r="A159" s="24"/>
      <c r="B159" s="32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</row>
    <row r="160" spans="1:16" ht="15.75" customHeight="1" x14ac:dyDescent="0.3">
      <c r="A160" s="24"/>
      <c r="B160" s="32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</row>
    <row r="161" spans="1:16" ht="15.75" customHeight="1" x14ac:dyDescent="0.3">
      <c r="A161" s="24"/>
      <c r="B161" s="32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</row>
    <row r="162" spans="1:16" ht="15.75" customHeight="1" x14ac:dyDescent="0.3">
      <c r="A162" s="24"/>
      <c r="B162" s="32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</row>
    <row r="163" spans="1:16" ht="15.75" customHeight="1" x14ac:dyDescent="0.3">
      <c r="A163" s="24"/>
      <c r="B163" s="32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</row>
    <row r="164" spans="1:16" ht="15.75" customHeight="1" x14ac:dyDescent="0.3">
      <c r="A164" s="24"/>
      <c r="B164" s="32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</row>
    <row r="165" spans="1:16" ht="15.75" customHeight="1" x14ac:dyDescent="0.3">
      <c r="A165" s="24"/>
      <c r="B165" s="32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</row>
    <row r="166" spans="1:16" ht="15.75" customHeight="1" x14ac:dyDescent="0.3">
      <c r="A166" s="24"/>
      <c r="B166" s="32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</row>
    <row r="167" spans="1:16" ht="15.75" customHeight="1" x14ac:dyDescent="0.3">
      <c r="A167" s="24"/>
      <c r="B167" s="32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</row>
    <row r="168" spans="1:16" ht="15.75" customHeight="1" x14ac:dyDescent="0.3">
      <c r="A168" s="24"/>
      <c r="B168" s="32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</row>
    <row r="169" spans="1:16" ht="15.75" customHeight="1" x14ac:dyDescent="0.3">
      <c r="A169" s="24"/>
      <c r="B169" s="32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</row>
    <row r="170" spans="1:16" ht="15.75" customHeight="1" x14ac:dyDescent="0.3">
      <c r="A170" s="24"/>
      <c r="B170" s="32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</row>
    <row r="171" spans="1:16" ht="15.75" customHeight="1" x14ac:dyDescent="0.3">
      <c r="A171" s="24"/>
      <c r="B171" s="32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</row>
    <row r="172" spans="1:16" ht="15.75" customHeight="1" x14ac:dyDescent="0.3">
      <c r="A172" s="24"/>
      <c r="B172" s="32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</row>
    <row r="173" spans="1:16" ht="15.75" customHeight="1" x14ac:dyDescent="0.3">
      <c r="A173" s="24"/>
      <c r="B173" s="32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</row>
    <row r="174" spans="1:16" ht="15.75" customHeight="1" x14ac:dyDescent="0.3">
      <c r="A174" s="24"/>
      <c r="B174" s="32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</row>
    <row r="175" spans="1:16" ht="15.75" customHeight="1" x14ac:dyDescent="0.3">
      <c r="A175" s="24"/>
      <c r="B175" s="32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</row>
    <row r="176" spans="1:16" ht="15.75" customHeight="1" x14ac:dyDescent="0.3">
      <c r="A176" s="24"/>
      <c r="B176" s="32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</row>
    <row r="177" spans="1:16" ht="15.75" customHeight="1" x14ac:dyDescent="0.3">
      <c r="A177" s="24"/>
      <c r="B177" s="32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</row>
    <row r="178" spans="1:16" ht="15.75" customHeight="1" x14ac:dyDescent="0.3">
      <c r="A178" s="24"/>
      <c r="B178" s="32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</row>
    <row r="179" spans="1:16" ht="15.75" customHeight="1" x14ac:dyDescent="0.3">
      <c r="A179" s="24"/>
      <c r="B179" s="32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</row>
    <row r="180" spans="1:16" ht="15.75" customHeight="1" x14ac:dyDescent="0.3">
      <c r="A180" s="24"/>
      <c r="B180" s="32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</row>
    <row r="181" spans="1:16" ht="15.75" customHeight="1" x14ac:dyDescent="0.3">
      <c r="A181" s="24"/>
      <c r="B181" s="32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</row>
    <row r="182" spans="1:16" ht="15.75" customHeight="1" x14ac:dyDescent="0.3">
      <c r="A182" s="24"/>
      <c r="B182" s="32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</row>
    <row r="183" spans="1:16" ht="15.75" customHeight="1" x14ac:dyDescent="0.3">
      <c r="A183" s="24"/>
      <c r="B183" s="32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</row>
    <row r="184" spans="1:16" ht="15.75" customHeight="1" x14ac:dyDescent="0.3">
      <c r="A184" s="24"/>
      <c r="B184" s="32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</row>
    <row r="185" spans="1:16" ht="15.75" customHeight="1" x14ac:dyDescent="0.3">
      <c r="A185" s="24"/>
      <c r="B185" s="32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</row>
    <row r="186" spans="1:16" ht="15.75" customHeight="1" x14ac:dyDescent="0.3">
      <c r="A186" s="24"/>
      <c r="B186" s="32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</row>
    <row r="187" spans="1:16" ht="15.75" customHeight="1" x14ac:dyDescent="0.3">
      <c r="A187" s="24"/>
      <c r="B187" s="32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</row>
    <row r="188" spans="1:16" ht="15.75" customHeight="1" x14ac:dyDescent="0.3">
      <c r="A188" s="24"/>
      <c r="B188" s="32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</row>
    <row r="189" spans="1:16" ht="15.75" customHeight="1" x14ac:dyDescent="0.3">
      <c r="A189" s="24"/>
      <c r="B189" s="32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</row>
    <row r="190" spans="1:16" ht="15.75" customHeight="1" x14ac:dyDescent="0.3">
      <c r="A190" s="24"/>
      <c r="B190" s="32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</row>
    <row r="191" spans="1:16" ht="15.75" customHeight="1" x14ac:dyDescent="0.3">
      <c r="A191" s="24"/>
      <c r="B191" s="32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</row>
    <row r="192" spans="1:16" ht="15.75" customHeight="1" x14ac:dyDescent="0.3">
      <c r="A192" s="24"/>
      <c r="B192" s="32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</row>
    <row r="193" spans="1:16" ht="15.75" customHeight="1" x14ac:dyDescent="0.3">
      <c r="A193" s="24"/>
      <c r="B193" s="32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</row>
    <row r="194" spans="1:16" ht="15.75" customHeight="1" x14ac:dyDescent="0.3">
      <c r="A194" s="24"/>
      <c r="B194" s="32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</row>
    <row r="195" spans="1:16" ht="15.75" customHeight="1" x14ac:dyDescent="0.3">
      <c r="A195" s="24"/>
      <c r="B195" s="32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</row>
    <row r="196" spans="1:16" ht="15.75" customHeight="1" x14ac:dyDescent="0.3">
      <c r="A196" s="24"/>
      <c r="B196" s="32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</row>
    <row r="197" spans="1:16" ht="15.75" customHeight="1" x14ac:dyDescent="0.3">
      <c r="A197" s="24"/>
      <c r="B197" s="32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</row>
    <row r="198" spans="1:16" ht="15.75" customHeight="1" x14ac:dyDescent="0.3">
      <c r="A198" s="24"/>
      <c r="B198" s="32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</row>
    <row r="199" spans="1:16" ht="15.75" customHeight="1" x14ac:dyDescent="0.3">
      <c r="A199" s="24"/>
      <c r="B199" s="32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</row>
    <row r="200" spans="1:16" ht="15.75" customHeight="1" x14ac:dyDescent="0.3">
      <c r="A200" s="24"/>
      <c r="B200" s="32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</row>
    <row r="201" spans="1:16" ht="15.75" customHeight="1" x14ac:dyDescent="0.3">
      <c r="A201" s="24"/>
      <c r="B201" s="32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</row>
    <row r="202" spans="1:16" ht="15.75" customHeight="1" x14ac:dyDescent="0.3">
      <c r="A202" s="24"/>
      <c r="B202" s="32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</row>
    <row r="203" spans="1:16" ht="15.75" customHeight="1" x14ac:dyDescent="0.3">
      <c r="A203" s="24"/>
      <c r="B203" s="32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</row>
    <row r="204" spans="1:16" ht="15.75" customHeight="1" x14ac:dyDescent="0.3">
      <c r="A204" s="24"/>
      <c r="B204" s="32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</row>
    <row r="205" spans="1:16" ht="15.75" customHeight="1" x14ac:dyDescent="0.3">
      <c r="A205" s="24"/>
      <c r="B205" s="32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</row>
    <row r="206" spans="1:16" ht="15.75" customHeight="1" x14ac:dyDescent="0.3">
      <c r="A206" s="24"/>
      <c r="B206" s="32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</row>
    <row r="207" spans="1:16" ht="15.75" customHeight="1" x14ac:dyDescent="0.3">
      <c r="A207" s="24"/>
      <c r="B207" s="32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</row>
    <row r="208" spans="1:16" ht="15.75" customHeight="1" x14ac:dyDescent="0.3">
      <c r="A208" s="24"/>
      <c r="B208" s="32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</row>
    <row r="209" spans="1:16" ht="15.75" customHeight="1" x14ac:dyDescent="0.3">
      <c r="A209" s="24"/>
      <c r="B209" s="32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</row>
    <row r="210" spans="1:16" ht="15.75" customHeight="1" x14ac:dyDescent="0.3">
      <c r="A210" s="24"/>
      <c r="B210" s="32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</row>
    <row r="211" spans="1:16" ht="15.75" customHeight="1" x14ac:dyDescent="0.3">
      <c r="A211" s="24"/>
      <c r="B211" s="32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</row>
    <row r="212" spans="1:16" ht="15.75" customHeight="1" x14ac:dyDescent="0.3">
      <c r="A212" s="24"/>
      <c r="B212" s="32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</row>
    <row r="213" spans="1:16" ht="15.75" customHeight="1" x14ac:dyDescent="0.3">
      <c r="A213" s="24"/>
      <c r="B213" s="32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</row>
    <row r="214" spans="1:16" ht="15.75" customHeight="1" x14ac:dyDescent="0.3">
      <c r="A214" s="24"/>
      <c r="B214" s="32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</row>
    <row r="215" spans="1:16" ht="15.75" customHeight="1" x14ac:dyDescent="0.3">
      <c r="A215" s="24"/>
      <c r="B215" s="32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</row>
    <row r="216" spans="1:16" ht="15.75" customHeight="1" x14ac:dyDescent="0.3">
      <c r="A216" s="24"/>
      <c r="B216" s="32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</row>
    <row r="217" spans="1:16" ht="15.75" customHeight="1" x14ac:dyDescent="0.3">
      <c r="A217" s="24"/>
      <c r="B217" s="32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</row>
    <row r="218" spans="1:16" ht="15.75" customHeight="1" x14ac:dyDescent="0.3">
      <c r="A218" s="24"/>
      <c r="B218" s="32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</row>
    <row r="219" spans="1:16" ht="15.75" customHeight="1" x14ac:dyDescent="0.3">
      <c r="A219" s="24"/>
      <c r="B219" s="32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</row>
    <row r="220" spans="1:16" ht="15.75" customHeight="1" x14ac:dyDescent="0.3">
      <c r="A220" s="24"/>
      <c r="B220" s="32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</row>
    <row r="221" spans="1:16" ht="15.75" customHeight="1" x14ac:dyDescent="0.3">
      <c r="A221" s="24"/>
      <c r="B221" s="32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</row>
    <row r="222" spans="1:16" ht="15.75" customHeight="1" x14ac:dyDescent="0.3">
      <c r="B222" s="33"/>
    </row>
    <row r="223" spans="1:16" ht="15.75" customHeight="1" x14ac:dyDescent="0.3">
      <c r="B223" s="33"/>
    </row>
    <row r="224" spans="1:16" ht="15.75" customHeight="1" x14ac:dyDescent="0.3">
      <c r="B224" s="33"/>
    </row>
    <row r="225" spans="2:2" ht="15.75" customHeight="1" x14ac:dyDescent="0.3">
      <c r="B225" s="33"/>
    </row>
    <row r="226" spans="2:2" ht="15.75" customHeight="1" x14ac:dyDescent="0.3">
      <c r="B226" s="33"/>
    </row>
    <row r="227" spans="2:2" ht="15.75" customHeight="1" x14ac:dyDescent="0.3">
      <c r="B227" s="33"/>
    </row>
    <row r="228" spans="2:2" ht="15.75" customHeight="1" x14ac:dyDescent="0.3">
      <c r="B228" s="33"/>
    </row>
    <row r="229" spans="2:2" ht="15.75" customHeight="1" x14ac:dyDescent="0.3">
      <c r="B229" s="33"/>
    </row>
    <row r="230" spans="2:2" ht="15.75" customHeight="1" x14ac:dyDescent="0.3">
      <c r="B230" s="33"/>
    </row>
    <row r="231" spans="2:2" ht="15.75" customHeight="1" x14ac:dyDescent="0.3">
      <c r="B231" s="33"/>
    </row>
    <row r="232" spans="2:2" ht="15.75" customHeight="1" x14ac:dyDescent="0.3">
      <c r="B232" s="33"/>
    </row>
    <row r="233" spans="2:2" ht="15.75" customHeight="1" x14ac:dyDescent="0.3">
      <c r="B233" s="33"/>
    </row>
    <row r="234" spans="2:2" ht="15.75" customHeight="1" x14ac:dyDescent="0.3">
      <c r="B234" s="33"/>
    </row>
    <row r="235" spans="2:2" ht="15.75" customHeight="1" x14ac:dyDescent="0.3">
      <c r="B235" s="33"/>
    </row>
    <row r="236" spans="2:2" ht="15.75" customHeight="1" x14ac:dyDescent="0.3">
      <c r="B236" s="33"/>
    </row>
    <row r="237" spans="2:2" ht="15.75" customHeight="1" x14ac:dyDescent="0.3">
      <c r="B237" s="33"/>
    </row>
    <row r="238" spans="2:2" ht="15.75" customHeight="1" x14ac:dyDescent="0.3">
      <c r="B238" s="33"/>
    </row>
    <row r="239" spans="2:2" ht="15.75" customHeight="1" x14ac:dyDescent="0.3">
      <c r="B239" s="33"/>
    </row>
    <row r="240" spans="2:2" ht="15.75" customHeight="1" x14ac:dyDescent="0.3">
      <c r="B240" s="33"/>
    </row>
    <row r="241" spans="2:2" ht="15.75" customHeight="1" x14ac:dyDescent="0.3">
      <c r="B241" s="33"/>
    </row>
    <row r="242" spans="2:2" ht="15.75" customHeight="1" x14ac:dyDescent="0.3">
      <c r="B242" s="33"/>
    </row>
    <row r="243" spans="2:2" ht="15.75" customHeight="1" x14ac:dyDescent="0.3">
      <c r="B243" s="33"/>
    </row>
    <row r="244" spans="2:2" ht="15.75" customHeight="1" x14ac:dyDescent="0.3">
      <c r="B244" s="33"/>
    </row>
    <row r="245" spans="2:2" ht="15.75" customHeight="1" x14ac:dyDescent="0.3">
      <c r="B245" s="33"/>
    </row>
    <row r="246" spans="2:2" ht="15.75" customHeight="1" x14ac:dyDescent="0.3">
      <c r="B246" s="33"/>
    </row>
    <row r="247" spans="2:2" ht="15.75" customHeight="1" x14ac:dyDescent="0.3">
      <c r="B247" s="33"/>
    </row>
    <row r="248" spans="2:2" ht="15.75" customHeight="1" x14ac:dyDescent="0.3">
      <c r="B248" s="33"/>
    </row>
    <row r="249" spans="2:2" ht="15.75" customHeight="1" x14ac:dyDescent="0.3">
      <c r="B249" s="33"/>
    </row>
    <row r="250" spans="2:2" ht="15.75" customHeight="1" x14ac:dyDescent="0.3">
      <c r="B250" s="33"/>
    </row>
    <row r="251" spans="2:2" ht="15.75" customHeight="1" x14ac:dyDescent="0.3">
      <c r="B251" s="33"/>
    </row>
    <row r="252" spans="2:2" ht="15.75" customHeight="1" x14ac:dyDescent="0.3">
      <c r="B252" s="33"/>
    </row>
    <row r="253" spans="2:2" ht="15.75" customHeight="1" x14ac:dyDescent="0.3">
      <c r="B253" s="33"/>
    </row>
    <row r="254" spans="2:2" ht="15.75" customHeight="1" x14ac:dyDescent="0.3">
      <c r="B254" s="33"/>
    </row>
    <row r="255" spans="2:2" ht="15.75" customHeight="1" x14ac:dyDescent="0.3">
      <c r="B255" s="33"/>
    </row>
    <row r="256" spans="2:2" ht="15.75" customHeight="1" x14ac:dyDescent="0.3">
      <c r="B256" s="33"/>
    </row>
    <row r="257" spans="2:2" ht="15.75" customHeight="1" x14ac:dyDescent="0.3">
      <c r="B257" s="33"/>
    </row>
    <row r="258" spans="2:2" ht="15.75" customHeight="1" x14ac:dyDescent="0.3">
      <c r="B258" s="33"/>
    </row>
    <row r="259" spans="2:2" ht="15.75" customHeight="1" x14ac:dyDescent="0.3">
      <c r="B259" s="33"/>
    </row>
    <row r="260" spans="2:2" ht="15.75" customHeight="1" x14ac:dyDescent="0.3">
      <c r="B260" s="33"/>
    </row>
    <row r="261" spans="2:2" ht="15.75" customHeight="1" x14ac:dyDescent="0.3">
      <c r="B261" s="33"/>
    </row>
    <row r="262" spans="2:2" ht="15.75" customHeight="1" x14ac:dyDescent="0.3">
      <c r="B262" s="33"/>
    </row>
    <row r="263" spans="2:2" ht="15.75" customHeight="1" x14ac:dyDescent="0.3">
      <c r="B263" s="33"/>
    </row>
    <row r="264" spans="2:2" ht="15.75" customHeight="1" x14ac:dyDescent="0.3">
      <c r="B264" s="33"/>
    </row>
    <row r="265" spans="2:2" ht="15.75" customHeight="1" x14ac:dyDescent="0.3">
      <c r="B265" s="33"/>
    </row>
    <row r="266" spans="2:2" ht="15.75" customHeight="1" x14ac:dyDescent="0.3">
      <c r="B266" s="33"/>
    </row>
    <row r="267" spans="2:2" ht="15.75" customHeight="1" x14ac:dyDescent="0.3">
      <c r="B267" s="33"/>
    </row>
    <row r="268" spans="2:2" ht="15.75" customHeight="1" x14ac:dyDescent="0.3">
      <c r="B268" s="33"/>
    </row>
    <row r="269" spans="2:2" ht="15.75" customHeight="1" x14ac:dyDescent="0.3">
      <c r="B269" s="33"/>
    </row>
    <row r="270" spans="2:2" ht="15.75" customHeight="1" x14ac:dyDescent="0.3">
      <c r="B270" s="33"/>
    </row>
    <row r="271" spans="2:2" ht="15.75" customHeight="1" x14ac:dyDescent="0.3">
      <c r="B271" s="33"/>
    </row>
    <row r="272" spans="2:2" ht="15.75" customHeight="1" x14ac:dyDescent="0.3">
      <c r="B272" s="33"/>
    </row>
    <row r="273" spans="2:2" ht="15.75" customHeight="1" x14ac:dyDescent="0.3">
      <c r="B273" s="33"/>
    </row>
    <row r="274" spans="2:2" ht="15.75" customHeight="1" x14ac:dyDescent="0.3">
      <c r="B274" s="33"/>
    </row>
    <row r="275" spans="2:2" ht="15.75" customHeight="1" x14ac:dyDescent="0.3">
      <c r="B275" s="33"/>
    </row>
    <row r="276" spans="2:2" ht="15.75" customHeight="1" x14ac:dyDescent="0.3">
      <c r="B276" s="33"/>
    </row>
    <row r="277" spans="2:2" ht="15.75" customHeight="1" x14ac:dyDescent="0.3">
      <c r="B277" s="33"/>
    </row>
    <row r="278" spans="2:2" ht="15.75" customHeight="1" x14ac:dyDescent="0.3">
      <c r="B278" s="33"/>
    </row>
    <row r="279" spans="2:2" ht="15.75" customHeight="1" x14ac:dyDescent="0.3">
      <c r="B279" s="33"/>
    </row>
    <row r="280" spans="2:2" ht="15.75" customHeight="1" x14ac:dyDescent="0.3">
      <c r="B280" s="33"/>
    </row>
    <row r="281" spans="2:2" ht="15.75" customHeight="1" x14ac:dyDescent="0.3">
      <c r="B281" s="33"/>
    </row>
    <row r="282" spans="2:2" ht="15.75" customHeight="1" x14ac:dyDescent="0.3">
      <c r="B282" s="33"/>
    </row>
    <row r="283" spans="2:2" ht="15.75" customHeight="1" x14ac:dyDescent="0.3">
      <c r="B283" s="33"/>
    </row>
    <row r="284" spans="2:2" ht="15.75" customHeight="1" x14ac:dyDescent="0.3">
      <c r="B284" s="33"/>
    </row>
    <row r="285" spans="2:2" ht="15.75" customHeight="1" x14ac:dyDescent="0.3">
      <c r="B285" s="33"/>
    </row>
    <row r="286" spans="2:2" ht="15.75" customHeight="1" x14ac:dyDescent="0.3">
      <c r="B286" s="33"/>
    </row>
    <row r="287" spans="2:2" ht="15.75" customHeight="1" x14ac:dyDescent="0.3">
      <c r="B287" s="33"/>
    </row>
    <row r="288" spans="2:2" ht="15.75" customHeight="1" x14ac:dyDescent="0.3">
      <c r="B288" s="33"/>
    </row>
    <row r="289" spans="2:2" ht="15.75" customHeight="1" x14ac:dyDescent="0.3">
      <c r="B289" s="33"/>
    </row>
    <row r="290" spans="2:2" ht="15.75" customHeight="1" x14ac:dyDescent="0.3">
      <c r="B290" s="33"/>
    </row>
    <row r="291" spans="2:2" ht="15.75" customHeight="1" x14ac:dyDescent="0.3">
      <c r="B291" s="33"/>
    </row>
    <row r="292" spans="2:2" ht="15.75" customHeight="1" x14ac:dyDescent="0.3">
      <c r="B292" s="33"/>
    </row>
    <row r="293" spans="2:2" ht="15.75" customHeight="1" x14ac:dyDescent="0.3">
      <c r="B293" s="33"/>
    </row>
    <row r="294" spans="2:2" ht="15.75" customHeight="1" x14ac:dyDescent="0.3">
      <c r="B294" s="33"/>
    </row>
    <row r="295" spans="2:2" ht="15.75" customHeight="1" x14ac:dyDescent="0.3">
      <c r="B295" s="33"/>
    </row>
    <row r="296" spans="2:2" ht="15.75" customHeight="1" x14ac:dyDescent="0.3">
      <c r="B296" s="33"/>
    </row>
    <row r="297" spans="2:2" ht="15.75" customHeight="1" x14ac:dyDescent="0.3">
      <c r="B297" s="33"/>
    </row>
    <row r="298" spans="2:2" ht="15.75" customHeight="1" x14ac:dyDescent="0.3">
      <c r="B298" s="33"/>
    </row>
    <row r="299" spans="2:2" ht="15.75" customHeight="1" x14ac:dyDescent="0.3">
      <c r="B299" s="33"/>
    </row>
    <row r="300" spans="2:2" ht="15.75" customHeight="1" x14ac:dyDescent="0.3">
      <c r="B300" s="33"/>
    </row>
    <row r="301" spans="2:2" ht="15.75" customHeight="1" x14ac:dyDescent="0.3">
      <c r="B301" s="33"/>
    </row>
    <row r="302" spans="2:2" ht="15.75" customHeight="1" x14ac:dyDescent="0.3">
      <c r="B302" s="33"/>
    </row>
    <row r="303" spans="2:2" ht="15.75" customHeight="1" x14ac:dyDescent="0.3">
      <c r="B303" s="33"/>
    </row>
    <row r="304" spans="2:2" ht="15.75" customHeight="1" x14ac:dyDescent="0.3">
      <c r="B304" s="33"/>
    </row>
    <row r="305" spans="2:2" ht="15.75" customHeight="1" x14ac:dyDescent="0.3">
      <c r="B305" s="33"/>
    </row>
    <row r="306" spans="2:2" ht="15.75" customHeight="1" x14ac:dyDescent="0.3">
      <c r="B306" s="33"/>
    </row>
    <row r="307" spans="2:2" ht="15.75" customHeight="1" x14ac:dyDescent="0.3">
      <c r="B307" s="33"/>
    </row>
    <row r="308" spans="2:2" ht="15.75" customHeight="1" x14ac:dyDescent="0.3">
      <c r="B308" s="33"/>
    </row>
    <row r="309" spans="2:2" ht="15.75" customHeight="1" x14ac:dyDescent="0.3">
      <c r="B309" s="33"/>
    </row>
    <row r="310" spans="2:2" ht="15.75" customHeight="1" x14ac:dyDescent="0.3">
      <c r="B310" s="33"/>
    </row>
    <row r="311" spans="2:2" ht="15.75" customHeight="1" x14ac:dyDescent="0.3">
      <c r="B311" s="33"/>
    </row>
    <row r="312" spans="2:2" ht="15.75" customHeight="1" x14ac:dyDescent="0.3">
      <c r="B312" s="33"/>
    </row>
    <row r="313" spans="2:2" ht="15.75" customHeight="1" x14ac:dyDescent="0.3">
      <c r="B313" s="33"/>
    </row>
    <row r="314" spans="2:2" ht="15.75" customHeight="1" x14ac:dyDescent="0.3">
      <c r="B314" s="33"/>
    </row>
    <row r="315" spans="2:2" ht="15.75" customHeight="1" x14ac:dyDescent="0.3">
      <c r="B315" s="33"/>
    </row>
    <row r="316" spans="2:2" ht="15.75" customHeight="1" x14ac:dyDescent="0.3">
      <c r="B316" s="33"/>
    </row>
    <row r="317" spans="2:2" ht="15.75" customHeight="1" x14ac:dyDescent="0.3">
      <c r="B317" s="33"/>
    </row>
    <row r="318" spans="2:2" ht="15.75" customHeight="1" x14ac:dyDescent="0.3">
      <c r="B318" s="33"/>
    </row>
    <row r="319" spans="2:2" ht="15.75" customHeight="1" x14ac:dyDescent="0.3">
      <c r="B319" s="33"/>
    </row>
    <row r="320" spans="2:2" ht="15.75" customHeight="1" x14ac:dyDescent="0.3">
      <c r="B320" s="33"/>
    </row>
    <row r="321" spans="2:2" ht="15.75" customHeight="1" x14ac:dyDescent="0.3">
      <c r="B321" s="33"/>
    </row>
    <row r="322" spans="2:2" ht="15.75" customHeight="1" x14ac:dyDescent="0.3">
      <c r="B322" s="33"/>
    </row>
    <row r="323" spans="2:2" ht="15.75" customHeight="1" x14ac:dyDescent="0.3">
      <c r="B323" s="33"/>
    </row>
    <row r="324" spans="2:2" ht="15.75" customHeight="1" x14ac:dyDescent="0.3">
      <c r="B324" s="33"/>
    </row>
    <row r="325" spans="2:2" ht="15.75" customHeight="1" x14ac:dyDescent="0.3">
      <c r="B325" s="33"/>
    </row>
    <row r="326" spans="2:2" ht="15.75" customHeight="1" x14ac:dyDescent="0.3">
      <c r="B326" s="33"/>
    </row>
    <row r="327" spans="2:2" ht="15.75" customHeight="1" x14ac:dyDescent="0.3">
      <c r="B327" s="33"/>
    </row>
    <row r="328" spans="2:2" ht="15.75" customHeight="1" x14ac:dyDescent="0.3">
      <c r="B328" s="33"/>
    </row>
    <row r="329" spans="2:2" ht="15.75" customHeight="1" x14ac:dyDescent="0.3">
      <c r="B329" s="33"/>
    </row>
    <row r="330" spans="2:2" ht="15.75" customHeight="1" x14ac:dyDescent="0.3">
      <c r="B330" s="33"/>
    </row>
    <row r="331" spans="2:2" ht="15.75" customHeight="1" x14ac:dyDescent="0.3">
      <c r="B331" s="33"/>
    </row>
    <row r="332" spans="2:2" ht="15.75" customHeight="1" x14ac:dyDescent="0.3">
      <c r="B332" s="33"/>
    </row>
    <row r="333" spans="2:2" ht="15.75" customHeight="1" x14ac:dyDescent="0.3">
      <c r="B333" s="33"/>
    </row>
    <row r="334" spans="2:2" ht="15.75" customHeight="1" x14ac:dyDescent="0.3">
      <c r="B334" s="33"/>
    </row>
    <row r="335" spans="2:2" ht="15.75" customHeight="1" x14ac:dyDescent="0.3">
      <c r="B335" s="33"/>
    </row>
    <row r="336" spans="2:2" ht="15.75" customHeight="1" x14ac:dyDescent="0.3">
      <c r="B336" s="33"/>
    </row>
    <row r="337" spans="2:2" ht="15.75" customHeight="1" x14ac:dyDescent="0.3">
      <c r="B337" s="33"/>
    </row>
    <row r="338" spans="2:2" ht="15.75" customHeight="1" x14ac:dyDescent="0.3">
      <c r="B338" s="33"/>
    </row>
    <row r="339" spans="2:2" ht="15.75" customHeight="1" x14ac:dyDescent="0.3">
      <c r="B339" s="33"/>
    </row>
    <row r="340" spans="2:2" ht="15.75" customHeight="1" x14ac:dyDescent="0.3">
      <c r="B340" s="33"/>
    </row>
    <row r="341" spans="2:2" ht="15.75" customHeight="1" x14ac:dyDescent="0.3">
      <c r="B341" s="33"/>
    </row>
    <row r="342" spans="2:2" ht="15.75" customHeight="1" x14ac:dyDescent="0.3">
      <c r="B342" s="33"/>
    </row>
    <row r="343" spans="2:2" ht="15.75" customHeight="1" x14ac:dyDescent="0.3">
      <c r="B343" s="33"/>
    </row>
    <row r="344" spans="2:2" ht="15.75" customHeight="1" x14ac:dyDescent="0.3">
      <c r="B344" s="33"/>
    </row>
    <row r="345" spans="2:2" ht="15.75" customHeight="1" x14ac:dyDescent="0.3">
      <c r="B345" s="33"/>
    </row>
    <row r="346" spans="2:2" ht="15.75" customHeight="1" x14ac:dyDescent="0.3">
      <c r="B346" s="33"/>
    </row>
    <row r="347" spans="2:2" ht="15.75" customHeight="1" x14ac:dyDescent="0.3">
      <c r="B347" s="33"/>
    </row>
    <row r="348" spans="2:2" ht="15.75" customHeight="1" x14ac:dyDescent="0.3">
      <c r="B348" s="33"/>
    </row>
    <row r="349" spans="2:2" ht="15.75" customHeight="1" x14ac:dyDescent="0.3">
      <c r="B349" s="33"/>
    </row>
    <row r="350" spans="2:2" ht="15.75" customHeight="1" x14ac:dyDescent="0.3">
      <c r="B350" s="33"/>
    </row>
    <row r="351" spans="2:2" ht="15.75" customHeight="1" x14ac:dyDescent="0.3">
      <c r="B351" s="33"/>
    </row>
    <row r="352" spans="2:2" ht="15.75" customHeight="1" x14ac:dyDescent="0.3">
      <c r="B352" s="33"/>
    </row>
    <row r="353" spans="2:2" ht="15.75" customHeight="1" x14ac:dyDescent="0.3">
      <c r="B353" s="33"/>
    </row>
    <row r="354" spans="2:2" ht="15.75" customHeight="1" x14ac:dyDescent="0.3">
      <c r="B354" s="33"/>
    </row>
    <row r="355" spans="2:2" ht="15.75" customHeight="1" x14ac:dyDescent="0.3">
      <c r="B355" s="33"/>
    </row>
    <row r="356" spans="2:2" ht="15.75" customHeight="1" x14ac:dyDescent="0.3">
      <c r="B356" s="33"/>
    </row>
    <row r="357" spans="2:2" ht="15.75" customHeight="1" x14ac:dyDescent="0.3">
      <c r="B357" s="33"/>
    </row>
    <row r="358" spans="2:2" ht="15.75" customHeight="1" x14ac:dyDescent="0.3">
      <c r="B358" s="33"/>
    </row>
    <row r="359" spans="2:2" ht="15.75" customHeight="1" x14ac:dyDescent="0.3">
      <c r="B359" s="33"/>
    </row>
    <row r="360" spans="2:2" ht="15.75" customHeight="1" x14ac:dyDescent="0.3">
      <c r="B360" s="33"/>
    </row>
    <row r="361" spans="2:2" ht="15.75" customHeight="1" x14ac:dyDescent="0.3">
      <c r="B361" s="33"/>
    </row>
    <row r="362" spans="2:2" ht="15.75" customHeight="1" x14ac:dyDescent="0.3">
      <c r="B362" s="33"/>
    </row>
    <row r="363" spans="2:2" ht="15.75" customHeight="1" x14ac:dyDescent="0.3">
      <c r="B363" s="33"/>
    </row>
    <row r="364" spans="2:2" ht="15.75" customHeight="1" x14ac:dyDescent="0.3">
      <c r="B364" s="33"/>
    </row>
    <row r="365" spans="2:2" ht="15.75" customHeight="1" x14ac:dyDescent="0.3">
      <c r="B365" s="33"/>
    </row>
    <row r="366" spans="2:2" ht="15.75" customHeight="1" x14ac:dyDescent="0.3">
      <c r="B366" s="33"/>
    </row>
    <row r="367" spans="2:2" ht="15.75" customHeight="1" x14ac:dyDescent="0.3">
      <c r="B367" s="33"/>
    </row>
    <row r="368" spans="2:2" ht="15.75" customHeight="1" x14ac:dyDescent="0.3">
      <c r="B368" s="33"/>
    </row>
    <row r="369" spans="2:2" ht="15.75" customHeight="1" x14ac:dyDescent="0.3">
      <c r="B369" s="33"/>
    </row>
    <row r="370" spans="2:2" ht="15.75" customHeight="1" x14ac:dyDescent="0.3">
      <c r="B370" s="33"/>
    </row>
    <row r="371" spans="2:2" ht="15.75" customHeight="1" x14ac:dyDescent="0.3">
      <c r="B371" s="33"/>
    </row>
    <row r="372" spans="2:2" ht="15.75" customHeight="1" x14ac:dyDescent="0.3">
      <c r="B372" s="33"/>
    </row>
    <row r="373" spans="2:2" ht="15.75" customHeight="1" x14ac:dyDescent="0.3">
      <c r="B373" s="33"/>
    </row>
    <row r="374" spans="2:2" ht="15.75" customHeight="1" x14ac:dyDescent="0.3">
      <c r="B374" s="33"/>
    </row>
    <row r="375" spans="2:2" ht="15.75" customHeight="1" x14ac:dyDescent="0.3">
      <c r="B375" s="33"/>
    </row>
    <row r="376" spans="2:2" ht="15.75" customHeight="1" x14ac:dyDescent="0.3">
      <c r="B376" s="33"/>
    </row>
    <row r="377" spans="2:2" ht="15.75" customHeight="1" x14ac:dyDescent="0.3">
      <c r="B377" s="33"/>
    </row>
    <row r="378" spans="2:2" ht="15.75" customHeight="1" x14ac:dyDescent="0.3">
      <c r="B378" s="33"/>
    </row>
    <row r="379" spans="2:2" ht="15.75" customHeight="1" x14ac:dyDescent="0.3">
      <c r="B379" s="33"/>
    </row>
    <row r="380" spans="2:2" ht="15.75" customHeight="1" x14ac:dyDescent="0.3">
      <c r="B380" s="33"/>
    </row>
    <row r="381" spans="2:2" ht="15.75" customHeight="1" x14ac:dyDescent="0.3">
      <c r="B381" s="33"/>
    </row>
    <row r="382" spans="2:2" ht="15.75" customHeight="1" x14ac:dyDescent="0.3">
      <c r="B382" s="33"/>
    </row>
    <row r="383" spans="2:2" ht="15.75" customHeight="1" x14ac:dyDescent="0.3">
      <c r="B383" s="33"/>
    </row>
    <row r="384" spans="2:2" ht="15.75" customHeight="1" x14ac:dyDescent="0.3">
      <c r="B384" s="33"/>
    </row>
    <row r="385" spans="2:2" ht="15.75" customHeight="1" x14ac:dyDescent="0.3">
      <c r="B385" s="33"/>
    </row>
    <row r="386" spans="2:2" ht="15.75" customHeight="1" x14ac:dyDescent="0.3">
      <c r="B386" s="33"/>
    </row>
    <row r="387" spans="2:2" ht="15.75" customHeight="1" x14ac:dyDescent="0.3">
      <c r="B387" s="33"/>
    </row>
    <row r="388" spans="2:2" ht="15.75" customHeight="1" x14ac:dyDescent="0.3">
      <c r="B388" s="33"/>
    </row>
    <row r="389" spans="2:2" ht="15.75" customHeight="1" x14ac:dyDescent="0.3">
      <c r="B389" s="33"/>
    </row>
    <row r="390" spans="2:2" ht="15.75" customHeight="1" x14ac:dyDescent="0.3">
      <c r="B390" s="33"/>
    </row>
    <row r="391" spans="2:2" ht="15.75" customHeight="1" x14ac:dyDescent="0.3">
      <c r="B391" s="33"/>
    </row>
    <row r="392" spans="2:2" ht="15.75" customHeight="1" x14ac:dyDescent="0.3">
      <c r="B392" s="33"/>
    </row>
    <row r="393" spans="2:2" ht="15.75" customHeight="1" x14ac:dyDescent="0.3">
      <c r="B393" s="33"/>
    </row>
    <row r="394" spans="2:2" ht="15.75" customHeight="1" x14ac:dyDescent="0.3">
      <c r="B394" s="33"/>
    </row>
    <row r="395" spans="2:2" ht="15.75" customHeight="1" x14ac:dyDescent="0.3">
      <c r="B395" s="33"/>
    </row>
    <row r="396" spans="2:2" ht="15.75" customHeight="1" x14ac:dyDescent="0.3">
      <c r="B396" s="33"/>
    </row>
    <row r="397" spans="2:2" ht="15.75" customHeight="1" x14ac:dyDescent="0.3">
      <c r="B397" s="33"/>
    </row>
    <row r="398" spans="2:2" ht="15.75" customHeight="1" x14ac:dyDescent="0.3">
      <c r="B398" s="33"/>
    </row>
    <row r="399" spans="2:2" ht="15.75" customHeight="1" x14ac:dyDescent="0.3">
      <c r="B399" s="33"/>
    </row>
    <row r="400" spans="2:2" ht="15.75" customHeight="1" x14ac:dyDescent="0.3">
      <c r="B400" s="33"/>
    </row>
    <row r="401" spans="2:2" ht="15.75" customHeight="1" x14ac:dyDescent="0.3">
      <c r="B401" s="33"/>
    </row>
    <row r="402" spans="2:2" ht="15.75" customHeight="1" x14ac:dyDescent="0.3">
      <c r="B402" s="33"/>
    </row>
    <row r="403" spans="2:2" ht="15.75" customHeight="1" x14ac:dyDescent="0.3">
      <c r="B403" s="33"/>
    </row>
    <row r="404" spans="2:2" ht="15.75" customHeight="1" x14ac:dyDescent="0.3">
      <c r="B404" s="33"/>
    </row>
    <row r="405" spans="2:2" ht="15.75" customHeight="1" x14ac:dyDescent="0.3">
      <c r="B405" s="33"/>
    </row>
    <row r="406" spans="2:2" ht="15.75" customHeight="1" x14ac:dyDescent="0.3">
      <c r="B406" s="33"/>
    </row>
    <row r="407" spans="2:2" ht="15.75" customHeight="1" x14ac:dyDescent="0.3">
      <c r="B407" s="33"/>
    </row>
    <row r="408" spans="2:2" ht="15.75" customHeight="1" x14ac:dyDescent="0.3">
      <c r="B408" s="33"/>
    </row>
    <row r="409" spans="2:2" ht="15.75" customHeight="1" x14ac:dyDescent="0.3">
      <c r="B409" s="33"/>
    </row>
    <row r="410" spans="2:2" ht="15.75" customHeight="1" x14ac:dyDescent="0.3">
      <c r="B410" s="33"/>
    </row>
    <row r="411" spans="2:2" ht="15.75" customHeight="1" x14ac:dyDescent="0.3">
      <c r="B411" s="33"/>
    </row>
    <row r="412" spans="2:2" ht="15.75" customHeight="1" x14ac:dyDescent="0.3">
      <c r="B412" s="33"/>
    </row>
    <row r="413" spans="2:2" ht="15.75" customHeight="1" x14ac:dyDescent="0.3">
      <c r="B413" s="33"/>
    </row>
    <row r="414" spans="2:2" ht="15.75" customHeight="1" x14ac:dyDescent="0.3">
      <c r="B414" s="33"/>
    </row>
    <row r="415" spans="2:2" ht="15.75" customHeight="1" x14ac:dyDescent="0.3">
      <c r="B415" s="33"/>
    </row>
    <row r="416" spans="2:2" ht="15.75" customHeight="1" x14ac:dyDescent="0.3">
      <c r="B416" s="33"/>
    </row>
    <row r="417" spans="2:2" ht="15.75" customHeight="1" x14ac:dyDescent="0.3">
      <c r="B417" s="33"/>
    </row>
    <row r="418" spans="2:2" ht="15.75" customHeight="1" x14ac:dyDescent="0.3">
      <c r="B418" s="33"/>
    </row>
    <row r="419" spans="2:2" ht="15.75" customHeight="1" x14ac:dyDescent="0.3">
      <c r="B419" s="33"/>
    </row>
    <row r="420" spans="2:2" ht="15.75" customHeight="1" x14ac:dyDescent="0.3">
      <c r="B420" s="33"/>
    </row>
    <row r="421" spans="2:2" ht="15.75" customHeight="1" x14ac:dyDescent="0.3">
      <c r="B421" s="33"/>
    </row>
    <row r="422" spans="2:2" ht="15.75" customHeight="1" x14ac:dyDescent="0.3">
      <c r="B422" s="33"/>
    </row>
    <row r="423" spans="2:2" ht="15.75" customHeight="1" x14ac:dyDescent="0.3">
      <c r="B423" s="33"/>
    </row>
    <row r="424" spans="2:2" ht="15.75" customHeight="1" x14ac:dyDescent="0.3">
      <c r="B424" s="33"/>
    </row>
    <row r="425" spans="2:2" ht="15.75" customHeight="1" x14ac:dyDescent="0.3">
      <c r="B425" s="33"/>
    </row>
    <row r="426" spans="2:2" ht="15.75" customHeight="1" x14ac:dyDescent="0.3">
      <c r="B426" s="33"/>
    </row>
    <row r="427" spans="2:2" ht="15.75" customHeight="1" x14ac:dyDescent="0.3">
      <c r="B427" s="33"/>
    </row>
    <row r="428" spans="2:2" ht="15.75" customHeight="1" x14ac:dyDescent="0.3">
      <c r="B428" s="33"/>
    </row>
    <row r="429" spans="2:2" ht="15.75" customHeight="1" x14ac:dyDescent="0.3">
      <c r="B429" s="33"/>
    </row>
    <row r="430" spans="2:2" ht="15.75" customHeight="1" x14ac:dyDescent="0.3">
      <c r="B430" s="33"/>
    </row>
    <row r="431" spans="2:2" ht="15.75" customHeight="1" x14ac:dyDescent="0.3">
      <c r="B431" s="33"/>
    </row>
    <row r="432" spans="2:2" ht="15.75" customHeight="1" x14ac:dyDescent="0.3">
      <c r="B432" s="33"/>
    </row>
    <row r="433" spans="2:2" ht="15.75" customHeight="1" x14ac:dyDescent="0.3">
      <c r="B433" s="33"/>
    </row>
    <row r="434" spans="2:2" ht="15.75" customHeight="1" x14ac:dyDescent="0.3">
      <c r="B434" s="33"/>
    </row>
    <row r="435" spans="2:2" ht="15.75" customHeight="1" x14ac:dyDescent="0.3">
      <c r="B435" s="33"/>
    </row>
    <row r="436" spans="2:2" ht="15.75" customHeight="1" x14ac:dyDescent="0.3">
      <c r="B436" s="33"/>
    </row>
    <row r="437" spans="2:2" ht="15.75" customHeight="1" x14ac:dyDescent="0.3">
      <c r="B437" s="33"/>
    </row>
    <row r="438" spans="2:2" ht="15.75" customHeight="1" x14ac:dyDescent="0.3">
      <c r="B438" s="33"/>
    </row>
    <row r="439" spans="2:2" ht="15.75" customHeight="1" x14ac:dyDescent="0.3">
      <c r="B439" s="33"/>
    </row>
    <row r="440" spans="2:2" ht="15.75" customHeight="1" x14ac:dyDescent="0.3">
      <c r="B440" s="33"/>
    </row>
    <row r="441" spans="2:2" ht="15.75" customHeight="1" x14ac:dyDescent="0.3">
      <c r="B441" s="33"/>
    </row>
    <row r="442" spans="2:2" ht="15.75" customHeight="1" x14ac:dyDescent="0.3">
      <c r="B442" s="33"/>
    </row>
    <row r="443" spans="2:2" ht="15.75" customHeight="1" x14ac:dyDescent="0.3">
      <c r="B443" s="33"/>
    </row>
    <row r="444" spans="2:2" ht="15.75" customHeight="1" x14ac:dyDescent="0.3">
      <c r="B444" s="33"/>
    </row>
    <row r="445" spans="2:2" ht="15.75" customHeight="1" x14ac:dyDescent="0.3">
      <c r="B445" s="33"/>
    </row>
    <row r="446" spans="2:2" ht="15.75" customHeight="1" x14ac:dyDescent="0.3">
      <c r="B446" s="33"/>
    </row>
    <row r="447" spans="2:2" ht="15.75" customHeight="1" x14ac:dyDescent="0.3">
      <c r="B447" s="33"/>
    </row>
    <row r="448" spans="2:2" ht="15.75" customHeight="1" x14ac:dyDescent="0.3">
      <c r="B448" s="33"/>
    </row>
    <row r="449" spans="2:2" ht="15.75" customHeight="1" x14ac:dyDescent="0.3">
      <c r="B449" s="33"/>
    </row>
    <row r="450" spans="2:2" ht="15.75" customHeight="1" x14ac:dyDescent="0.3">
      <c r="B450" s="33"/>
    </row>
    <row r="451" spans="2:2" ht="15.75" customHeight="1" x14ac:dyDescent="0.3">
      <c r="B451" s="33"/>
    </row>
    <row r="452" spans="2:2" ht="15.75" customHeight="1" x14ac:dyDescent="0.3">
      <c r="B452" s="33"/>
    </row>
    <row r="453" spans="2:2" ht="15.75" customHeight="1" x14ac:dyDescent="0.3">
      <c r="B453" s="33"/>
    </row>
    <row r="454" spans="2:2" ht="15.75" customHeight="1" x14ac:dyDescent="0.3">
      <c r="B454" s="33"/>
    </row>
    <row r="455" spans="2:2" ht="15.75" customHeight="1" x14ac:dyDescent="0.3">
      <c r="B455" s="33"/>
    </row>
    <row r="456" spans="2:2" ht="15.75" customHeight="1" x14ac:dyDescent="0.3">
      <c r="B456" s="33"/>
    </row>
    <row r="457" spans="2:2" ht="15.75" customHeight="1" x14ac:dyDescent="0.3">
      <c r="B457" s="33"/>
    </row>
    <row r="458" spans="2:2" ht="15.75" customHeight="1" x14ac:dyDescent="0.3">
      <c r="B458" s="33"/>
    </row>
    <row r="459" spans="2:2" ht="15.75" customHeight="1" x14ac:dyDescent="0.3">
      <c r="B459" s="33"/>
    </row>
    <row r="460" spans="2:2" ht="15.75" customHeight="1" x14ac:dyDescent="0.3">
      <c r="B460" s="33"/>
    </row>
    <row r="461" spans="2:2" ht="15.75" customHeight="1" x14ac:dyDescent="0.3">
      <c r="B461" s="33"/>
    </row>
    <row r="462" spans="2:2" ht="15.75" customHeight="1" x14ac:dyDescent="0.3">
      <c r="B462" s="33"/>
    </row>
    <row r="463" spans="2:2" ht="15.75" customHeight="1" x14ac:dyDescent="0.3">
      <c r="B463" s="33"/>
    </row>
    <row r="464" spans="2:2" ht="15.75" customHeight="1" x14ac:dyDescent="0.3">
      <c r="B464" s="33"/>
    </row>
    <row r="465" spans="2:2" ht="15.75" customHeight="1" x14ac:dyDescent="0.3">
      <c r="B465" s="33"/>
    </row>
    <row r="466" spans="2:2" ht="15.75" customHeight="1" x14ac:dyDescent="0.3">
      <c r="B466" s="33"/>
    </row>
    <row r="467" spans="2:2" ht="15.75" customHeight="1" x14ac:dyDescent="0.3">
      <c r="B467" s="33"/>
    </row>
    <row r="468" spans="2:2" ht="15.75" customHeight="1" x14ac:dyDescent="0.3">
      <c r="B468" s="33"/>
    </row>
    <row r="469" spans="2:2" ht="15.75" customHeight="1" x14ac:dyDescent="0.3">
      <c r="B469" s="33"/>
    </row>
    <row r="470" spans="2:2" ht="15.75" customHeight="1" x14ac:dyDescent="0.3">
      <c r="B470" s="33"/>
    </row>
    <row r="471" spans="2:2" ht="15.75" customHeight="1" x14ac:dyDescent="0.3">
      <c r="B471" s="33"/>
    </row>
    <row r="472" spans="2:2" ht="15.75" customHeight="1" x14ac:dyDescent="0.3">
      <c r="B472" s="33"/>
    </row>
    <row r="473" spans="2:2" ht="15.75" customHeight="1" x14ac:dyDescent="0.3">
      <c r="B473" s="33"/>
    </row>
    <row r="474" spans="2:2" ht="15.75" customHeight="1" x14ac:dyDescent="0.3">
      <c r="B474" s="33"/>
    </row>
    <row r="475" spans="2:2" ht="15.75" customHeight="1" x14ac:dyDescent="0.3">
      <c r="B475" s="33"/>
    </row>
    <row r="476" spans="2:2" ht="15.75" customHeight="1" x14ac:dyDescent="0.3">
      <c r="B476" s="33"/>
    </row>
    <row r="477" spans="2:2" ht="15.75" customHeight="1" x14ac:dyDescent="0.3">
      <c r="B477" s="33"/>
    </row>
    <row r="478" spans="2:2" ht="15.75" customHeight="1" x14ac:dyDescent="0.3">
      <c r="B478" s="33"/>
    </row>
    <row r="479" spans="2:2" ht="15.75" customHeight="1" x14ac:dyDescent="0.3">
      <c r="B479" s="33"/>
    </row>
    <row r="480" spans="2:2" ht="15.75" customHeight="1" x14ac:dyDescent="0.3">
      <c r="B480" s="33"/>
    </row>
    <row r="481" spans="2:2" ht="15.75" customHeight="1" x14ac:dyDescent="0.3">
      <c r="B481" s="33"/>
    </row>
    <row r="482" spans="2:2" ht="15.75" customHeight="1" x14ac:dyDescent="0.3">
      <c r="B482" s="33"/>
    </row>
    <row r="483" spans="2:2" ht="15.75" customHeight="1" x14ac:dyDescent="0.3">
      <c r="B483" s="33"/>
    </row>
    <row r="484" spans="2:2" ht="15.75" customHeight="1" x14ac:dyDescent="0.3">
      <c r="B484" s="33"/>
    </row>
    <row r="485" spans="2:2" ht="15.75" customHeight="1" x14ac:dyDescent="0.3">
      <c r="B485" s="33"/>
    </row>
    <row r="486" spans="2:2" ht="15.75" customHeight="1" x14ac:dyDescent="0.3">
      <c r="B486" s="33"/>
    </row>
    <row r="487" spans="2:2" ht="15.75" customHeight="1" x14ac:dyDescent="0.3">
      <c r="B487" s="33"/>
    </row>
    <row r="488" spans="2:2" ht="15.75" customHeight="1" x14ac:dyDescent="0.3">
      <c r="B488" s="33"/>
    </row>
    <row r="489" spans="2:2" ht="15.75" customHeight="1" x14ac:dyDescent="0.3">
      <c r="B489" s="33"/>
    </row>
    <row r="490" spans="2:2" ht="15.75" customHeight="1" x14ac:dyDescent="0.3">
      <c r="B490" s="33"/>
    </row>
    <row r="491" spans="2:2" ht="15.75" customHeight="1" x14ac:dyDescent="0.3">
      <c r="B491" s="33"/>
    </row>
    <row r="492" spans="2:2" ht="15.75" customHeight="1" x14ac:dyDescent="0.3">
      <c r="B492" s="33"/>
    </row>
    <row r="493" spans="2:2" ht="15.75" customHeight="1" x14ac:dyDescent="0.3">
      <c r="B493" s="33"/>
    </row>
    <row r="494" spans="2:2" ht="15.75" customHeight="1" x14ac:dyDescent="0.3">
      <c r="B494" s="33"/>
    </row>
    <row r="495" spans="2:2" ht="15.75" customHeight="1" x14ac:dyDescent="0.3">
      <c r="B495" s="33"/>
    </row>
    <row r="496" spans="2:2" ht="15.75" customHeight="1" x14ac:dyDescent="0.3">
      <c r="B496" s="33"/>
    </row>
    <row r="497" spans="2:2" ht="15.75" customHeight="1" x14ac:dyDescent="0.3">
      <c r="B497" s="33"/>
    </row>
    <row r="498" spans="2:2" ht="15.75" customHeight="1" x14ac:dyDescent="0.3">
      <c r="B498" s="33"/>
    </row>
    <row r="499" spans="2:2" ht="15.75" customHeight="1" x14ac:dyDescent="0.3">
      <c r="B499" s="33"/>
    </row>
    <row r="500" spans="2:2" ht="15.75" customHeight="1" x14ac:dyDescent="0.3">
      <c r="B500" s="33"/>
    </row>
    <row r="501" spans="2:2" ht="15.75" customHeight="1" x14ac:dyDescent="0.3">
      <c r="B501" s="33"/>
    </row>
    <row r="502" spans="2:2" ht="15.75" customHeight="1" x14ac:dyDescent="0.3">
      <c r="B502" s="33"/>
    </row>
    <row r="503" spans="2:2" ht="15.75" customHeight="1" x14ac:dyDescent="0.3">
      <c r="B503" s="33"/>
    </row>
    <row r="504" spans="2:2" ht="15.75" customHeight="1" x14ac:dyDescent="0.3">
      <c r="B504" s="33"/>
    </row>
    <row r="505" spans="2:2" ht="15.75" customHeight="1" x14ac:dyDescent="0.3">
      <c r="B505" s="33"/>
    </row>
    <row r="506" spans="2:2" ht="15.75" customHeight="1" x14ac:dyDescent="0.3">
      <c r="B506" s="33"/>
    </row>
    <row r="507" spans="2:2" ht="15.75" customHeight="1" x14ac:dyDescent="0.3">
      <c r="B507" s="33"/>
    </row>
    <row r="508" spans="2:2" ht="15.75" customHeight="1" x14ac:dyDescent="0.3">
      <c r="B508" s="33"/>
    </row>
    <row r="509" spans="2:2" ht="15.75" customHeight="1" x14ac:dyDescent="0.3">
      <c r="B509" s="33"/>
    </row>
    <row r="510" spans="2:2" ht="15.75" customHeight="1" x14ac:dyDescent="0.3">
      <c r="B510" s="33"/>
    </row>
    <row r="511" spans="2:2" ht="15.75" customHeight="1" x14ac:dyDescent="0.3">
      <c r="B511" s="33"/>
    </row>
    <row r="512" spans="2:2" ht="15.75" customHeight="1" x14ac:dyDescent="0.3">
      <c r="B512" s="33"/>
    </row>
    <row r="513" spans="2:2" ht="15.75" customHeight="1" x14ac:dyDescent="0.3">
      <c r="B513" s="33"/>
    </row>
    <row r="514" spans="2:2" ht="15.75" customHeight="1" x14ac:dyDescent="0.3">
      <c r="B514" s="33"/>
    </row>
    <row r="515" spans="2:2" ht="15.75" customHeight="1" x14ac:dyDescent="0.3">
      <c r="B515" s="33"/>
    </row>
    <row r="516" spans="2:2" ht="15.75" customHeight="1" x14ac:dyDescent="0.3">
      <c r="B516" s="33"/>
    </row>
    <row r="517" spans="2:2" ht="15.75" customHeight="1" x14ac:dyDescent="0.3">
      <c r="B517" s="33"/>
    </row>
    <row r="518" spans="2:2" ht="15.75" customHeight="1" x14ac:dyDescent="0.3">
      <c r="B518" s="33"/>
    </row>
    <row r="519" spans="2:2" ht="15.75" customHeight="1" x14ac:dyDescent="0.3">
      <c r="B519" s="33"/>
    </row>
    <row r="520" spans="2:2" ht="15.75" customHeight="1" x14ac:dyDescent="0.3">
      <c r="B520" s="33"/>
    </row>
    <row r="521" spans="2:2" ht="15.75" customHeight="1" x14ac:dyDescent="0.3">
      <c r="B521" s="33"/>
    </row>
    <row r="522" spans="2:2" ht="15.75" customHeight="1" x14ac:dyDescent="0.3">
      <c r="B522" s="33"/>
    </row>
    <row r="523" spans="2:2" ht="15.75" customHeight="1" x14ac:dyDescent="0.3">
      <c r="B523" s="33"/>
    </row>
    <row r="524" spans="2:2" ht="15.75" customHeight="1" x14ac:dyDescent="0.3">
      <c r="B524" s="33"/>
    </row>
    <row r="525" spans="2:2" ht="15.75" customHeight="1" x14ac:dyDescent="0.3">
      <c r="B525" s="33"/>
    </row>
    <row r="526" spans="2:2" ht="15.75" customHeight="1" x14ac:dyDescent="0.3">
      <c r="B526" s="33"/>
    </row>
    <row r="527" spans="2:2" ht="15.75" customHeight="1" x14ac:dyDescent="0.3">
      <c r="B527" s="33"/>
    </row>
    <row r="528" spans="2:2" ht="15.75" customHeight="1" x14ac:dyDescent="0.3">
      <c r="B528" s="33"/>
    </row>
    <row r="529" spans="2:2" ht="15.75" customHeight="1" x14ac:dyDescent="0.3">
      <c r="B529" s="33"/>
    </row>
    <row r="530" spans="2:2" ht="15.75" customHeight="1" x14ac:dyDescent="0.3">
      <c r="B530" s="33"/>
    </row>
    <row r="531" spans="2:2" ht="15.75" customHeight="1" x14ac:dyDescent="0.3">
      <c r="B531" s="33"/>
    </row>
    <row r="532" spans="2:2" ht="15.75" customHeight="1" x14ac:dyDescent="0.3">
      <c r="B532" s="33"/>
    </row>
    <row r="533" spans="2:2" ht="15.75" customHeight="1" x14ac:dyDescent="0.3">
      <c r="B533" s="33"/>
    </row>
    <row r="534" spans="2:2" ht="15.75" customHeight="1" x14ac:dyDescent="0.3">
      <c r="B534" s="33"/>
    </row>
    <row r="535" spans="2:2" ht="15.75" customHeight="1" x14ac:dyDescent="0.3">
      <c r="B535" s="33"/>
    </row>
    <row r="536" spans="2:2" ht="15.75" customHeight="1" x14ac:dyDescent="0.3">
      <c r="B536" s="33"/>
    </row>
    <row r="537" spans="2:2" ht="15.75" customHeight="1" x14ac:dyDescent="0.3">
      <c r="B537" s="33"/>
    </row>
    <row r="538" spans="2:2" ht="15.75" customHeight="1" x14ac:dyDescent="0.3">
      <c r="B538" s="33"/>
    </row>
    <row r="539" spans="2:2" ht="15.75" customHeight="1" x14ac:dyDescent="0.3">
      <c r="B539" s="33"/>
    </row>
    <row r="540" spans="2:2" ht="15.75" customHeight="1" x14ac:dyDescent="0.3">
      <c r="B540" s="33"/>
    </row>
    <row r="541" spans="2:2" ht="15.75" customHeight="1" x14ac:dyDescent="0.3">
      <c r="B541" s="33"/>
    </row>
    <row r="542" spans="2:2" ht="15.75" customHeight="1" x14ac:dyDescent="0.3">
      <c r="B542" s="33"/>
    </row>
    <row r="543" spans="2:2" ht="15.75" customHeight="1" x14ac:dyDescent="0.3">
      <c r="B543" s="33"/>
    </row>
    <row r="544" spans="2:2" ht="15.75" customHeight="1" x14ac:dyDescent="0.3">
      <c r="B544" s="33"/>
    </row>
    <row r="545" spans="2:2" ht="15.75" customHeight="1" x14ac:dyDescent="0.3">
      <c r="B545" s="33"/>
    </row>
    <row r="546" spans="2:2" ht="15.75" customHeight="1" x14ac:dyDescent="0.3">
      <c r="B546" s="33"/>
    </row>
    <row r="547" spans="2:2" ht="15.75" customHeight="1" x14ac:dyDescent="0.3">
      <c r="B547" s="33"/>
    </row>
    <row r="548" spans="2:2" ht="15.75" customHeight="1" x14ac:dyDescent="0.3">
      <c r="B548" s="33"/>
    </row>
    <row r="549" spans="2:2" ht="15.75" customHeight="1" x14ac:dyDescent="0.3">
      <c r="B549" s="33"/>
    </row>
    <row r="550" spans="2:2" ht="15.75" customHeight="1" x14ac:dyDescent="0.3">
      <c r="B550" s="33"/>
    </row>
    <row r="551" spans="2:2" ht="15.75" customHeight="1" x14ac:dyDescent="0.3">
      <c r="B551" s="33"/>
    </row>
    <row r="552" spans="2:2" ht="15.75" customHeight="1" x14ac:dyDescent="0.3">
      <c r="B552" s="33"/>
    </row>
    <row r="553" spans="2:2" ht="15.75" customHeight="1" x14ac:dyDescent="0.3">
      <c r="B553" s="33"/>
    </row>
    <row r="554" spans="2:2" ht="15.75" customHeight="1" x14ac:dyDescent="0.3">
      <c r="B554" s="33"/>
    </row>
    <row r="555" spans="2:2" ht="15.75" customHeight="1" x14ac:dyDescent="0.3">
      <c r="B555" s="33"/>
    </row>
    <row r="556" spans="2:2" ht="15.75" customHeight="1" x14ac:dyDescent="0.3">
      <c r="B556" s="33"/>
    </row>
    <row r="557" spans="2:2" ht="15.75" customHeight="1" x14ac:dyDescent="0.3">
      <c r="B557" s="33"/>
    </row>
    <row r="558" spans="2:2" ht="15.75" customHeight="1" x14ac:dyDescent="0.3">
      <c r="B558" s="33"/>
    </row>
    <row r="559" spans="2:2" ht="15.75" customHeight="1" x14ac:dyDescent="0.3">
      <c r="B559" s="33"/>
    </row>
    <row r="560" spans="2:2" ht="15.75" customHeight="1" x14ac:dyDescent="0.3">
      <c r="B560" s="33"/>
    </row>
    <row r="561" spans="2:2" ht="15.75" customHeight="1" x14ac:dyDescent="0.3">
      <c r="B561" s="33"/>
    </row>
    <row r="562" spans="2:2" ht="15.75" customHeight="1" x14ac:dyDescent="0.3">
      <c r="B562" s="33"/>
    </row>
    <row r="563" spans="2:2" ht="15.75" customHeight="1" x14ac:dyDescent="0.3">
      <c r="B563" s="33"/>
    </row>
    <row r="564" spans="2:2" ht="15.75" customHeight="1" x14ac:dyDescent="0.3">
      <c r="B564" s="33"/>
    </row>
    <row r="565" spans="2:2" ht="15.75" customHeight="1" x14ac:dyDescent="0.3">
      <c r="B565" s="33"/>
    </row>
    <row r="566" spans="2:2" ht="15.75" customHeight="1" x14ac:dyDescent="0.3">
      <c r="B566" s="33"/>
    </row>
    <row r="567" spans="2:2" ht="15.75" customHeight="1" x14ac:dyDescent="0.3">
      <c r="B567" s="33"/>
    </row>
    <row r="568" spans="2:2" ht="15.75" customHeight="1" x14ac:dyDescent="0.3">
      <c r="B568" s="33"/>
    </row>
    <row r="569" spans="2:2" ht="15.75" customHeight="1" x14ac:dyDescent="0.3">
      <c r="B569" s="33"/>
    </row>
    <row r="570" spans="2:2" ht="15.75" customHeight="1" x14ac:dyDescent="0.3">
      <c r="B570" s="33"/>
    </row>
    <row r="571" spans="2:2" ht="15.75" customHeight="1" x14ac:dyDescent="0.3">
      <c r="B571" s="33"/>
    </row>
    <row r="572" spans="2:2" ht="15.75" customHeight="1" x14ac:dyDescent="0.3">
      <c r="B572" s="33"/>
    </row>
    <row r="573" spans="2:2" ht="15.75" customHeight="1" x14ac:dyDescent="0.3">
      <c r="B573" s="33"/>
    </row>
    <row r="574" spans="2:2" ht="15.75" customHeight="1" x14ac:dyDescent="0.3">
      <c r="B574" s="33"/>
    </row>
    <row r="575" spans="2:2" ht="15.75" customHeight="1" x14ac:dyDescent="0.3">
      <c r="B575" s="33"/>
    </row>
    <row r="576" spans="2:2" ht="15.75" customHeight="1" x14ac:dyDescent="0.3">
      <c r="B576" s="33"/>
    </row>
    <row r="577" spans="2:2" ht="15.75" customHeight="1" x14ac:dyDescent="0.3">
      <c r="B577" s="33"/>
    </row>
    <row r="578" spans="2:2" ht="15.75" customHeight="1" x14ac:dyDescent="0.3">
      <c r="B578" s="33"/>
    </row>
    <row r="579" spans="2:2" ht="15.75" customHeight="1" x14ac:dyDescent="0.3">
      <c r="B579" s="33"/>
    </row>
    <row r="580" spans="2:2" ht="15.75" customHeight="1" x14ac:dyDescent="0.3">
      <c r="B580" s="33"/>
    </row>
    <row r="581" spans="2:2" ht="15.75" customHeight="1" x14ac:dyDescent="0.3">
      <c r="B581" s="33"/>
    </row>
    <row r="582" spans="2:2" ht="15.75" customHeight="1" x14ac:dyDescent="0.3">
      <c r="B582" s="33"/>
    </row>
    <row r="583" spans="2:2" ht="15.75" customHeight="1" x14ac:dyDescent="0.3">
      <c r="B583" s="33"/>
    </row>
    <row r="584" spans="2:2" ht="15.75" customHeight="1" x14ac:dyDescent="0.3">
      <c r="B584" s="33"/>
    </row>
    <row r="585" spans="2:2" ht="15.75" customHeight="1" x14ac:dyDescent="0.3">
      <c r="B585" s="33"/>
    </row>
    <row r="586" spans="2:2" ht="15.75" customHeight="1" x14ac:dyDescent="0.3">
      <c r="B586" s="33"/>
    </row>
    <row r="587" spans="2:2" ht="15.75" customHeight="1" x14ac:dyDescent="0.3">
      <c r="B587" s="33"/>
    </row>
    <row r="588" spans="2:2" ht="15.75" customHeight="1" x14ac:dyDescent="0.3">
      <c r="B588" s="33"/>
    </row>
    <row r="589" spans="2:2" ht="15.75" customHeight="1" x14ac:dyDescent="0.3">
      <c r="B589" s="33"/>
    </row>
    <row r="590" spans="2:2" ht="15.75" customHeight="1" x14ac:dyDescent="0.3">
      <c r="B590" s="33"/>
    </row>
    <row r="591" spans="2:2" ht="15.75" customHeight="1" x14ac:dyDescent="0.3">
      <c r="B591" s="33"/>
    </row>
    <row r="592" spans="2:2" ht="15.75" customHeight="1" x14ac:dyDescent="0.3">
      <c r="B592" s="33"/>
    </row>
    <row r="593" spans="2:2" ht="15.75" customHeight="1" x14ac:dyDescent="0.3">
      <c r="B593" s="33"/>
    </row>
    <row r="594" spans="2:2" ht="15.75" customHeight="1" x14ac:dyDescent="0.3">
      <c r="B594" s="33"/>
    </row>
    <row r="595" spans="2:2" ht="15.75" customHeight="1" x14ac:dyDescent="0.3">
      <c r="B595" s="33"/>
    </row>
    <row r="596" spans="2:2" ht="15.75" customHeight="1" x14ac:dyDescent="0.3">
      <c r="B596" s="33"/>
    </row>
    <row r="597" spans="2:2" ht="15.75" customHeight="1" x14ac:dyDescent="0.3">
      <c r="B597" s="33"/>
    </row>
    <row r="598" spans="2:2" ht="15.75" customHeight="1" x14ac:dyDescent="0.3">
      <c r="B598" s="33"/>
    </row>
    <row r="599" spans="2:2" ht="15.75" customHeight="1" x14ac:dyDescent="0.3">
      <c r="B599" s="33"/>
    </row>
    <row r="600" spans="2:2" ht="15.75" customHeight="1" x14ac:dyDescent="0.3">
      <c r="B600" s="33"/>
    </row>
    <row r="601" spans="2:2" ht="15.75" customHeight="1" x14ac:dyDescent="0.3">
      <c r="B601" s="33"/>
    </row>
    <row r="602" spans="2:2" ht="15.75" customHeight="1" x14ac:dyDescent="0.3">
      <c r="B602" s="33"/>
    </row>
    <row r="603" spans="2:2" ht="15.75" customHeight="1" x14ac:dyDescent="0.3">
      <c r="B603" s="33"/>
    </row>
    <row r="604" spans="2:2" ht="15.75" customHeight="1" x14ac:dyDescent="0.3">
      <c r="B604" s="33"/>
    </row>
    <row r="605" spans="2:2" ht="15.75" customHeight="1" x14ac:dyDescent="0.3">
      <c r="B605" s="33"/>
    </row>
    <row r="606" spans="2:2" ht="15.75" customHeight="1" x14ac:dyDescent="0.3">
      <c r="B606" s="33"/>
    </row>
    <row r="607" spans="2:2" ht="15.75" customHeight="1" x14ac:dyDescent="0.3">
      <c r="B607" s="33"/>
    </row>
    <row r="608" spans="2:2" ht="15.75" customHeight="1" x14ac:dyDescent="0.3">
      <c r="B608" s="33"/>
    </row>
    <row r="609" spans="2:2" ht="15.75" customHeight="1" x14ac:dyDescent="0.3">
      <c r="B609" s="33"/>
    </row>
    <row r="610" spans="2:2" ht="15.75" customHeight="1" x14ac:dyDescent="0.3">
      <c r="B610" s="33"/>
    </row>
    <row r="611" spans="2:2" ht="15.75" customHeight="1" x14ac:dyDescent="0.3">
      <c r="B611" s="33"/>
    </row>
    <row r="612" spans="2:2" ht="15.75" customHeight="1" x14ac:dyDescent="0.3">
      <c r="B612" s="33"/>
    </row>
    <row r="613" spans="2:2" ht="15.75" customHeight="1" x14ac:dyDescent="0.3">
      <c r="B613" s="33"/>
    </row>
    <row r="614" spans="2:2" ht="15.75" customHeight="1" x14ac:dyDescent="0.3">
      <c r="B614" s="33"/>
    </row>
    <row r="615" spans="2:2" ht="15.75" customHeight="1" x14ac:dyDescent="0.3">
      <c r="B615" s="33"/>
    </row>
    <row r="616" spans="2:2" ht="15.75" customHeight="1" x14ac:dyDescent="0.3">
      <c r="B616" s="33"/>
    </row>
    <row r="617" spans="2:2" ht="15.75" customHeight="1" x14ac:dyDescent="0.3">
      <c r="B617" s="33"/>
    </row>
    <row r="618" spans="2:2" ht="15.75" customHeight="1" x14ac:dyDescent="0.3">
      <c r="B618" s="33"/>
    </row>
    <row r="619" spans="2:2" ht="15.75" customHeight="1" x14ac:dyDescent="0.3">
      <c r="B619" s="33"/>
    </row>
    <row r="620" spans="2:2" ht="15.75" customHeight="1" x14ac:dyDescent="0.3">
      <c r="B620" s="33"/>
    </row>
    <row r="621" spans="2:2" ht="15.75" customHeight="1" x14ac:dyDescent="0.3">
      <c r="B621" s="33"/>
    </row>
    <row r="622" spans="2:2" ht="15.75" customHeight="1" x14ac:dyDescent="0.3">
      <c r="B622" s="33"/>
    </row>
    <row r="623" spans="2:2" ht="15.75" customHeight="1" x14ac:dyDescent="0.3">
      <c r="B623" s="33"/>
    </row>
    <row r="624" spans="2:2" ht="15.75" customHeight="1" x14ac:dyDescent="0.3">
      <c r="B624" s="33"/>
    </row>
    <row r="625" spans="2:2" ht="15.75" customHeight="1" x14ac:dyDescent="0.3">
      <c r="B625" s="33"/>
    </row>
    <row r="626" spans="2:2" ht="15.75" customHeight="1" x14ac:dyDescent="0.3">
      <c r="B626" s="33"/>
    </row>
    <row r="627" spans="2:2" ht="15.75" customHeight="1" x14ac:dyDescent="0.3">
      <c r="B627" s="33"/>
    </row>
    <row r="628" spans="2:2" ht="15.75" customHeight="1" x14ac:dyDescent="0.3">
      <c r="B628" s="33"/>
    </row>
    <row r="629" spans="2:2" ht="15.75" customHeight="1" x14ac:dyDescent="0.3">
      <c r="B629" s="33"/>
    </row>
    <row r="630" spans="2:2" ht="15.75" customHeight="1" x14ac:dyDescent="0.3">
      <c r="B630" s="33"/>
    </row>
    <row r="631" spans="2:2" ht="15.75" customHeight="1" x14ac:dyDescent="0.3">
      <c r="B631" s="33"/>
    </row>
    <row r="632" spans="2:2" ht="15.75" customHeight="1" x14ac:dyDescent="0.3">
      <c r="B632" s="33"/>
    </row>
    <row r="633" spans="2:2" ht="15.75" customHeight="1" x14ac:dyDescent="0.3">
      <c r="B633" s="33"/>
    </row>
    <row r="634" spans="2:2" ht="15.75" customHeight="1" x14ac:dyDescent="0.3">
      <c r="B634" s="33"/>
    </row>
    <row r="635" spans="2:2" ht="15.75" customHeight="1" x14ac:dyDescent="0.3">
      <c r="B635" s="33"/>
    </row>
    <row r="636" spans="2:2" ht="15.75" customHeight="1" x14ac:dyDescent="0.3">
      <c r="B636" s="33"/>
    </row>
    <row r="637" spans="2:2" ht="15.75" customHeight="1" x14ac:dyDescent="0.3">
      <c r="B637" s="33"/>
    </row>
    <row r="638" spans="2:2" ht="15.75" customHeight="1" x14ac:dyDescent="0.3">
      <c r="B638" s="33"/>
    </row>
    <row r="639" spans="2:2" ht="15.75" customHeight="1" x14ac:dyDescent="0.3">
      <c r="B639" s="33"/>
    </row>
    <row r="640" spans="2:2" ht="15.75" customHeight="1" x14ac:dyDescent="0.3">
      <c r="B640" s="33"/>
    </row>
    <row r="641" spans="2:2" ht="15.75" customHeight="1" x14ac:dyDescent="0.3">
      <c r="B641" s="33"/>
    </row>
    <row r="642" spans="2:2" ht="15.75" customHeight="1" x14ac:dyDescent="0.3">
      <c r="B642" s="33"/>
    </row>
    <row r="643" spans="2:2" ht="15.75" customHeight="1" x14ac:dyDescent="0.3">
      <c r="B643" s="33"/>
    </row>
    <row r="644" spans="2:2" ht="15.75" customHeight="1" x14ac:dyDescent="0.3">
      <c r="B644" s="33"/>
    </row>
    <row r="645" spans="2:2" ht="15.75" customHeight="1" x14ac:dyDescent="0.3">
      <c r="B645" s="33"/>
    </row>
    <row r="646" spans="2:2" ht="15.75" customHeight="1" x14ac:dyDescent="0.3">
      <c r="B646" s="33"/>
    </row>
    <row r="647" spans="2:2" ht="15.75" customHeight="1" x14ac:dyDescent="0.3">
      <c r="B647" s="33"/>
    </row>
    <row r="648" spans="2:2" ht="15.75" customHeight="1" x14ac:dyDescent="0.3">
      <c r="B648" s="33"/>
    </row>
    <row r="649" spans="2:2" ht="15.75" customHeight="1" x14ac:dyDescent="0.3">
      <c r="B649" s="33"/>
    </row>
    <row r="650" spans="2:2" ht="15.75" customHeight="1" x14ac:dyDescent="0.3">
      <c r="B650" s="33"/>
    </row>
    <row r="651" spans="2:2" ht="15.75" customHeight="1" x14ac:dyDescent="0.3">
      <c r="B651" s="33"/>
    </row>
    <row r="652" spans="2:2" ht="15.75" customHeight="1" x14ac:dyDescent="0.3">
      <c r="B652" s="33"/>
    </row>
    <row r="653" spans="2:2" ht="15.75" customHeight="1" x14ac:dyDescent="0.3">
      <c r="B653" s="33"/>
    </row>
    <row r="654" spans="2:2" ht="15.75" customHeight="1" x14ac:dyDescent="0.3">
      <c r="B654" s="33"/>
    </row>
    <row r="655" spans="2:2" ht="15.75" customHeight="1" x14ac:dyDescent="0.3">
      <c r="B655" s="33"/>
    </row>
    <row r="656" spans="2:2" ht="15.75" customHeight="1" x14ac:dyDescent="0.3">
      <c r="B656" s="33"/>
    </row>
    <row r="657" spans="2:2" ht="15.75" customHeight="1" x14ac:dyDescent="0.3">
      <c r="B657" s="33"/>
    </row>
    <row r="658" spans="2:2" ht="15.75" customHeight="1" x14ac:dyDescent="0.3">
      <c r="B658" s="33"/>
    </row>
    <row r="659" spans="2:2" ht="15.75" customHeight="1" x14ac:dyDescent="0.3">
      <c r="B659" s="33"/>
    </row>
    <row r="660" spans="2:2" ht="15.75" customHeight="1" x14ac:dyDescent="0.3">
      <c r="B660" s="33"/>
    </row>
    <row r="661" spans="2:2" ht="15.75" customHeight="1" x14ac:dyDescent="0.3">
      <c r="B661" s="33"/>
    </row>
    <row r="662" spans="2:2" ht="15.75" customHeight="1" x14ac:dyDescent="0.3">
      <c r="B662" s="33"/>
    </row>
    <row r="663" spans="2:2" ht="15.75" customHeight="1" x14ac:dyDescent="0.3">
      <c r="B663" s="33"/>
    </row>
    <row r="664" spans="2:2" ht="15.75" customHeight="1" x14ac:dyDescent="0.3">
      <c r="B664" s="33"/>
    </row>
    <row r="665" spans="2:2" ht="15.75" customHeight="1" x14ac:dyDescent="0.3">
      <c r="B665" s="33"/>
    </row>
    <row r="666" spans="2:2" ht="15.75" customHeight="1" x14ac:dyDescent="0.3">
      <c r="B666" s="33"/>
    </row>
    <row r="667" spans="2:2" ht="15.75" customHeight="1" x14ac:dyDescent="0.3">
      <c r="B667" s="33"/>
    </row>
    <row r="668" spans="2:2" ht="15.75" customHeight="1" x14ac:dyDescent="0.3">
      <c r="B668" s="33"/>
    </row>
    <row r="669" spans="2:2" ht="15.75" customHeight="1" x14ac:dyDescent="0.3">
      <c r="B669" s="33"/>
    </row>
    <row r="670" spans="2:2" ht="15.75" customHeight="1" x14ac:dyDescent="0.3">
      <c r="B670" s="33"/>
    </row>
    <row r="671" spans="2:2" ht="15.75" customHeight="1" x14ac:dyDescent="0.3">
      <c r="B671" s="33"/>
    </row>
    <row r="672" spans="2:2" ht="15.75" customHeight="1" x14ac:dyDescent="0.3">
      <c r="B672" s="33"/>
    </row>
    <row r="673" spans="2:2" ht="15.75" customHeight="1" x14ac:dyDescent="0.3">
      <c r="B673" s="33"/>
    </row>
    <row r="674" spans="2:2" ht="15.75" customHeight="1" x14ac:dyDescent="0.3">
      <c r="B674" s="33"/>
    </row>
    <row r="675" spans="2:2" ht="15.75" customHeight="1" x14ac:dyDescent="0.3">
      <c r="B675" s="33"/>
    </row>
    <row r="676" spans="2:2" ht="15.75" customHeight="1" x14ac:dyDescent="0.3">
      <c r="B676" s="33"/>
    </row>
    <row r="677" spans="2:2" ht="15.75" customHeight="1" x14ac:dyDescent="0.3">
      <c r="B677" s="33"/>
    </row>
    <row r="678" spans="2:2" ht="15.75" customHeight="1" x14ac:dyDescent="0.3">
      <c r="B678" s="33"/>
    </row>
    <row r="679" spans="2:2" ht="15.75" customHeight="1" x14ac:dyDescent="0.3">
      <c r="B679" s="33"/>
    </row>
    <row r="680" spans="2:2" ht="15.75" customHeight="1" x14ac:dyDescent="0.3">
      <c r="B680" s="33"/>
    </row>
    <row r="681" spans="2:2" ht="15.75" customHeight="1" x14ac:dyDescent="0.3">
      <c r="B681" s="33"/>
    </row>
    <row r="682" spans="2:2" ht="15.75" customHeight="1" x14ac:dyDescent="0.3">
      <c r="B682" s="33"/>
    </row>
    <row r="683" spans="2:2" ht="15.75" customHeight="1" x14ac:dyDescent="0.3">
      <c r="B683" s="33"/>
    </row>
    <row r="684" spans="2:2" ht="15.75" customHeight="1" x14ac:dyDescent="0.3">
      <c r="B684" s="33"/>
    </row>
    <row r="685" spans="2:2" ht="15.75" customHeight="1" x14ac:dyDescent="0.3">
      <c r="B685" s="33"/>
    </row>
    <row r="686" spans="2:2" ht="15.75" customHeight="1" x14ac:dyDescent="0.3">
      <c r="B686" s="33"/>
    </row>
    <row r="687" spans="2:2" ht="15.75" customHeight="1" x14ac:dyDescent="0.3">
      <c r="B687" s="33"/>
    </row>
    <row r="688" spans="2:2" ht="15.75" customHeight="1" x14ac:dyDescent="0.3">
      <c r="B688" s="33"/>
    </row>
    <row r="689" spans="2:2" ht="15.75" customHeight="1" x14ac:dyDescent="0.3">
      <c r="B689" s="33"/>
    </row>
    <row r="690" spans="2:2" ht="15.75" customHeight="1" x14ac:dyDescent="0.3">
      <c r="B690" s="33"/>
    </row>
    <row r="691" spans="2:2" ht="15.75" customHeight="1" x14ac:dyDescent="0.3">
      <c r="B691" s="33"/>
    </row>
    <row r="692" spans="2:2" ht="15.75" customHeight="1" x14ac:dyDescent="0.3">
      <c r="B692" s="33"/>
    </row>
    <row r="693" spans="2:2" ht="15.75" customHeight="1" x14ac:dyDescent="0.3">
      <c r="B693" s="33"/>
    </row>
    <row r="694" spans="2:2" ht="15.75" customHeight="1" x14ac:dyDescent="0.3">
      <c r="B694" s="33"/>
    </row>
    <row r="695" spans="2:2" ht="15.75" customHeight="1" x14ac:dyDescent="0.3">
      <c r="B695" s="33"/>
    </row>
    <row r="696" spans="2:2" ht="15.75" customHeight="1" x14ac:dyDescent="0.3">
      <c r="B696" s="33"/>
    </row>
    <row r="697" spans="2:2" ht="15.75" customHeight="1" x14ac:dyDescent="0.3">
      <c r="B697" s="33"/>
    </row>
    <row r="698" spans="2:2" ht="15.75" customHeight="1" x14ac:dyDescent="0.3">
      <c r="B698" s="33"/>
    </row>
    <row r="699" spans="2:2" ht="15.75" customHeight="1" x14ac:dyDescent="0.3">
      <c r="B699" s="33"/>
    </row>
    <row r="700" spans="2:2" ht="15.75" customHeight="1" x14ac:dyDescent="0.3">
      <c r="B700" s="33"/>
    </row>
    <row r="701" spans="2:2" ht="15.75" customHeight="1" x14ac:dyDescent="0.3">
      <c r="B701" s="33"/>
    </row>
    <row r="702" spans="2:2" ht="15.75" customHeight="1" x14ac:dyDescent="0.3">
      <c r="B702" s="33"/>
    </row>
    <row r="703" spans="2:2" ht="15.75" customHeight="1" x14ac:dyDescent="0.3">
      <c r="B703" s="33"/>
    </row>
    <row r="704" spans="2:2" ht="15.75" customHeight="1" x14ac:dyDescent="0.3">
      <c r="B704" s="33"/>
    </row>
    <row r="705" spans="2:2" ht="15.75" customHeight="1" x14ac:dyDescent="0.3">
      <c r="B705" s="33"/>
    </row>
    <row r="706" spans="2:2" ht="15.75" customHeight="1" x14ac:dyDescent="0.3">
      <c r="B706" s="33"/>
    </row>
    <row r="707" spans="2:2" ht="15.75" customHeight="1" x14ac:dyDescent="0.3">
      <c r="B707" s="33"/>
    </row>
    <row r="708" spans="2:2" ht="15.75" customHeight="1" x14ac:dyDescent="0.3">
      <c r="B708" s="33"/>
    </row>
    <row r="709" spans="2:2" ht="15.75" customHeight="1" x14ac:dyDescent="0.3">
      <c r="B709" s="33"/>
    </row>
    <row r="710" spans="2:2" ht="15.75" customHeight="1" x14ac:dyDescent="0.3">
      <c r="B710" s="33"/>
    </row>
    <row r="711" spans="2:2" ht="15.75" customHeight="1" x14ac:dyDescent="0.3">
      <c r="B711" s="33"/>
    </row>
    <row r="712" spans="2:2" ht="15.75" customHeight="1" x14ac:dyDescent="0.3">
      <c r="B712" s="33"/>
    </row>
    <row r="713" spans="2:2" ht="15.75" customHeight="1" x14ac:dyDescent="0.3">
      <c r="B713" s="33"/>
    </row>
    <row r="714" spans="2:2" ht="15.75" customHeight="1" x14ac:dyDescent="0.3">
      <c r="B714" s="33"/>
    </row>
    <row r="715" spans="2:2" ht="15.75" customHeight="1" x14ac:dyDescent="0.3">
      <c r="B715" s="33"/>
    </row>
    <row r="716" spans="2:2" ht="15.75" customHeight="1" x14ac:dyDescent="0.3">
      <c r="B716" s="33"/>
    </row>
    <row r="717" spans="2:2" ht="15.75" customHeight="1" x14ac:dyDescent="0.3">
      <c r="B717" s="33"/>
    </row>
    <row r="718" spans="2:2" ht="15.75" customHeight="1" x14ac:dyDescent="0.3">
      <c r="B718" s="33"/>
    </row>
    <row r="719" spans="2:2" ht="15.75" customHeight="1" x14ac:dyDescent="0.3">
      <c r="B719" s="33"/>
    </row>
    <row r="720" spans="2:2" ht="15.75" customHeight="1" x14ac:dyDescent="0.3">
      <c r="B720" s="33"/>
    </row>
    <row r="721" spans="2:2" ht="15.75" customHeight="1" x14ac:dyDescent="0.3">
      <c r="B721" s="33"/>
    </row>
    <row r="722" spans="2:2" ht="15.75" customHeight="1" x14ac:dyDescent="0.3">
      <c r="B722" s="33"/>
    </row>
    <row r="723" spans="2:2" ht="15.75" customHeight="1" x14ac:dyDescent="0.3">
      <c r="B723" s="33"/>
    </row>
    <row r="724" spans="2:2" ht="15.75" customHeight="1" x14ac:dyDescent="0.3">
      <c r="B724" s="33"/>
    </row>
    <row r="725" spans="2:2" ht="15.75" customHeight="1" x14ac:dyDescent="0.3">
      <c r="B725" s="33"/>
    </row>
    <row r="726" spans="2:2" ht="15.75" customHeight="1" x14ac:dyDescent="0.3">
      <c r="B726" s="33"/>
    </row>
    <row r="727" spans="2:2" ht="15.75" customHeight="1" x14ac:dyDescent="0.3">
      <c r="B727" s="33"/>
    </row>
    <row r="728" spans="2:2" ht="15.75" customHeight="1" x14ac:dyDescent="0.3">
      <c r="B728" s="33"/>
    </row>
    <row r="729" spans="2:2" ht="15.75" customHeight="1" x14ac:dyDescent="0.3">
      <c r="B729" s="33"/>
    </row>
    <row r="730" spans="2:2" ht="15.75" customHeight="1" x14ac:dyDescent="0.3">
      <c r="B730" s="33"/>
    </row>
    <row r="731" spans="2:2" ht="15.75" customHeight="1" x14ac:dyDescent="0.3">
      <c r="B731" s="33"/>
    </row>
    <row r="732" spans="2:2" ht="15.75" customHeight="1" x14ac:dyDescent="0.3">
      <c r="B732" s="33"/>
    </row>
    <row r="733" spans="2:2" ht="15.75" customHeight="1" x14ac:dyDescent="0.3">
      <c r="B733" s="33"/>
    </row>
    <row r="734" spans="2:2" ht="15.75" customHeight="1" x14ac:dyDescent="0.3">
      <c r="B734" s="33"/>
    </row>
    <row r="735" spans="2:2" ht="15.75" customHeight="1" x14ac:dyDescent="0.3">
      <c r="B735" s="33"/>
    </row>
    <row r="736" spans="2:2" ht="15.75" customHeight="1" x14ac:dyDescent="0.3">
      <c r="B736" s="33"/>
    </row>
    <row r="737" spans="2:2" ht="15.75" customHeight="1" x14ac:dyDescent="0.3">
      <c r="B737" s="33"/>
    </row>
    <row r="738" spans="2:2" ht="15.75" customHeight="1" x14ac:dyDescent="0.3">
      <c r="B738" s="33"/>
    </row>
    <row r="739" spans="2:2" ht="15.75" customHeight="1" x14ac:dyDescent="0.3">
      <c r="B739" s="33"/>
    </row>
    <row r="740" spans="2:2" ht="15.75" customHeight="1" x14ac:dyDescent="0.3">
      <c r="B740" s="33"/>
    </row>
    <row r="741" spans="2:2" ht="15.75" customHeight="1" x14ac:dyDescent="0.3">
      <c r="B741" s="33"/>
    </row>
    <row r="742" spans="2:2" ht="15.75" customHeight="1" x14ac:dyDescent="0.3">
      <c r="B742" s="33"/>
    </row>
    <row r="743" spans="2:2" ht="15.75" customHeight="1" x14ac:dyDescent="0.3">
      <c r="B743" s="33"/>
    </row>
    <row r="744" spans="2:2" ht="15.75" customHeight="1" x14ac:dyDescent="0.3">
      <c r="B744" s="33"/>
    </row>
    <row r="745" spans="2:2" ht="15.75" customHeight="1" x14ac:dyDescent="0.3">
      <c r="B745" s="33"/>
    </row>
    <row r="746" spans="2:2" ht="15.75" customHeight="1" x14ac:dyDescent="0.3">
      <c r="B746" s="33"/>
    </row>
    <row r="747" spans="2:2" ht="15.75" customHeight="1" x14ac:dyDescent="0.3">
      <c r="B747" s="33"/>
    </row>
    <row r="748" spans="2:2" ht="15.75" customHeight="1" x14ac:dyDescent="0.3">
      <c r="B748" s="33"/>
    </row>
    <row r="749" spans="2:2" ht="15.75" customHeight="1" x14ac:dyDescent="0.3">
      <c r="B749" s="33"/>
    </row>
    <row r="750" spans="2:2" ht="15.75" customHeight="1" x14ac:dyDescent="0.3">
      <c r="B750" s="33"/>
    </row>
    <row r="751" spans="2:2" ht="15.75" customHeight="1" x14ac:dyDescent="0.3">
      <c r="B751" s="33"/>
    </row>
    <row r="752" spans="2:2" ht="15.75" customHeight="1" x14ac:dyDescent="0.3">
      <c r="B752" s="33"/>
    </row>
    <row r="753" spans="2:2" ht="15.75" customHeight="1" x14ac:dyDescent="0.3">
      <c r="B753" s="33"/>
    </row>
    <row r="754" spans="2:2" ht="15.75" customHeight="1" x14ac:dyDescent="0.3">
      <c r="B754" s="33"/>
    </row>
    <row r="755" spans="2:2" ht="15.75" customHeight="1" x14ac:dyDescent="0.3">
      <c r="B755" s="33"/>
    </row>
    <row r="756" spans="2:2" ht="15.75" customHeight="1" x14ac:dyDescent="0.3">
      <c r="B756" s="33"/>
    </row>
    <row r="757" spans="2:2" ht="15.75" customHeight="1" x14ac:dyDescent="0.3">
      <c r="B757" s="33"/>
    </row>
    <row r="758" spans="2:2" ht="15.75" customHeight="1" x14ac:dyDescent="0.3">
      <c r="B758" s="33"/>
    </row>
    <row r="759" spans="2:2" ht="15.75" customHeight="1" x14ac:dyDescent="0.3">
      <c r="B759" s="33"/>
    </row>
    <row r="760" spans="2:2" ht="15.75" customHeight="1" x14ac:dyDescent="0.3">
      <c r="B760" s="33"/>
    </row>
    <row r="761" spans="2:2" ht="15.75" customHeight="1" x14ac:dyDescent="0.3">
      <c r="B761" s="33"/>
    </row>
    <row r="762" spans="2:2" ht="15.75" customHeight="1" x14ac:dyDescent="0.3">
      <c r="B762" s="33"/>
    </row>
    <row r="763" spans="2:2" ht="15.75" customHeight="1" x14ac:dyDescent="0.3">
      <c r="B763" s="33"/>
    </row>
    <row r="764" spans="2:2" ht="15.75" customHeight="1" x14ac:dyDescent="0.3">
      <c r="B764" s="33"/>
    </row>
    <row r="765" spans="2:2" ht="15.75" customHeight="1" x14ac:dyDescent="0.3">
      <c r="B765" s="33"/>
    </row>
    <row r="766" spans="2:2" ht="15.75" customHeight="1" x14ac:dyDescent="0.3">
      <c r="B766" s="33"/>
    </row>
    <row r="767" spans="2:2" ht="15.75" customHeight="1" x14ac:dyDescent="0.3">
      <c r="B767" s="33"/>
    </row>
    <row r="768" spans="2:2" ht="15.75" customHeight="1" x14ac:dyDescent="0.3">
      <c r="B768" s="33"/>
    </row>
    <row r="769" spans="2:2" ht="15.75" customHeight="1" x14ac:dyDescent="0.3">
      <c r="B769" s="33"/>
    </row>
    <row r="770" spans="2:2" ht="15.75" customHeight="1" x14ac:dyDescent="0.3">
      <c r="B770" s="33"/>
    </row>
    <row r="771" spans="2:2" ht="15.75" customHeight="1" x14ac:dyDescent="0.3">
      <c r="B771" s="33"/>
    </row>
    <row r="772" spans="2:2" ht="15.75" customHeight="1" x14ac:dyDescent="0.3">
      <c r="B772" s="33"/>
    </row>
    <row r="773" spans="2:2" ht="15.75" customHeight="1" x14ac:dyDescent="0.3">
      <c r="B773" s="33"/>
    </row>
    <row r="774" spans="2:2" ht="15.75" customHeight="1" x14ac:dyDescent="0.3">
      <c r="B774" s="33"/>
    </row>
    <row r="775" spans="2:2" ht="15.75" customHeight="1" x14ac:dyDescent="0.3">
      <c r="B775" s="33"/>
    </row>
    <row r="776" spans="2:2" ht="15.75" customHeight="1" x14ac:dyDescent="0.3">
      <c r="B776" s="33"/>
    </row>
    <row r="777" spans="2:2" ht="15.75" customHeight="1" x14ac:dyDescent="0.3">
      <c r="B777" s="33"/>
    </row>
    <row r="778" spans="2:2" ht="15.75" customHeight="1" x14ac:dyDescent="0.3">
      <c r="B778" s="33"/>
    </row>
    <row r="779" spans="2:2" ht="15.75" customHeight="1" x14ac:dyDescent="0.3">
      <c r="B779" s="33"/>
    </row>
    <row r="780" spans="2:2" ht="15.75" customHeight="1" x14ac:dyDescent="0.3">
      <c r="B780" s="33"/>
    </row>
    <row r="781" spans="2:2" ht="15.75" customHeight="1" x14ac:dyDescent="0.3">
      <c r="B781" s="33"/>
    </row>
    <row r="782" spans="2:2" ht="15.75" customHeight="1" x14ac:dyDescent="0.3">
      <c r="B782" s="33"/>
    </row>
    <row r="783" spans="2:2" ht="15.75" customHeight="1" x14ac:dyDescent="0.3">
      <c r="B783" s="33"/>
    </row>
    <row r="784" spans="2:2" ht="15.75" customHeight="1" x14ac:dyDescent="0.3">
      <c r="B784" s="33"/>
    </row>
    <row r="785" spans="2:2" ht="15.75" customHeight="1" x14ac:dyDescent="0.3">
      <c r="B785" s="33"/>
    </row>
    <row r="786" spans="2:2" ht="15.75" customHeight="1" x14ac:dyDescent="0.3">
      <c r="B786" s="33"/>
    </row>
    <row r="787" spans="2:2" ht="15.75" customHeight="1" x14ac:dyDescent="0.3">
      <c r="B787" s="33"/>
    </row>
    <row r="788" spans="2:2" ht="15.75" customHeight="1" x14ac:dyDescent="0.3">
      <c r="B788" s="33"/>
    </row>
    <row r="789" spans="2:2" ht="15.75" customHeight="1" x14ac:dyDescent="0.3">
      <c r="B789" s="33"/>
    </row>
    <row r="790" spans="2:2" ht="15.75" customHeight="1" x14ac:dyDescent="0.3">
      <c r="B790" s="33"/>
    </row>
    <row r="791" spans="2:2" ht="15.75" customHeight="1" x14ac:dyDescent="0.3">
      <c r="B791" s="33"/>
    </row>
    <row r="792" spans="2:2" ht="15.75" customHeight="1" x14ac:dyDescent="0.3">
      <c r="B792" s="33"/>
    </row>
    <row r="793" spans="2:2" ht="15.75" customHeight="1" x14ac:dyDescent="0.3">
      <c r="B793" s="33"/>
    </row>
    <row r="794" spans="2:2" ht="15.75" customHeight="1" x14ac:dyDescent="0.3">
      <c r="B794" s="33"/>
    </row>
    <row r="795" spans="2:2" ht="15.75" customHeight="1" x14ac:dyDescent="0.3">
      <c r="B795" s="33"/>
    </row>
    <row r="796" spans="2:2" ht="15.75" customHeight="1" x14ac:dyDescent="0.3">
      <c r="B796" s="33"/>
    </row>
    <row r="797" spans="2:2" ht="15.75" customHeight="1" x14ac:dyDescent="0.3">
      <c r="B797" s="33"/>
    </row>
    <row r="798" spans="2:2" ht="15.75" customHeight="1" x14ac:dyDescent="0.3">
      <c r="B798" s="33"/>
    </row>
    <row r="799" spans="2:2" ht="15.75" customHeight="1" x14ac:dyDescent="0.3">
      <c r="B799" s="33"/>
    </row>
    <row r="800" spans="2:2" ht="15.75" customHeight="1" x14ac:dyDescent="0.3">
      <c r="B800" s="33"/>
    </row>
    <row r="801" spans="2:2" ht="15.75" customHeight="1" x14ac:dyDescent="0.3">
      <c r="B801" s="33"/>
    </row>
    <row r="802" spans="2:2" ht="15.75" customHeight="1" x14ac:dyDescent="0.3">
      <c r="B802" s="33"/>
    </row>
    <row r="803" spans="2:2" ht="15.75" customHeight="1" x14ac:dyDescent="0.3">
      <c r="B803" s="33"/>
    </row>
    <row r="804" spans="2:2" ht="15.75" customHeight="1" x14ac:dyDescent="0.3">
      <c r="B804" s="33"/>
    </row>
    <row r="805" spans="2:2" ht="15.75" customHeight="1" x14ac:dyDescent="0.3">
      <c r="B805" s="33"/>
    </row>
    <row r="806" spans="2:2" ht="15.75" customHeight="1" x14ac:dyDescent="0.3">
      <c r="B806" s="33"/>
    </row>
    <row r="807" spans="2:2" ht="15.75" customHeight="1" x14ac:dyDescent="0.3">
      <c r="B807" s="33"/>
    </row>
    <row r="808" spans="2:2" ht="15.75" customHeight="1" x14ac:dyDescent="0.3">
      <c r="B808" s="33"/>
    </row>
    <row r="809" spans="2:2" ht="15.75" customHeight="1" x14ac:dyDescent="0.3">
      <c r="B809" s="33"/>
    </row>
    <row r="810" spans="2:2" ht="15.75" customHeight="1" x14ac:dyDescent="0.3">
      <c r="B810" s="33"/>
    </row>
    <row r="811" spans="2:2" ht="15.75" customHeight="1" x14ac:dyDescent="0.3">
      <c r="B811" s="33"/>
    </row>
    <row r="812" spans="2:2" ht="15.75" customHeight="1" x14ac:dyDescent="0.3">
      <c r="B812" s="33"/>
    </row>
    <row r="813" spans="2:2" ht="15.75" customHeight="1" x14ac:dyDescent="0.3">
      <c r="B813" s="33"/>
    </row>
    <row r="814" spans="2:2" ht="15.75" customHeight="1" x14ac:dyDescent="0.3">
      <c r="B814" s="33"/>
    </row>
    <row r="815" spans="2:2" ht="15.75" customHeight="1" x14ac:dyDescent="0.3">
      <c r="B815" s="33"/>
    </row>
    <row r="816" spans="2:2" ht="15.75" customHeight="1" x14ac:dyDescent="0.3">
      <c r="B816" s="33"/>
    </row>
    <row r="817" spans="2:2" ht="15.75" customHeight="1" x14ac:dyDescent="0.3">
      <c r="B817" s="33"/>
    </row>
    <row r="818" spans="2:2" ht="15.75" customHeight="1" x14ac:dyDescent="0.3">
      <c r="B818" s="33"/>
    </row>
    <row r="819" spans="2:2" ht="15.75" customHeight="1" x14ac:dyDescent="0.3">
      <c r="B819" s="33"/>
    </row>
    <row r="820" spans="2:2" ht="15.75" customHeight="1" x14ac:dyDescent="0.3">
      <c r="B820" s="33"/>
    </row>
    <row r="821" spans="2:2" ht="15.75" customHeight="1" x14ac:dyDescent="0.3">
      <c r="B821" s="33"/>
    </row>
    <row r="822" spans="2:2" ht="15.75" customHeight="1" x14ac:dyDescent="0.3">
      <c r="B822" s="33"/>
    </row>
    <row r="823" spans="2:2" ht="15.75" customHeight="1" x14ac:dyDescent="0.3">
      <c r="B823" s="33"/>
    </row>
    <row r="824" spans="2:2" ht="15.75" customHeight="1" x14ac:dyDescent="0.3">
      <c r="B824" s="33"/>
    </row>
    <row r="825" spans="2:2" ht="15.75" customHeight="1" x14ac:dyDescent="0.3">
      <c r="B825" s="33"/>
    </row>
    <row r="826" spans="2:2" ht="15.75" customHeight="1" x14ac:dyDescent="0.3">
      <c r="B826" s="33"/>
    </row>
    <row r="827" spans="2:2" ht="15.75" customHeight="1" x14ac:dyDescent="0.3">
      <c r="B827" s="33"/>
    </row>
    <row r="828" spans="2:2" ht="15.75" customHeight="1" x14ac:dyDescent="0.3">
      <c r="B828" s="33"/>
    </row>
    <row r="829" spans="2:2" ht="15.75" customHeight="1" x14ac:dyDescent="0.3">
      <c r="B829" s="33"/>
    </row>
    <row r="830" spans="2:2" ht="15.75" customHeight="1" x14ac:dyDescent="0.3">
      <c r="B830" s="33"/>
    </row>
    <row r="831" spans="2:2" ht="15.75" customHeight="1" x14ac:dyDescent="0.3">
      <c r="B831" s="33"/>
    </row>
    <row r="832" spans="2:2" ht="15.75" customHeight="1" x14ac:dyDescent="0.3">
      <c r="B832" s="33"/>
    </row>
    <row r="833" spans="2:2" ht="15.75" customHeight="1" x14ac:dyDescent="0.3">
      <c r="B833" s="33"/>
    </row>
    <row r="834" spans="2:2" ht="15.75" customHeight="1" x14ac:dyDescent="0.3">
      <c r="B834" s="33"/>
    </row>
    <row r="835" spans="2:2" ht="15.75" customHeight="1" x14ac:dyDescent="0.3">
      <c r="B835" s="33"/>
    </row>
    <row r="836" spans="2:2" ht="15.75" customHeight="1" x14ac:dyDescent="0.3">
      <c r="B836" s="33"/>
    </row>
    <row r="837" spans="2:2" ht="15.75" customHeight="1" x14ac:dyDescent="0.3">
      <c r="B837" s="33"/>
    </row>
    <row r="838" spans="2:2" ht="15.75" customHeight="1" x14ac:dyDescent="0.3">
      <c r="B838" s="33"/>
    </row>
    <row r="839" spans="2:2" ht="15.75" customHeight="1" x14ac:dyDescent="0.3">
      <c r="B839" s="33"/>
    </row>
    <row r="840" spans="2:2" ht="15.75" customHeight="1" x14ac:dyDescent="0.3">
      <c r="B840" s="33"/>
    </row>
    <row r="841" spans="2:2" ht="15.75" customHeight="1" x14ac:dyDescent="0.3">
      <c r="B841" s="33"/>
    </row>
    <row r="842" spans="2:2" ht="15.75" customHeight="1" x14ac:dyDescent="0.3">
      <c r="B842" s="33"/>
    </row>
    <row r="843" spans="2:2" ht="15.75" customHeight="1" x14ac:dyDescent="0.3">
      <c r="B843" s="33"/>
    </row>
    <row r="844" spans="2:2" ht="15.75" customHeight="1" x14ac:dyDescent="0.3">
      <c r="B844" s="33"/>
    </row>
    <row r="845" spans="2:2" ht="15.75" customHeight="1" x14ac:dyDescent="0.3">
      <c r="B845" s="33"/>
    </row>
    <row r="846" spans="2:2" ht="15.75" customHeight="1" x14ac:dyDescent="0.3">
      <c r="B846" s="33"/>
    </row>
    <row r="847" spans="2:2" ht="15.75" customHeight="1" x14ac:dyDescent="0.3">
      <c r="B847" s="33"/>
    </row>
    <row r="848" spans="2:2" ht="15.75" customHeight="1" x14ac:dyDescent="0.3">
      <c r="B848" s="33"/>
    </row>
    <row r="849" spans="2:2" ht="15.75" customHeight="1" x14ac:dyDescent="0.3">
      <c r="B849" s="33"/>
    </row>
    <row r="850" spans="2:2" ht="15.75" customHeight="1" x14ac:dyDescent="0.3">
      <c r="B850" s="33"/>
    </row>
    <row r="851" spans="2:2" ht="15.75" customHeight="1" x14ac:dyDescent="0.3">
      <c r="B851" s="33"/>
    </row>
    <row r="852" spans="2:2" ht="15.75" customHeight="1" x14ac:dyDescent="0.3">
      <c r="B852" s="33"/>
    </row>
    <row r="853" spans="2:2" ht="15.75" customHeight="1" x14ac:dyDescent="0.3">
      <c r="B853" s="33"/>
    </row>
    <row r="854" spans="2:2" ht="15.75" customHeight="1" x14ac:dyDescent="0.3">
      <c r="B854" s="33"/>
    </row>
    <row r="855" spans="2:2" ht="15.75" customHeight="1" x14ac:dyDescent="0.3">
      <c r="B855" s="33"/>
    </row>
    <row r="856" spans="2:2" ht="15.75" customHeight="1" x14ac:dyDescent="0.3">
      <c r="B856" s="33"/>
    </row>
    <row r="857" spans="2:2" ht="15.75" customHeight="1" x14ac:dyDescent="0.3">
      <c r="B857" s="33"/>
    </row>
    <row r="858" spans="2:2" ht="15.75" customHeight="1" x14ac:dyDescent="0.3">
      <c r="B858" s="33"/>
    </row>
    <row r="859" spans="2:2" ht="15.75" customHeight="1" x14ac:dyDescent="0.3">
      <c r="B859" s="33"/>
    </row>
    <row r="860" spans="2:2" ht="15.75" customHeight="1" x14ac:dyDescent="0.3">
      <c r="B860" s="33"/>
    </row>
    <row r="861" spans="2:2" ht="15.75" customHeight="1" x14ac:dyDescent="0.3">
      <c r="B861" s="33"/>
    </row>
    <row r="862" spans="2:2" ht="15.75" customHeight="1" x14ac:dyDescent="0.3">
      <c r="B862" s="33"/>
    </row>
    <row r="863" spans="2:2" ht="15.75" customHeight="1" x14ac:dyDescent="0.3">
      <c r="B863" s="33"/>
    </row>
    <row r="864" spans="2:2" ht="15.75" customHeight="1" x14ac:dyDescent="0.3">
      <c r="B864" s="33"/>
    </row>
    <row r="865" spans="2:2" ht="15.75" customHeight="1" x14ac:dyDescent="0.3">
      <c r="B865" s="33"/>
    </row>
    <row r="866" spans="2:2" ht="15.75" customHeight="1" x14ac:dyDescent="0.3">
      <c r="B866" s="33"/>
    </row>
    <row r="867" spans="2:2" ht="15.75" customHeight="1" x14ac:dyDescent="0.3">
      <c r="B867" s="33"/>
    </row>
    <row r="868" spans="2:2" ht="15.75" customHeight="1" x14ac:dyDescent="0.3">
      <c r="B868" s="33"/>
    </row>
    <row r="869" spans="2:2" ht="15.75" customHeight="1" x14ac:dyDescent="0.3">
      <c r="B869" s="33"/>
    </row>
    <row r="870" spans="2:2" ht="15.75" customHeight="1" x14ac:dyDescent="0.3">
      <c r="B870" s="33"/>
    </row>
    <row r="871" spans="2:2" ht="15.75" customHeight="1" x14ac:dyDescent="0.3">
      <c r="B871" s="33"/>
    </row>
    <row r="872" spans="2:2" ht="15.75" customHeight="1" x14ac:dyDescent="0.3">
      <c r="B872" s="33"/>
    </row>
    <row r="873" spans="2:2" ht="15.75" customHeight="1" x14ac:dyDescent="0.3">
      <c r="B873" s="33"/>
    </row>
    <row r="874" spans="2:2" ht="15.75" customHeight="1" x14ac:dyDescent="0.3">
      <c r="B874" s="33"/>
    </row>
    <row r="875" spans="2:2" ht="15.75" customHeight="1" x14ac:dyDescent="0.3">
      <c r="B875" s="33"/>
    </row>
    <row r="876" spans="2:2" ht="15.75" customHeight="1" x14ac:dyDescent="0.3">
      <c r="B876" s="33"/>
    </row>
    <row r="877" spans="2:2" ht="15.75" customHeight="1" x14ac:dyDescent="0.3">
      <c r="B877" s="33"/>
    </row>
    <row r="878" spans="2:2" ht="15.75" customHeight="1" x14ac:dyDescent="0.3">
      <c r="B878" s="33"/>
    </row>
    <row r="879" spans="2:2" ht="15.75" customHeight="1" x14ac:dyDescent="0.3">
      <c r="B879" s="33"/>
    </row>
    <row r="880" spans="2:2" ht="15.75" customHeight="1" x14ac:dyDescent="0.3">
      <c r="B880" s="33"/>
    </row>
    <row r="881" spans="2:2" ht="15.75" customHeight="1" x14ac:dyDescent="0.3">
      <c r="B881" s="33"/>
    </row>
    <row r="882" spans="2:2" ht="15.75" customHeight="1" x14ac:dyDescent="0.3">
      <c r="B882" s="33"/>
    </row>
    <row r="883" spans="2:2" ht="15.75" customHeight="1" x14ac:dyDescent="0.3">
      <c r="B883" s="33"/>
    </row>
    <row r="884" spans="2:2" ht="15.75" customHeight="1" x14ac:dyDescent="0.3">
      <c r="B884" s="33"/>
    </row>
    <row r="885" spans="2:2" ht="15.75" customHeight="1" x14ac:dyDescent="0.3">
      <c r="B885" s="33"/>
    </row>
    <row r="886" spans="2:2" ht="15.75" customHeight="1" x14ac:dyDescent="0.3">
      <c r="B886" s="33"/>
    </row>
    <row r="887" spans="2:2" ht="15.75" customHeight="1" x14ac:dyDescent="0.3">
      <c r="B887" s="33"/>
    </row>
    <row r="888" spans="2:2" ht="15.75" customHeight="1" x14ac:dyDescent="0.3">
      <c r="B888" s="33"/>
    </row>
    <row r="889" spans="2:2" ht="15.75" customHeight="1" x14ac:dyDescent="0.3">
      <c r="B889" s="33"/>
    </row>
    <row r="890" spans="2:2" ht="15.75" customHeight="1" x14ac:dyDescent="0.3">
      <c r="B890" s="33"/>
    </row>
    <row r="891" spans="2:2" ht="15.75" customHeight="1" x14ac:dyDescent="0.3">
      <c r="B891" s="33"/>
    </row>
    <row r="892" spans="2:2" ht="15.75" customHeight="1" x14ac:dyDescent="0.3">
      <c r="B892" s="33"/>
    </row>
    <row r="893" spans="2:2" ht="15.75" customHeight="1" x14ac:dyDescent="0.3">
      <c r="B893" s="33"/>
    </row>
    <row r="894" spans="2:2" ht="15.75" customHeight="1" x14ac:dyDescent="0.3">
      <c r="B894" s="33"/>
    </row>
    <row r="895" spans="2:2" ht="15.75" customHeight="1" x14ac:dyDescent="0.3">
      <c r="B895" s="33"/>
    </row>
    <row r="896" spans="2:2" ht="15.75" customHeight="1" x14ac:dyDescent="0.3">
      <c r="B896" s="33"/>
    </row>
    <row r="897" spans="2:2" ht="15.75" customHeight="1" x14ac:dyDescent="0.3">
      <c r="B897" s="33"/>
    </row>
    <row r="898" spans="2:2" ht="15.75" customHeight="1" x14ac:dyDescent="0.3">
      <c r="B898" s="33"/>
    </row>
    <row r="899" spans="2:2" ht="15.75" customHeight="1" x14ac:dyDescent="0.3">
      <c r="B899" s="33"/>
    </row>
    <row r="900" spans="2:2" ht="15.75" customHeight="1" x14ac:dyDescent="0.3">
      <c r="B900" s="33"/>
    </row>
    <row r="901" spans="2:2" ht="15.75" customHeight="1" x14ac:dyDescent="0.3">
      <c r="B901" s="33"/>
    </row>
    <row r="902" spans="2:2" ht="15.75" customHeight="1" x14ac:dyDescent="0.3">
      <c r="B902" s="33"/>
    </row>
    <row r="903" spans="2:2" ht="15.75" customHeight="1" x14ac:dyDescent="0.3">
      <c r="B903" s="33"/>
    </row>
    <row r="904" spans="2:2" ht="15.75" customHeight="1" x14ac:dyDescent="0.3">
      <c r="B904" s="33"/>
    </row>
    <row r="905" spans="2:2" ht="15.75" customHeight="1" x14ac:dyDescent="0.3">
      <c r="B905" s="33"/>
    </row>
    <row r="906" spans="2:2" ht="15.75" customHeight="1" x14ac:dyDescent="0.3">
      <c r="B906" s="33"/>
    </row>
    <row r="907" spans="2:2" ht="15.75" customHeight="1" x14ac:dyDescent="0.3">
      <c r="B907" s="33"/>
    </row>
    <row r="908" spans="2:2" ht="15.75" customHeight="1" x14ac:dyDescent="0.3">
      <c r="B908" s="33"/>
    </row>
    <row r="909" spans="2:2" ht="15.75" customHeight="1" x14ac:dyDescent="0.3">
      <c r="B909" s="33"/>
    </row>
    <row r="910" spans="2:2" ht="15.75" customHeight="1" x14ac:dyDescent="0.3">
      <c r="B910" s="33"/>
    </row>
    <row r="911" spans="2:2" ht="15.75" customHeight="1" x14ac:dyDescent="0.3">
      <c r="B911" s="33"/>
    </row>
    <row r="912" spans="2:2" ht="15.75" customHeight="1" x14ac:dyDescent="0.3">
      <c r="B912" s="33"/>
    </row>
    <row r="913" spans="2:2" ht="15.75" customHeight="1" x14ac:dyDescent="0.3">
      <c r="B913" s="33"/>
    </row>
    <row r="914" spans="2:2" ht="15.75" customHeight="1" x14ac:dyDescent="0.3">
      <c r="B914" s="33"/>
    </row>
    <row r="915" spans="2:2" ht="15.75" customHeight="1" x14ac:dyDescent="0.3">
      <c r="B915" s="33"/>
    </row>
    <row r="916" spans="2:2" ht="15.75" customHeight="1" x14ac:dyDescent="0.3">
      <c r="B916" s="33"/>
    </row>
    <row r="917" spans="2:2" ht="15.75" customHeight="1" x14ac:dyDescent="0.3">
      <c r="B917" s="33"/>
    </row>
    <row r="918" spans="2:2" ht="15.75" customHeight="1" x14ac:dyDescent="0.3">
      <c r="B918" s="33"/>
    </row>
    <row r="919" spans="2:2" ht="15.75" customHeight="1" x14ac:dyDescent="0.3">
      <c r="B919" s="33"/>
    </row>
    <row r="920" spans="2:2" ht="15.75" customHeight="1" x14ac:dyDescent="0.3">
      <c r="B920" s="33"/>
    </row>
    <row r="921" spans="2:2" ht="15.75" customHeight="1" x14ac:dyDescent="0.3">
      <c r="B921" s="33"/>
    </row>
    <row r="922" spans="2:2" ht="15.75" customHeight="1" x14ac:dyDescent="0.3">
      <c r="B922" s="33"/>
    </row>
    <row r="923" spans="2:2" ht="15.75" customHeight="1" x14ac:dyDescent="0.3">
      <c r="B923" s="33"/>
    </row>
    <row r="924" spans="2:2" ht="15.75" customHeight="1" x14ac:dyDescent="0.3">
      <c r="B924" s="33"/>
    </row>
    <row r="925" spans="2:2" ht="15.75" customHeight="1" x14ac:dyDescent="0.3">
      <c r="B925" s="33"/>
    </row>
    <row r="926" spans="2:2" ht="15.75" customHeight="1" x14ac:dyDescent="0.3">
      <c r="B926" s="33"/>
    </row>
    <row r="927" spans="2:2" ht="15.75" customHeight="1" x14ac:dyDescent="0.3">
      <c r="B927" s="33"/>
    </row>
    <row r="928" spans="2:2" ht="15.75" customHeight="1" x14ac:dyDescent="0.3">
      <c r="B928" s="33"/>
    </row>
    <row r="929" spans="2:2" ht="15.75" customHeight="1" x14ac:dyDescent="0.3">
      <c r="B929" s="33"/>
    </row>
    <row r="930" spans="2:2" ht="15.75" customHeight="1" x14ac:dyDescent="0.3">
      <c r="B930" s="33"/>
    </row>
    <row r="931" spans="2:2" ht="15.75" customHeight="1" x14ac:dyDescent="0.3">
      <c r="B931" s="33"/>
    </row>
    <row r="932" spans="2:2" ht="15.75" customHeight="1" x14ac:dyDescent="0.3">
      <c r="B932" s="33"/>
    </row>
    <row r="933" spans="2:2" ht="15.75" customHeight="1" x14ac:dyDescent="0.3">
      <c r="B933" s="33"/>
    </row>
    <row r="934" spans="2:2" ht="15.75" customHeight="1" x14ac:dyDescent="0.3">
      <c r="B934" s="33"/>
    </row>
    <row r="935" spans="2:2" ht="15.75" customHeight="1" x14ac:dyDescent="0.3">
      <c r="B935" s="33"/>
    </row>
    <row r="936" spans="2:2" ht="15.75" customHeight="1" x14ac:dyDescent="0.3">
      <c r="B936" s="33"/>
    </row>
    <row r="937" spans="2:2" ht="15.75" customHeight="1" x14ac:dyDescent="0.3">
      <c r="B937" s="33"/>
    </row>
    <row r="938" spans="2:2" ht="15.75" customHeight="1" x14ac:dyDescent="0.3">
      <c r="B938" s="33"/>
    </row>
    <row r="939" spans="2:2" ht="15.75" customHeight="1" x14ac:dyDescent="0.3">
      <c r="B939" s="33"/>
    </row>
    <row r="940" spans="2:2" ht="15.75" customHeight="1" x14ac:dyDescent="0.3">
      <c r="B940" s="33"/>
    </row>
    <row r="941" spans="2:2" ht="15.75" customHeight="1" x14ac:dyDescent="0.3">
      <c r="B941" s="33"/>
    </row>
    <row r="942" spans="2:2" ht="15.75" customHeight="1" x14ac:dyDescent="0.3">
      <c r="B942" s="33"/>
    </row>
    <row r="943" spans="2:2" ht="15.75" customHeight="1" x14ac:dyDescent="0.3">
      <c r="B943" s="33"/>
    </row>
    <row r="944" spans="2:2" ht="15.75" customHeight="1" x14ac:dyDescent="0.3">
      <c r="B944" s="33"/>
    </row>
    <row r="945" spans="2:2" ht="15.75" customHeight="1" x14ac:dyDescent="0.3">
      <c r="B945" s="33"/>
    </row>
    <row r="946" spans="2:2" ht="15.75" customHeight="1" x14ac:dyDescent="0.3">
      <c r="B946" s="33"/>
    </row>
    <row r="947" spans="2:2" ht="15.75" customHeight="1" x14ac:dyDescent="0.3">
      <c r="B947" s="33"/>
    </row>
    <row r="948" spans="2:2" ht="15.75" customHeight="1" x14ac:dyDescent="0.3">
      <c r="B948" s="33"/>
    </row>
    <row r="949" spans="2:2" ht="15.75" customHeight="1" x14ac:dyDescent="0.3">
      <c r="B949" s="33"/>
    </row>
    <row r="950" spans="2:2" ht="15.75" customHeight="1" x14ac:dyDescent="0.3">
      <c r="B950" s="33"/>
    </row>
    <row r="951" spans="2:2" ht="15.75" customHeight="1" x14ac:dyDescent="0.3">
      <c r="B951" s="33"/>
    </row>
    <row r="952" spans="2:2" ht="15.75" customHeight="1" x14ac:dyDescent="0.3">
      <c r="B952" s="33"/>
    </row>
    <row r="953" spans="2:2" ht="15.75" customHeight="1" x14ac:dyDescent="0.3">
      <c r="B953" s="33"/>
    </row>
    <row r="954" spans="2:2" ht="15.75" customHeight="1" x14ac:dyDescent="0.3">
      <c r="B954" s="33"/>
    </row>
    <row r="955" spans="2:2" ht="15.75" customHeight="1" x14ac:dyDescent="0.3">
      <c r="B955" s="33"/>
    </row>
    <row r="956" spans="2:2" ht="15.75" customHeight="1" x14ac:dyDescent="0.3">
      <c r="B956" s="33"/>
    </row>
    <row r="957" spans="2:2" ht="15.75" customHeight="1" x14ac:dyDescent="0.3">
      <c r="B957" s="33"/>
    </row>
    <row r="958" spans="2:2" ht="15.75" customHeight="1" x14ac:dyDescent="0.3">
      <c r="B958" s="33"/>
    </row>
    <row r="959" spans="2:2" ht="15.75" customHeight="1" x14ac:dyDescent="0.3">
      <c r="B959" s="33"/>
    </row>
    <row r="960" spans="2:2" ht="15.75" customHeight="1" x14ac:dyDescent="0.3">
      <c r="B960" s="33"/>
    </row>
    <row r="961" spans="2:2" ht="15.75" customHeight="1" x14ac:dyDescent="0.3">
      <c r="B961" s="33"/>
    </row>
    <row r="962" spans="2:2" ht="15.75" customHeight="1" x14ac:dyDescent="0.3">
      <c r="B962" s="33"/>
    </row>
    <row r="963" spans="2:2" ht="15.75" customHeight="1" x14ac:dyDescent="0.3">
      <c r="B963" s="33"/>
    </row>
    <row r="964" spans="2:2" ht="15.75" customHeight="1" x14ac:dyDescent="0.3">
      <c r="B964" s="33"/>
    </row>
    <row r="965" spans="2:2" ht="15.75" customHeight="1" x14ac:dyDescent="0.3">
      <c r="B965" s="33"/>
    </row>
    <row r="966" spans="2:2" ht="15.75" customHeight="1" x14ac:dyDescent="0.3">
      <c r="B966" s="33"/>
    </row>
    <row r="967" spans="2:2" ht="15.75" customHeight="1" x14ac:dyDescent="0.3">
      <c r="B967" s="33"/>
    </row>
    <row r="968" spans="2:2" ht="15.75" customHeight="1" x14ac:dyDescent="0.3">
      <c r="B968" s="33"/>
    </row>
    <row r="969" spans="2:2" ht="15.75" customHeight="1" x14ac:dyDescent="0.3">
      <c r="B969" s="33"/>
    </row>
    <row r="970" spans="2:2" ht="15.75" customHeight="1" x14ac:dyDescent="0.3">
      <c r="B970" s="33"/>
    </row>
    <row r="971" spans="2:2" ht="15.75" customHeight="1" x14ac:dyDescent="0.3">
      <c r="B971" s="33"/>
    </row>
    <row r="972" spans="2:2" ht="15.75" customHeight="1" x14ac:dyDescent="0.3">
      <c r="B972" s="33"/>
    </row>
    <row r="973" spans="2:2" ht="15.75" customHeight="1" x14ac:dyDescent="0.3">
      <c r="B973" s="33"/>
    </row>
    <row r="974" spans="2:2" ht="15.75" customHeight="1" x14ac:dyDescent="0.3">
      <c r="B974" s="33"/>
    </row>
    <row r="975" spans="2:2" ht="15.75" customHeight="1" x14ac:dyDescent="0.3">
      <c r="B975" s="33"/>
    </row>
    <row r="976" spans="2:2" ht="15.75" customHeight="1" x14ac:dyDescent="0.3">
      <c r="B976" s="33"/>
    </row>
    <row r="977" spans="2:2" ht="15.75" customHeight="1" x14ac:dyDescent="0.3">
      <c r="B977" s="33"/>
    </row>
    <row r="978" spans="2:2" ht="15.75" customHeight="1" x14ac:dyDescent="0.3">
      <c r="B978" s="33"/>
    </row>
    <row r="979" spans="2:2" ht="15.75" customHeight="1" x14ac:dyDescent="0.3">
      <c r="B979" s="33"/>
    </row>
    <row r="980" spans="2:2" ht="15.75" customHeight="1" x14ac:dyDescent="0.3">
      <c r="B980" s="33"/>
    </row>
    <row r="981" spans="2:2" ht="15.75" customHeight="1" x14ac:dyDescent="0.3">
      <c r="B981" s="33"/>
    </row>
    <row r="982" spans="2:2" ht="15.75" customHeight="1" x14ac:dyDescent="0.3">
      <c r="B982" s="33"/>
    </row>
    <row r="983" spans="2:2" ht="15.75" customHeight="1" x14ac:dyDescent="0.3">
      <c r="B983" s="33"/>
    </row>
    <row r="984" spans="2:2" ht="15.75" customHeight="1" x14ac:dyDescent="0.3">
      <c r="B984" s="33"/>
    </row>
    <row r="985" spans="2:2" ht="15.75" customHeight="1" x14ac:dyDescent="0.3">
      <c r="B985" s="33"/>
    </row>
    <row r="986" spans="2:2" ht="15.75" customHeight="1" x14ac:dyDescent="0.3">
      <c r="B986" s="33"/>
    </row>
    <row r="987" spans="2:2" ht="15.75" customHeight="1" x14ac:dyDescent="0.3">
      <c r="B987" s="33"/>
    </row>
    <row r="988" spans="2:2" ht="15.75" customHeight="1" x14ac:dyDescent="0.3">
      <c r="B988" s="33"/>
    </row>
    <row r="989" spans="2:2" ht="15.75" customHeight="1" x14ac:dyDescent="0.3">
      <c r="B989" s="33"/>
    </row>
    <row r="990" spans="2:2" ht="15.75" customHeight="1" x14ac:dyDescent="0.3">
      <c r="B990" s="33"/>
    </row>
    <row r="991" spans="2:2" ht="15.75" customHeight="1" x14ac:dyDescent="0.3">
      <c r="B991" s="33"/>
    </row>
    <row r="992" spans="2:2" ht="15.75" customHeight="1" x14ac:dyDescent="0.3">
      <c r="B992" s="33"/>
    </row>
    <row r="993" spans="2:2" ht="15.75" customHeight="1" x14ac:dyDescent="0.3">
      <c r="B993" s="33"/>
    </row>
    <row r="994" spans="2:2" ht="15.75" customHeight="1" x14ac:dyDescent="0.3">
      <c r="B994" s="33"/>
    </row>
    <row r="995" spans="2:2" ht="15.75" customHeight="1" x14ac:dyDescent="0.3">
      <c r="B995" s="33"/>
    </row>
    <row r="996" spans="2:2" ht="15.75" customHeight="1" x14ac:dyDescent="0.3">
      <c r="B996" s="33"/>
    </row>
    <row r="997" spans="2:2" ht="15.75" customHeight="1" x14ac:dyDescent="0.3">
      <c r="B997" s="33"/>
    </row>
    <row r="998" spans="2:2" ht="15.75" customHeight="1" x14ac:dyDescent="0.3">
      <c r="B998" s="33"/>
    </row>
    <row r="999" spans="2:2" ht="15.75" customHeight="1" x14ac:dyDescent="0.3">
      <c r="B999" s="33"/>
    </row>
    <row r="1000" spans="2:2" ht="15.75" customHeight="1" x14ac:dyDescent="0.3">
      <c r="B1000" s="33"/>
    </row>
  </sheetData>
  <autoFilter ref="A2:P21" xr:uid="{00000000-0009-0000-0000-000006000000}"/>
  <mergeCells count="1">
    <mergeCell ref="B1:D1"/>
  </mergeCell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activeCell="G12" sqref="G12"/>
    </sheetView>
  </sheetViews>
  <sheetFormatPr baseColWidth="10" defaultColWidth="14.44140625" defaultRowHeight="15" customHeight="1" x14ac:dyDescent="0.3"/>
  <cols>
    <col min="1" max="1" width="13.33203125" style="24" customWidth="1"/>
    <col min="2" max="2" width="34.109375" style="32" customWidth="1"/>
    <col min="3" max="3" width="28.33203125" customWidth="1"/>
    <col min="4" max="4" width="33.44140625" customWidth="1"/>
    <col min="5" max="5" width="4.109375" style="24" customWidth="1"/>
    <col min="6" max="6" width="13" customWidth="1"/>
    <col min="7" max="7" width="27.6640625" customWidth="1"/>
    <col min="8" max="8" width="9.5546875" customWidth="1"/>
    <col min="9" max="9" width="16.109375" customWidth="1"/>
    <col min="10" max="10" width="10" customWidth="1"/>
    <col min="11" max="12" width="10.6640625" customWidth="1"/>
    <col min="13" max="13" width="17.88671875" customWidth="1"/>
    <col min="14" max="14" width="14.44140625" style="24"/>
    <col min="15" max="15" width="14.5546875" style="24" customWidth="1"/>
    <col min="16" max="26" width="14.44140625" style="24"/>
  </cols>
  <sheetData>
    <row r="1" spans="1:13" ht="15" customHeight="1" x14ac:dyDescent="0.3">
      <c r="A1" s="20" t="s">
        <v>410</v>
      </c>
      <c r="B1" s="181" t="str">
        <f>'Formato Cronograma'!C10</f>
        <v>Gestión de bases de datos</v>
      </c>
      <c r="C1" s="182"/>
      <c r="D1" s="182"/>
      <c r="F1" s="24"/>
      <c r="G1" s="24"/>
      <c r="H1" s="24"/>
      <c r="I1" s="24"/>
      <c r="J1" s="24"/>
      <c r="K1" s="24"/>
      <c r="L1" s="24"/>
      <c r="M1" s="24"/>
    </row>
    <row r="2" spans="1:13" ht="15" customHeight="1" x14ac:dyDescent="0.3">
      <c r="A2" s="20" t="s">
        <v>411</v>
      </c>
      <c r="B2" s="21" t="s">
        <v>412</v>
      </c>
      <c r="C2" s="22" t="s">
        <v>413</v>
      </c>
      <c r="D2" s="23" t="s">
        <v>414</v>
      </c>
      <c r="F2" s="25"/>
      <c r="G2" s="25"/>
      <c r="H2" s="25"/>
      <c r="I2" s="25"/>
      <c r="J2" s="25"/>
      <c r="K2" s="25"/>
      <c r="L2" s="25"/>
      <c r="M2" s="25"/>
    </row>
    <row r="3" spans="1:13" ht="15" customHeight="1" x14ac:dyDescent="0.3">
      <c r="A3" s="26">
        <v>1</v>
      </c>
      <c r="B3" s="27">
        <f>VLOOKUP((MATCH(A3,'Formato Cronograma'!$N$10:$LJ$10,0)),Datos!A:D,4,FALSE)</f>
        <v>46232</v>
      </c>
      <c r="C3" s="26" t="s">
        <v>415</v>
      </c>
      <c r="D3" s="26" t="s">
        <v>416</v>
      </c>
      <c r="F3" s="24"/>
      <c r="G3" s="24"/>
      <c r="H3" s="25"/>
      <c r="I3" s="24"/>
      <c r="J3" s="24"/>
      <c r="K3" s="24"/>
      <c r="L3" s="24"/>
      <c r="M3" s="24"/>
    </row>
    <row r="4" spans="1:13" ht="15" customHeight="1" x14ac:dyDescent="0.3">
      <c r="A4" s="26">
        <v>2</v>
      </c>
      <c r="B4" s="27">
        <f>VLOOKUP((MATCH(A4,'Formato Cronograma'!$N$10:$LJ$10,0)),Datos!A:D,4,FALSE)</f>
        <v>46234</v>
      </c>
      <c r="C4" s="26" t="s">
        <v>415</v>
      </c>
      <c r="D4" s="26" t="s">
        <v>416</v>
      </c>
      <c r="F4" s="29"/>
      <c r="G4" s="30"/>
      <c r="H4" s="29"/>
      <c r="I4" s="29"/>
      <c r="J4" s="29"/>
      <c r="K4" s="31"/>
      <c r="L4" s="31"/>
      <c r="M4" s="29"/>
    </row>
    <row r="5" spans="1:13" ht="15" customHeight="1" x14ac:dyDescent="0.3">
      <c r="A5" s="26">
        <v>3</v>
      </c>
      <c r="B5" s="27">
        <f>VLOOKUP((MATCH(A5,'Formato Cronograma'!$N$10:$LJ$10,0)),Datos!A:D,4,FALSE)</f>
        <v>46237</v>
      </c>
      <c r="C5" s="26" t="s">
        <v>417</v>
      </c>
      <c r="D5" s="26" t="s">
        <v>418</v>
      </c>
      <c r="F5" s="29"/>
      <c r="G5" s="30"/>
      <c r="H5" s="29"/>
      <c r="I5" s="29"/>
      <c r="J5" s="29"/>
      <c r="K5" s="31"/>
      <c r="L5" s="31"/>
      <c r="M5" s="29"/>
    </row>
    <row r="6" spans="1:13" ht="15" customHeight="1" x14ac:dyDescent="0.3">
      <c r="A6" s="26">
        <v>4</v>
      </c>
      <c r="B6" s="27">
        <f>VLOOKUP((MATCH(A6,'Formato Cronograma'!$N$10:$LJ$10,0)),Datos!A:D,4,FALSE)</f>
        <v>46239</v>
      </c>
      <c r="C6" s="26" t="s">
        <v>417</v>
      </c>
      <c r="D6" s="26" t="s">
        <v>418</v>
      </c>
      <c r="F6" s="29"/>
      <c r="G6" s="30"/>
      <c r="H6" s="29"/>
      <c r="I6" s="29"/>
      <c r="J6" s="29"/>
      <c r="K6" s="31"/>
      <c r="L6" s="31"/>
      <c r="M6" s="29"/>
    </row>
    <row r="7" spans="1:13" ht="15" customHeight="1" x14ac:dyDescent="0.3">
      <c r="A7" s="26">
        <v>5</v>
      </c>
      <c r="B7" s="27">
        <f>VLOOKUP((MATCH(A7,'Formato Cronograma'!$N$10:$LJ$10,0)),Datos!A:D,4,FALSE)</f>
        <v>46241</v>
      </c>
      <c r="C7" s="26" t="s">
        <v>415</v>
      </c>
      <c r="D7" s="26" t="s">
        <v>416</v>
      </c>
      <c r="F7" s="24"/>
      <c r="G7" s="24"/>
      <c r="H7" s="24"/>
      <c r="I7" s="24"/>
      <c r="J7" s="24"/>
      <c r="K7" s="24"/>
      <c r="L7" s="24"/>
      <c r="M7" s="24"/>
    </row>
    <row r="8" spans="1:13" ht="15" customHeight="1" x14ac:dyDescent="0.3">
      <c r="A8" s="26">
        <v>6</v>
      </c>
      <c r="B8" s="27">
        <f>VLOOKUP((MATCH(A8,'Formato Cronograma'!$N$10:$LJ$10,0)),Datos!A:D,4,FALSE)</f>
        <v>46244</v>
      </c>
      <c r="C8" s="26" t="s">
        <v>417</v>
      </c>
      <c r="D8" s="26" t="s">
        <v>418</v>
      </c>
      <c r="F8" s="24"/>
      <c r="G8" s="24"/>
      <c r="H8" s="24"/>
      <c r="I8" s="24"/>
      <c r="J8" s="24"/>
      <c r="K8" s="24"/>
      <c r="L8" s="24"/>
      <c r="M8" s="24"/>
    </row>
    <row r="9" spans="1:13" ht="15" customHeight="1" x14ac:dyDescent="0.3">
      <c r="A9" s="26">
        <v>7</v>
      </c>
      <c r="B9" s="27">
        <f>VLOOKUP((MATCH(A9,'Formato Cronograma'!$N$10:$LJ$10,0)),Datos!A:D,4,FALSE)</f>
        <v>46248</v>
      </c>
      <c r="C9" s="26" t="s">
        <v>415</v>
      </c>
      <c r="D9" s="26" t="s">
        <v>416</v>
      </c>
      <c r="F9" s="24"/>
      <c r="G9" s="24"/>
      <c r="H9" s="24"/>
      <c r="I9" s="24"/>
      <c r="J9" s="24"/>
      <c r="K9" s="24"/>
      <c r="L9" s="24"/>
      <c r="M9" s="24"/>
    </row>
    <row r="10" spans="1:13" ht="15" customHeight="1" x14ac:dyDescent="0.3">
      <c r="A10" s="26">
        <v>8</v>
      </c>
      <c r="B10" s="27">
        <f>VLOOKUP((MATCH(A10,'Formato Cronograma'!$N$10:$LJ$10,0)),Datos!A:D,4,FALSE)</f>
        <v>46253</v>
      </c>
      <c r="C10" s="26" t="s">
        <v>417</v>
      </c>
      <c r="D10" s="26" t="s">
        <v>418</v>
      </c>
      <c r="F10" s="24"/>
      <c r="G10" s="24"/>
      <c r="H10" s="24"/>
      <c r="I10" s="24"/>
      <c r="J10" s="24"/>
      <c r="K10" s="24"/>
      <c r="L10" s="24"/>
      <c r="M10" s="24"/>
    </row>
    <row r="11" spans="1:13" ht="14.4" x14ac:dyDescent="0.3">
      <c r="A11" s="26">
        <v>9</v>
      </c>
      <c r="B11" s="27">
        <f>VLOOKUP((MATCH(A11,'Formato Cronograma'!$N$10:$LJ$10,0)),Datos!A:D,4,FALSE)</f>
        <v>46255</v>
      </c>
      <c r="C11" s="26" t="s">
        <v>415</v>
      </c>
      <c r="D11" s="26" t="s">
        <v>416</v>
      </c>
      <c r="F11" s="24"/>
      <c r="G11" s="24"/>
      <c r="H11" s="24"/>
      <c r="I11" s="24"/>
      <c r="J11" s="24"/>
      <c r="K11" s="24"/>
      <c r="L11" s="24"/>
      <c r="M11" s="24"/>
    </row>
    <row r="12" spans="1:13" ht="14.4" x14ac:dyDescent="0.3">
      <c r="A12" s="26">
        <v>10</v>
      </c>
      <c r="B12" s="27">
        <f>VLOOKUP((MATCH(A12,'Formato Cronograma'!$N$10:$LJ$10,0)),Datos!A:D,4,FALSE)</f>
        <v>46258</v>
      </c>
      <c r="C12" s="26" t="s">
        <v>417</v>
      </c>
      <c r="D12" s="26" t="s">
        <v>418</v>
      </c>
      <c r="F12" s="24"/>
      <c r="G12" s="24"/>
      <c r="H12" s="24"/>
      <c r="I12" s="24"/>
      <c r="J12" s="24"/>
      <c r="K12" s="24"/>
      <c r="L12" s="24"/>
      <c r="M12" s="24"/>
    </row>
    <row r="13" spans="1:13" ht="14.4" x14ac:dyDescent="0.3">
      <c r="A13" s="26">
        <v>11</v>
      </c>
      <c r="B13" s="27">
        <f>VLOOKUP((MATCH(A13,'Formato Cronograma'!$N$10:$LJ$10,0)),Datos!A:D,4,FALSE)</f>
        <v>46260</v>
      </c>
      <c r="C13" s="26" t="s">
        <v>417</v>
      </c>
      <c r="D13" s="26" t="s">
        <v>418</v>
      </c>
      <c r="F13" s="24"/>
      <c r="G13" s="24"/>
      <c r="H13" s="24"/>
      <c r="I13" s="24"/>
      <c r="J13" s="24"/>
      <c r="K13" s="24"/>
      <c r="L13" s="24"/>
      <c r="M13" s="24"/>
    </row>
    <row r="14" spans="1:13" ht="14.4" x14ac:dyDescent="0.3">
      <c r="A14" s="26">
        <v>12</v>
      </c>
      <c r="B14" s="27">
        <f>VLOOKUP((MATCH(A14,'Formato Cronograma'!$N$10:$LJ$10,0)),Datos!A:D,4,FALSE)</f>
        <v>46262</v>
      </c>
      <c r="C14" s="26" t="s">
        <v>415</v>
      </c>
      <c r="D14" s="26" t="s">
        <v>416</v>
      </c>
      <c r="F14" s="24"/>
      <c r="G14" s="24"/>
      <c r="H14" s="24"/>
      <c r="I14" s="24"/>
      <c r="J14" s="24"/>
      <c r="K14" s="24"/>
      <c r="L14" s="24"/>
      <c r="M14" s="24"/>
    </row>
    <row r="15" spans="1:13" ht="14.4" x14ac:dyDescent="0.3">
      <c r="A15" s="26">
        <v>13</v>
      </c>
      <c r="B15" s="27">
        <f>VLOOKUP((MATCH(A15,'Formato Cronograma'!$N$10:$LJ$10,0)),Datos!A:D,4,FALSE)</f>
        <v>46265</v>
      </c>
      <c r="C15" s="26" t="s">
        <v>417</v>
      </c>
      <c r="D15" s="26" t="s">
        <v>418</v>
      </c>
      <c r="F15" s="24"/>
      <c r="G15" s="24"/>
      <c r="H15" s="24"/>
      <c r="I15" s="24"/>
      <c r="J15" s="24"/>
      <c r="K15" s="24"/>
      <c r="L15" s="24"/>
      <c r="M15" s="24"/>
    </row>
    <row r="16" spans="1:13" ht="14.4" x14ac:dyDescent="0.3">
      <c r="A16" s="26">
        <v>14</v>
      </c>
      <c r="B16" s="27">
        <f>VLOOKUP((MATCH(A16,'Formato Cronograma'!$N$10:$LJ$10,0)),Datos!A:D,4,FALSE)</f>
        <v>46267</v>
      </c>
      <c r="C16" s="26" t="s">
        <v>417</v>
      </c>
      <c r="D16" s="26" t="s">
        <v>418</v>
      </c>
      <c r="F16" s="24"/>
      <c r="G16" s="24"/>
      <c r="H16" s="24"/>
      <c r="I16" s="24"/>
      <c r="J16" s="24"/>
      <c r="K16" s="24"/>
      <c r="L16" s="24"/>
      <c r="M16" s="24"/>
    </row>
    <row r="17" spans="1:13" ht="14.4" x14ac:dyDescent="0.3">
      <c r="A17" s="26">
        <v>15</v>
      </c>
      <c r="B17" s="27">
        <f>VLOOKUP((MATCH(A17,'Formato Cronograma'!$N$10:$LJ$10,0)),Datos!A:D,4,FALSE)</f>
        <v>46269</v>
      </c>
      <c r="C17" s="26" t="s">
        <v>415</v>
      </c>
      <c r="D17" s="26" t="s">
        <v>416</v>
      </c>
      <c r="F17" s="24"/>
      <c r="G17" s="24"/>
      <c r="H17" s="24"/>
      <c r="I17" s="24"/>
      <c r="J17" s="24"/>
      <c r="K17" s="24"/>
      <c r="L17" s="24"/>
      <c r="M17" s="24"/>
    </row>
    <row r="18" spans="1:13" ht="14.4" x14ac:dyDescent="0.3">
      <c r="A18" s="26">
        <v>16</v>
      </c>
      <c r="B18" s="27">
        <f>VLOOKUP((MATCH(A18,'Formato Cronograma'!$N$10:$LJ$10,0)),Datos!A:D,4,FALSE)</f>
        <v>46272</v>
      </c>
      <c r="C18" s="26" t="s">
        <v>417</v>
      </c>
      <c r="D18" s="26" t="s">
        <v>418</v>
      </c>
      <c r="F18" s="24"/>
      <c r="G18" s="24"/>
      <c r="H18" s="24"/>
      <c r="I18" s="24"/>
      <c r="J18" s="24"/>
      <c r="K18" s="24"/>
      <c r="L18" s="24"/>
      <c r="M18" s="24"/>
    </row>
    <row r="19" spans="1:13" ht="14.4" x14ac:dyDescent="0.3">
      <c r="A19" s="26">
        <v>17</v>
      </c>
      <c r="B19" s="27">
        <f>VLOOKUP((MATCH(A19,'Formato Cronograma'!$N$10:$LJ$10,0)),Datos!A:D,4,FALSE)</f>
        <v>46274</v>
      </c>
      <c r="C19" s="26" t="s">
        <v>417</v>
      </c>
      <c r="D19" s="26" t="s">
        <v>418</v>
      </c>
      <c r="F19" s="24"/>
      <c r="G19" s="24"/>
      <c r="H19" s="24"/>
      <c r="I19" s="24"/>
      <c r="J19" s="24"/>
      <c r="K19" s="24"/>
      <c r="L19" s="24"/>
      <c r="M19" s="24"/>
    </row>
    <row r="20" spans="1:13" ht="15.75" customHeight="1" x14ac:dyDescent="0.3">
      <c r="A20" s="26">
        <v>18</v>
      </c>
      <c r="B20" s="27">
        <f>VLOOKUP((MATCH(A20,'Formato Cronograma'!$N$10:$LJ$10,0)),Datos!A:D,4,FALSE)</f>
        <v>46276</v>
      </c>
      <c r="C20" s="26" t="s">
        <v>415</v>
      </c>
      <c r="D20" s="26" t="s">
        <v>416</v>
      </c>
      <c r="F20" s="24"/>
      <c r="G20" s="24"/>
      <c r="H20" s="24"/>
      <c r="I20" s="24"/>
      <c r="J20" s="24"/>
      <c r="K20" s="24"/>
      <c r="L20" s="24"/>
      <c r="M20" s="24"/>
    </row>
    <row r="21" spans="1:13" ht="15.75" customHeight="1" x14ac:dyDescent="0.3">
      <c r="A21" s="26">
        <v>19</v>
      </c>
      <c r="B21" s="27">
        <f>VLOOKUP((MATCH(A21,'Formato Cronograma'!$N$10:$LJ$10,0)),Datos!A:D,4,FALSE)</f>
        <v>46279</v>
      </c>
      <c r="C21" s="26" t="s">
        <v>417</v>
      </c>
      <c r="D21" s="26" t="s">
        <v>418</v>
      </c>
      <c r="F21" s="24"/>
      <c r="G21" s="24"/>
      <c r="H21" s="24"/>
      <c r="I21" s="24"/>
      <c r="J21" s="24"/>
      <c r="K21" s="24"/>
      <c r="L21" s="24"/>
      <c r="M21" s="24"/>
    </row>
    <row r="22" spans="1:13" ht="15.75" customHeight="1" x14ac:dyDescent="0.3">
      <c r="A22" s="26">
        <v>20</v>
      </c>
      <c r="B22" s="27">
        <f>VLOOKUP((MATCH(A22,'Formato Cronograma'!$N$10:$LJ$10,0)),Datos!A:D,4,FALSE)</f>
        <v>46281</v>
      </c>
      <c r="C22" s="26" t="s">
        <v>417</v>
      </c>
      <c r="D22" s="26" t="s">
        <v>418</v>
      </c>
      <c r="F22" s="24"/>
      <c r="G22" s="24"/>
      <c r="H22" s="24"/>
      <c r="I22" s="24"/>
      <c r="J22" s="24"/>
      <c r="K22" s="24"/>
      <c r="L22" s="24"/>
      <c r="M22" s="24"/>
    </row>
    <row r="23" spans="1:13" ht="15.75" customHeight="1" x14ac:dyDescent="0.3">
      <c r="A23" s="26">
        <v>21</v>
      </c>
      <c r="B23" s="27">
        <f>VLOOKUP((MATCH(A23,'Formato Cronograma'!$N$10:$LJ$10,0)),Datos!A:D,4,FALSE)</f>
        <v>46283</v>
      </c>
      <c r="C23" s="26" t="s">
        <v>415</v>
      </c>
      <c r="D23" s="26" t="s">
        <v>416</v>
      </c>
      <c r="F23" s="24"/>
      <c r="G23" s="24"/>
      <c r="H23" s="24"/>
      <c r="I23" s="24"/>
      <c r="J23" s="24"/>
      <c r="K23" s="24"/>
      <c r="L23" s="24"/>
      <c r="M23" s="24"/>
    </row>
    <row r="24" spans="1:13" ht="15.75" customHeight="1" x14ac:dyDescent="0.3">
      <c r="A24" s="26">
        <v>22</v>
      </c>
      <c r="B24" s="27">
        <f>VLOOKUP((MATCH(A24,'Formato Cronograma'!$N$10:$LJ$10,0)),Datos!A:D,4,FALSE)</f>
        <v>46293</v>
      </c>
      <c r="C24" s="26" t="s">
        <v>417</v>
      </c>
      <c r="D24" s="26" t="s">
        <v>418</v>
      </c>
      <c r="F24" s="24"/>
      <c r="G24" s="24"/>
      <c r="H24" s="24"/>
      <c r="I24" s="24"/>
      <c r="J24" s="24"/>
      <c r="K24" s="24"/>
      <c r="L24" s="24"/>
      <c r="M24" s="24"/>
    </row>
    <row r="25" spans="1:13" ht="15.75" customHeight="1" x14ac:dyDescent="0.3">
      <c r="A25" s="26">
        <v>23</v>
      </c>
      <c r="B25" s="27">
        <f>VLOOKUP((MATCH(A25,'Formato Cronograma'!$N$10:$LJ$10,0)),Datos!A:D,4,FALSE)</f>
        <v>46295</v>
      </c>
      <c r="C25" s="26" t="s">
        <v>417</v>
      </c>
      <c r="D25" s="26" t="s">
        <v>418</v>
      </c>
      <c r="F25" s="24"/>
      <c r="G25" s="24"/>
      <c r="H25" s="24"/>
      <c r="I25" s="24"/>
      <c r="J25" s="24"/>
      <c r="K25" s="24"/>
      <c r="L25" s="24"/>
      <c r="M25" s="24"/>
    </row>
    <row r="26" spans="1:13" ht="15.75" customHeight="1" x14ac:dyDescent="0.3">
      <c r="A26" s="26">
        <v>24</v>
      </c>
      <c r="B26" s="27">
        <f>VLOOKUP((MATCH(A26,'Formato Cronograma'!$N$10:$LJ$10,0)),Datos!A:D,4,FALSE)</f>
        <v>46297</v>
      </c>
      <c r="C26" s="26" t="s">
        <v>415</v>
      </c>
      <c r="D26" s="26" t="s">
        <v>416</v>
      </c>
      <c r="F26" s="24"/>
      <c r="G26" s="24"/>
      <c r="H26" s="24"/>
      <c r="I26" s="24"/>
      <c r="J26" s="24"/>
      <c r="K26" s="24"/>
      <c r="L26" s="24"/>
      <c r="M26" s="24"/>
    </row>
    <row r="27" spans="1:13" ht="15.75" customHeight="1" x14ac:dyDescent="0.3">
      <c r="A27" s="26">
        <v>25</v>
      </c>
      <c r="B27" s="27">
        <f>VLOOKUP((MATCH(A27,'Formato Cronograma'!$N$10:$LJ$10,0)),Datos!A:D,4,FALSE)</f>
        <v>46309</v>
      </c>
      <c r="C27" s="26" t="s">
        <v>417</v>
      </c>
      <c r="D27" s="26" t="s">
        <v>418</v>
      </c>
      <c r="F27" s="24"/>
      <c r="G27" s="24"/>
      <c r="H27" s="24"/>
      <c r="I27" s="24"/>
      <c r="J27" s="24"/>
      <c r="K27" s="24"/>
      <c r="L27" s="24"/>
      <c r="M27" s="24"/>
    </row>
    <row r="28" spans="1:13" ht="15.75" customHeight="1" x14ac:dyDescent="0.3">
      <c r="A28" s="26">
        <v>26</v>
      </c>
      <c r="B28" s="27">
        <f>VLOOKUP((MATCH(A28,'Formato Cronograma'!$N$10:$LJ$10,0)),Datos!A:D,4,FALSE)</f>
        <v>46311</v>
      </c>
      <c r="C28" s="26" t="s">
        <v>415</v>
      </c>
      <c r="D28" s="26" t="s">
        <v>416</v>
      </c>
      <c r="F28" s="24"/>
      <c r="G28" s="24"/>
      <c r="H28" s="24"/>
      <c r="I28" s="24"/>
      <c r="J28" s="24"/>
      <c r="K28" s="24"/>
      <c r="L28" s="24"/>
      <c r="M28" s="24"/>
    </row>
    <row r="29" spans="1:13" ht="15.75" customHeight="1" x14ac:dyDescent="0.3">
      <c r="A29" s="26">
        <v>27</v>
      </c>
      <c r="B29" s="27">
        <f>VLOOKUP((MATCH(A29,'Formato Cronograma'!$N$10:$LJ$10,0)),Datos!A:D,4,FALSE)</f>
        <v>46314</v>
      </c>
      <c r="C29" s="26" t="s">
        <v>417</v>
      </c>
      <c r="D29" s="26" t="s">
        <v>418</v>
      </c>
      <c r="F29" s="24"/>
      <c r="G29" s="24"/>
      <c r="H29" s="24"/>
      <c r="I29" s="24"/>
      <c r="J29" s="24"/>
      <c r="K29" s="24"/>
      <c r="L29" s="24"/>
      <c r="M29" s="24"/>
    </row>
    <row r="30" spans="1:13" ht="15.75" customHeight="1" x14ac:dyDescent="0.3">
      <c r="A30" s="26">
        <v>28</v>
      </c>
      <c r="B30" s="27">
        <f>VLOOKUP((MATCH(A30,'Formato Cronograma'!$N$10:$LJ$10,0)),Datos!A:D,4,FALSE)</f>
        <v>46316</v>
      </c>
      <c r="C30" s="26" t="s">
        <v>417</v>
      </c>
      <c r="D30" s="26" t="s">
        <v>418</v>
      </c>
      <c r="F30" s="24"/>
      <c r="G30" s="24"/>
      <c r="H30" s="24"/>
      <c r="I30" s="24"/>
      <c r="J30" s="24"/>
      <c r="K30" s="24"/>
      <c r="L30" s="24"/>
      <c r="M30" s="24"/>
    </row>
    <row r="31" spans="1:13" ht="15.75" customHeight="1" x14ac:dyDescent="0.3">
      <c r="A31" s="26">
        <v>29</v>
      </c>
      <c r="B31" s="27">
        <f>VLOOKUP((MATCH(A31,'Formato Cronograma'!$N$10:$LJ$10,0)),Datos!A:D,4,FALSE)</f>
        <v>46318</v>
      </c>
      <c r="C31" s="26" t="s">
        <v>415</v>
      </c>
      <c r="D31" s="26" t="s">
        <v>416</v>
      </c>
      <c r="F31" s="24"/>
      <c r="G31" s="24"/>
      <c r="H31" s="24"/>
      <c r="I31" s="24"/>
      <c r="J31" s="24"/>
      <c r="K31" s="24"/>
      <c r="L31" s="24"/>
      <c r="M31" s="24"/>
    </row>
    <row r="32" spans="1:13" ht="15.75" customHeight="1" x14ac:dyDescent="0.3">
      <c r="A32" s="26">
        <v>30</v>
      </c>
      <c r="B32" s="27">
        <f>VLOOKUP((MATCH(A32,'Formato Cronograma'!$N$10:$LJ$10,0)),Datos!A:D,4,FALSE)</f>
        <v>46321</v>
      </c>
      <c r="C32" s="26" t="s">
        <v>417</v>
      </c>
      <c r="D32" s="26" t="s">
        <v>418</v>
      </c>
      <c r="F32" s="24"/>
      <c r="G32" s="24"/>
      <c r="H32" s="24"/>
      <c r="I32" s="24"/>
      <c r="J32" s="24"/>
      <c r="K32" s="24"/>
      <c r="L32" s="24"/>
      <c r="M32" s="24"/>
    </row>
    <row r="33" spans="1:13" ht="15.75" customHeight="1" x14ac:dyDescent="0.3">
      <c r="A33" s="26">
        <v>31</v>
      </c>
      <c r="B33" s="27">
        <f>VLOOKUP((MATCH(A33,'Formato Cronograma'!$N$10:$LJ$10,0)),Datos!A:D,4,FALSE)</f>
        <v>46323</v>
      </c>
      <c r="C33" s="26" t="s">
        <v>417</v>
      </c>
      <c r="D33" s="26" t="s">
        <v>418</v>
      </c>
      <c r="F33" s="24"/>
      <c r="G33" s="24"/>
      <c r="H33" s="24"/>
      <c r="I33" s="24"/>
      <c r="J33" s="24"/>
      <c r="K33" s="24"/>
      <c r="L33" s="24"/>
      <c r="M33" s="24"/>
    </row>
    <row r="34" spans="1:13" ht="15.75" customHeight="1" x14ac:dyDescent="0.3">
      <c r="A34" s="26">
        <v>32</v>
      </c>
      <c r="B34" s="27">
        <f>VLOOKUP((MATCH(A34,'Formato Cronograma'!$N$10:$LJ$10,0)),Datos!A:D,4,FALSE)</f>
        <v>46325</v>
      </c>
      <c r="C34" s="26" t="s">
        <v>415</v>
      </c>
      <c r="D34" s="26" t="s">
        <v>416</v>
      </c>
      <c r="F34" s="24"/>
      <c r="G34" s="24"/>
      <c r="H34" s="24"/>
      <c r="I34" s="24"/>
      <c r="J34" s="24"/>
      <c r="K34" s="24"/>
      <c r="L34" s="24"/>
      <c r="M34" s="24"/>
    </row>
    <row r="35" spans="1:13" ht="15.75" customHeight="1" x14ac:dyDescent="0.3">
      <c r="A35" s="26">
        <v>33</v>
      </c>
      <c r="B35" s="27">
        <f>VLOOKUP((MATCH(A35,'Formato Cronograma'!$N$10:$LJ$10,0)),Datos!A:D,4,FALSE)</f>
        <v>46330</v>
      </c>
      <c r="C35" s="26" t="s">
        <v>417</v>
      </c>
      <c r="D35" s="26" t="s">
        <v>418</v>
      </c>
      <c r="F35" s="24"/>
      <c r="G35" s="24"/>
      <c r="H35" s="24"/>
      <c r="I35" s="24"/>
      <c r="J35" s="24"/>
      <c r="K35" s="24"/>
      <c r="L35" s="24"/>
      <c r="M35" s="24"/>
    </row>
    <row r="36" spans="1:13" ht="15.75" customHeight="1" x14ac:dyDescent="0.3">
      <c r="A36" s="26">
        <v>34</v>
      </c>
      <c r="B36" s="27">
        <f>VLOOKUP((MATCH(A36,'Formato Cronograma'!$N$10:$LJ$10,0)),Datos!A:D,4,FALSE)</f>
        <v>46332</v>
      </c>
      <c r="C36" s="26" t="s">
        <v>415</v>
      </c>
      <c r="D36" s="26" t="s">
        <v>416</v>
      </c>
      <c r="F36" s="24"/>
      <c r="G36" s="24"/>
      <c r="H36" s="24"/>
      <c r="I36" s="24"/>
      <c r="J36" s="24"/>
      <c r="K36" s="24"/>
      <c r="L36" s="24"/>
      <c r="M36" s="24"/>
    </row>
    <row r="37" spans="1:13" ht="15.75" customHeight="1" x14ac:dyDescent="0.3">
      <c r="A37" s="26">
        <v>35</v>
      </c>
      <c r="B37" s="27">
        <f>VLOOKUP((MATCH(A37,'Formato Cronograma'!$N$10:$LJ$10,0)),Datos!A:D,4,FALSE)</f>
        <v>46335</v>
      </c>
      <c r="C37" s="26" t="s">
        <v>417</v>
      </c>
      <c r="D37" s="26" t="s">
        <v>418</v>
      </c>
      <c r="F37" s="24"/>
      <c r="G37" s="24"/>
      <c r="H37" s="24"/>
      <c r="I37" s="24"/>
      <c r="J37" s="24"/>
      <c r="K37" s="24"/>
      <c r="L37" s="24"/>
      <c r="M37" s="24"/>
    </row>
    <row r="38" spans="1:13" ht="15.75" customHeight="1" x14ac:dyDescent="0.3">
      <c r="A38" s="26">
        <v>36</v>
      </c>
      <c r="B38" s="27">
        <f>VLOOKUP((MATCH(A38,'Formato Cronograma'!$N$10:$LJ$10,0)),Datos!A:D,4,FALSE)</f>
        <v>46337</v>
      </c>
      <c r="C38" s="26" t="s">
        <v>417</v>
      </c>
      <c r="D38" s="26" t="s">
        <v>418</v>
      </c>
      <c r="F38" s="24"/>
      <c r="G38" s="24"/>
      <c r="H38" s="24"/>
      <c r="I38" s="24"/>
      <c r="J38" s="24"/>
      <c r="K38" s="24"/>
      <c r="L38" s="24"/>
      <c r="M38" s="24"/>
    </row>
    <row r="39" spans="1:13" ht="15.75" customHeight="1" x14ac:dyDescent="0.3">
      <c r="A39" s="26">
        <v>37</v>
      </c>
      <c r="B39" s="27">
        <f>VLOOKUP((MATCH(A39,'Formato Cronograma'!$N$10:$LJ$10,0)),Datos!A:D,4,FALSE)</f>
        <v>46339</v>
      </c>
      <c r="C39" s="26" t="s">
        <v>415</v>
      </c>
      <c r="D39" s="26" t="s">
        <v>416</v>
      </c>
      <c r="F39" s="24"/>
      <c r="G39" s="24"/>
      <c r="H39" s="24"/>
      <c r="I39" s="24"/>
      <c r="J39" s="24"/>
      <c r="K39" s="24"/>
      <c r="L39" s="24"/>
      <c r="M39" s="24"/>
    </row>
    <row r="40" spans="1:13" ht="15.75" customHeight="1" x14ac:dyDescent="0.3">
      <c r="A40" s="26">
        <v>38</v>
      </c>
      <c r="B40" s="27">
        <f>VLOOKUP((MATCH(A40,'Formato Cronograma'!$N$10:$LJ$10,0)),Datos!A:D,4,FALSE)</f>
        <v>46344</v>
      </c>
      <c r="C40" s="26" t="s">
        <v>417</v>
      </c>
      <c r="D40" s="26" t="s">
        <v>418</v>
      </c>
      <c r="F40" s="24"/>
      <c r="G40" s="24"/>
      <c r="H40" s="24"/>
      <c r="I40" s="24"/>
      <c r="J40" s="24"/>
      <c r="K40" s="24"/>
      <c r="L40" s="24"/>
      <c r="M40" s="24"/>
    </row>
    <row r="41" spans="1:13" ht="15.75" customHeight="1" x14ac:dyDescent="0.3">
      <c r="A41" s="26">
        <v>39</v>
      </c>
      <c r="B41" s="27">
        <f>VLOOKUP((MATCH(A41,'Formato Cronograma'!$N$10:$LJ$10,0)),Datos!A:D,4,FALSE)</f>
        <v>46346</v>
      </c>
      <c r="C41" s="26" t="s">
        <v>415</v>
      </c>
      <c r="D41" s="26" t="s">
        <v>416</v>
      </c>
      <c r="F41" s="24"/>
      <c r="G41" s="24"/>
      <c r="H41" s="24"/>
      <c r="I41" s="24"/>
      <c r="J41" s="24"/>
      <c r="K41" s="24"/>
      <c r="L41" s="24"/>
      <c r="M41" s="24"/>
    </row>
    <row r="42" spans="1:13" ht="15.75" customHeight="1" x14ac:dyDescent="0.3">
      <c r="A42" s="26">
        <v>40</v>
      </c>
      <c r="B42" s="27">
        <f>VLOOKUP((MATCH(A42,'Formato Cronograma'!$N$10:$LJ$10,0)),Datos!A:D,4,FALSE)</f>
        <v>46349</v>
      </c>
      <c r="C42" s="26" t="s">
        <v>417</v>
      </c>
      <c r="D42" s="26" t="s">
        <v>418</v>
      </c>
      <c r="F42" s="24"/>
      <c r="G42" s="24"/>
      <c r="H42" s="24"/>
      <c r="I42" s="24"/>
      <c r="J42" s="24"/>
      <c r="K42" s="24"/>
      <c r="L42" s="24"/>
      <c r="M42" s="24"/>
    </row>
    <row r="43" spans="1:13" ht="15.75" customHeight="1" x14ac:dyDescent="0.3">
      <c r="A43" s="26">
        <v>41</v>
      </c>
      <c r="B43" s="27">
        <f>VLOOKUP((MATCH(A43,'Formato Cronograma'!$N$10:$LJ$10,0)),Datos!A:D,4,FALSE)</f>
        <v>46351</v>
      </c>
      <c r="C43" s="26" t="s">
        <v>417</v>
      </c>
      <c r="D43" s="26" t="s">
        <v>418</v>
      </c>
      <c r="F43" s="24"/>
      <c r="G43" s="24"/>
      <c r="H43" s="24"/>
      <c r="I43" s="24"/>
      <c r="J43" s="24"/>
      <c r="K43" s="24"/>
      <c r="L43" s="24"/>
      <c r="M43" s="24"/>
    </row>
    <row r="44" spans="1:13" ht="15.75" customHeight="1" x14ac:dyDescent="0.3">
      <c r="A44" s="26">
        <v>42</v>
      </c>
      <c r="B44" s="27">
        <f>VLOOKUP((MATCH(A44,'Formato Cronograma'!$N$10:$LJ$10,0)),Datos!A:D,4,FALSE)</f>
        <v>46353</v>
      </c>
      <c r="C44" s="26" t="s">
        <v>415</v>
      </c>
      <c r="D44" s="26" t="s">
        <v>416</v>
      </c>
      <c r="F44" s="24"/>
      <c r="G44" s="24"/>
      <c r="H44" s="24"/>
      <c r="I44" s="24"/>
      <c r="J44" s="24"/>
      <c r="K44" s="24"/>
      <c r="L44" s="24"/>
      <c r="M44" s="24"/>
    </row>
    <row r="45" spans="1:13" ht="15.75" customHeight="1" x14ac:dyDescent="0.3">
      <c r="C45" s="24"/>
      <c r="D45" s="24"/>
      <c r="F45" s="24"/>
      <c r="G45" s="24"/>
      <c r="H45" s="24"/>
      <c r="I45" s="24"/>
      <c r="J45" s="24"/>
      <c r="K45" s="24"/>
      <c r="L45" s="24"/>
      <c r="M45" s="24"/>
    </row>
    <row r="46" spans="1:13" ht="15.75" customHeight="1" x14ac:dyDescent="0.3">
      <c r="C46" s="24"/>
      <c r="D46" s="24"/>
      <c r="F46" s="24"/>
      <c r="G46" s="24"/>
      <c r="H46" s="24"/>
      <c r="I46" s="24"/>
      <c r="J46" s="24"/>
      <c r="K46" s="24"/>
      <c r="L46" s="24"/>
      <c r="M46" s="24"/>
    </row>
    <row r="47" spans="1:13" ht="15.75" customHeight="1" x14ac:dyDescent="0.3">
      <c r="C47" s="24"/>
      <c r="D47" s="24"/>
      <c r="F47" s="24"/>
      <c r="G47" s="24"/>
      <c r="H47" s="24"/>
      <c r="I47" s="24"/>
      <c r="J47" s="24"/>
      <c r="K47" s="24"/>
      <c r="L47" s="24"/>
      <c r="M47" s="24"/>
    </row>
    <row r="48" spans="1:13" ht="15.75" customHeight="1" x14ac:dyDescent="0.3">
      <c r="C48" s="24"/>
      <c r="D48" s="24"/>
      <c r="F48" s="24"/>
      <c r="G48" s="24"/>
      <c r="H48" s="24"/>
      <c r="I48" s="24"/>
      <c r="J48" s="24"/>
      <c r="K48" s="24"/>
      <c r="L48" s="24"/>
      <c r="M48" s="24"/>
    </row>
    <row r="49" spans="3:13" ht="15.75" customHeight="1" x14ac:dyDescent="0.3">
      <c r="C49" s="24"/>
      <c r="D49" s="24"/>
      <c r="F49" s="24"/>
      <c r="G49" s="24"/>
      <c r="H49" s="24"/>
      <c r="I49" s="24"/>
      <c r="J49" s="24"/>
      <c r="K49" s="24"/>
      <c r="L49" s="24"/>
      <c r="M49" s="24"/>
    </row>
    <row r="50" spans="3:13" ht="15.75" customHeight="1" x14ac:dyDescent="0.3">
      <c r="C50" s="24"/>
      <c r="D50" s="24"/>
      <c r="F50" s="24"/>
      <c r="G50" s="24"/>
      <c r="H50" s="24"/>
      <c r="I50" s="24"/>
      <c r="J50" s="24"/>
      <c r="K50" s="24"/>
      <c r="L50" s="24"/>
      <c r="M50" s="24"/>
    </row>
    <row r="51" spans="3:13" ht="15.75" customHeight="1" x14ac:dyDescent="0.3">
      <c r="C51" s="24"/>
      <c r="D51" s="24"/>
      <c r="F51" s="24"/>
      <c r="G51" s="24"/>
      <c r="H51" s="24"/>
      <c r="I51" s="24"/>
      <c r="J51" s="24"/>
      <c r="K51" s="24"/>
      <c r="L51" s="24"/>
      <c r="M51" s="24"/>
    </row>
    <row r="52" spans="3:13" ht="15.75" customHeight="1" x14ac:dyDescent="0.3">
      <c r="C52" s="24"/>
      <c r="D52" s="24"/>
      <c r="F52" s="24"/>
      <c r="G52" s="24"/>
      <c r="H52" s="24"/>
      <c r="I52" s="24"/>
      <c r="J52" s="24"/>
      <c r="K52" s="24"/>
      <c r="L52" s="24"/>
      <c r="M52" s="24"/>
    </row>
    <row r="53" spans="3:13" ht="15.75" customHeight="1" x14ac:dyDescent="0.3">
      <c r="C53" s="24"/>
      <c r="D53" s="24"/>
      <c r="F53" s="24"/>
      <c r="G53" s="24"/>
      <c r="H53" s="24"/>
      <c r="I53" s="24"/>
      <c r="J53" s="24"/>
      <c r="K53" s="24"/>
      <c r="L53" s="24"/>
      <c r="M53" s="24"/>
    </row>
    <row r="54" spans="3:13" ht="15.75" customHeight="1" x14ac:dyDescent="0.3">
      <c r="C54" s="24"/>
      <c r="D54" s="24"/>
      <c r="F54" s="24"/>
      <c r="G54" s="24"/>
      <c r="H54" s="24"/>
      <c r="I54" s="24"/>
      <c r="J54" s="24"/>
      <c r="K54" s="24"/>
      <c r="L54" s="24"/>
      <c r="M54" s="24"/>
    </row>
    <row r="55" spans="3:13" ht="15.75" customHeight="1" x14ac:dyDescent="0.3">
      <c r="C55" s="24"/>
      <c r="D55" s="24"/>
      <c r="F55" s="24"/>
      <c r="G55" s="24"/>
      <c r="H55" s="24"/>
      <c r="I55" s="24"/>
      <c r="J55" s="24"/>
      <c r="K55" s="24"/>
      <c r="L55" s="24"/>
      <c r="M55" s="24"/>
    </row>
    <row r="56" spans="3:13" ht="15.75" customHeight="1" x14ac:dyDescent="0.3">
      <c r="C56" s="24"/>
      <c r="D56" s="24"/>
      <c r="F56" s="24"/>
      <c r="G56" s="24"/>
      <c r="H56" s="24"/>
      <c r="I56" s="24"/>
      <c r="J56" s="24"/>
      <c r="K56" s="24"/>
      <c r="L56" s="24"/>
      <c r="M56" s="24"/>
    </row>
    <row r="57" spans="3:13" ht="15.75" customHeight="1" x14ac:dyDescent="0.3">
      <c r="C57" s="24"/>
      <c r="D57" s="24"/>
      <c r="F57" s="24"/>
      <c r="G57" s="24"/>
      <c r="H57" s="24"/>
      <c r="I57" s="24"/>
      <c r="J57" s="24"/>
      <c r="K57" s="24"/>
      <c r="L57" s="24"/>
      <c r="M57" s="24"/>
    </row>
    <row r="58" spans="3:13" ht="15.75" customHeight="1" x14ac:dyDescent="0.3">
      <c r="C58" s="24"/>
      <c r="D58" s="24"/>
      <c r="F58" s="24"/>
      <c r="G58" s="24"/>
      <c r="H58" s="24"/>
      <c r="I58" s="24"/>
      <c r="J58" s="24"/>
      <c r="K58" s="24"/>
      <c r="L58" s="24"/>
      <c r="M58" s="24"/>
    </row>
    <row r="59" spans="3:13" ht="15.75" customHeight="1" x14ac:dyDescent="0.3">
      <c r="C59" s="24"/>
      <c r="D59" s="24"/>
      <c r="F59" s="24"/>
      <c r="G59" s="24"/>
      <c r="H59" s="24"/>
      <c r="I59" s="24"/>
      <c r="J59" s="24"/>
      <c r="K59" s="24"/>
      <c r="L59" s="24"/>
      <c r="M59" s="24"/>
    </row>
    <row r="60" spans="3:13" ht="15.75" customHeight="1" x14ac:dyDescent="0.3">
      <c r="C60" s="24"/>
      <c r="D60" s="24"/>
      <c r="F60" s="24"/>
      <c r="G60" s="24"/>
      <c r="H60" s="24"/>
      <c r="I60" s="24"/>
      <c r="J60" s="24"/>
      <c r="K60" s="24"/>
      <c r="L60" s="24"/>
      <c r="M60" s="24"/>
    </row>
    <row r="61" spans="3:13" ht="15.75" customHeight="1" x14ac:dyDescent="0.3">
      <c r="C61" s="24"/>
      <c r="D61" s="24"/>
      <c r="F61" s="24"/>
      <c r="G61" s="24"/>
      <c r="H61" s="24"/>
      <c r="I61" s="24"/>
      <c r="J61" s="24"/>
      <c r="K61" s="24"/>
      <c r="L61" s="24"/>
      <c r="M61" s="24"/>
    </row>
    <row r="62" spans="3:13" ht="15.75" customHeight="1" x14ac:dyDescent="0.3">
      <c r="C62" s="24"/>
      <c r="D62" s="24"/>
      <c r="F62" s="24"/>
      <c r="G62" s="24"/>
      <c r="H62" s="24"/>
      <c r="I62" s="24"/>
      <c r="J62" s="24"/>
      <c r="K62" s="24"/>
      <c r="L62" s="24"/>
      <c r="M62" s="24"/>
    </row>
    <row r="63" spans="3:13" ht="15.75" customHeight="1" x14ac:dyDescent="0.3">
      <c r="C63" s="24"/>
      <c r="D63" s="24"/>
      <c r="F63" s="24"/>
      <c r="G63" s="24"/>
      <c r="H63" s="24"/>
      <c r="I63" s="24"/>
      <c r="J63" s="24"/>
      <c r="K63" s="24"/>
      <c r="L63" s="24"/>
      <c r="M63" s="24"/>
    </row>
    <row r="64" spans="3:13" ht="15.75" customHeight="1" x14ac:dyDescent="0.3">
      <c r="C64" s="24"/>
      <c r="D64" s="24"/>
      <c r="F64" s="24"/>
      <c r="G64" s="24"/>
      <c r="H64" s="24"/>
      <c r="I64" s="24"/>
      <c r="J64" s="24"/>
      <c r="K64" s="24"/>
      <c r="L64" s="24"/>
      <c r="M64" s="24"/>
    </row>
    <row r="65" spans="3:13" ht="15.75" customHeight="1" x14ac:dyDescent="0.3">
      <c r="C65" s="24"/>
      <c r="D65" s="24"/>
      <c r="F65" s="24"/>
      <c r="G65" s="24"/>
      <c r="H65" s="24"/>
      <c r="I65" s="24"/>
      <c r="J65" s="24"/>
      <c r="K65" s="24"/>
      <c r="L65" s="24"/>
      <c r="M65" s="24"/>
    </row>
    <row r="66" spans="3:13" ht="15.75" customHeight="1" x14ac:dyDescent="0.3">
      <c r="C66" s="24"/>
      <c r="D66" s="24"/>
      <c r="F66" s="24"/>
      <c r="G66" s="24"/>
      <c r="H66" s="24"/>
      <c r="I66" s="24"/>
      <c r="J66" s="24"/>
      <c r="K66" s="24"/>
      <c r="L66" s="24"/>
      <c r="M66" s="24"/>
    </row>
    <row r="67" spans="3:13" ht="15.75" customHeight="1" x14ac:dyDescent="0.3">
      <c r="C67" s="24"/>
      <c r="D67" s="24"/>
      <c r="F67" s="24"/>
      <c r="G67" s="24"/>
      <c r="H67" s="24"/>
      <c r="I67" s="24"/>
      <c r="J67" s="24"/>
      <c r="K67" s="24"/>
      <c r="L67" s="24"/>
      <c r="M67" s="24"/>
    </row>
    <row r="68" spans="3:13" ht="15.75" customHeight="1" x14ac:dyDescent="0.3">
      <c r="C68" s="24"/>
      <c r="D68" s="24"/>
      <c r="F68" s="24"/>
      <c r="G68" s="24"/>
      <c r="H68" s="24"/>
      <c r="I68" s="24"/>
      <c r="J68" s="24"/>
      <c r="K68" s="24"/>
      <c r="L68" s="24"/>
      <c r="M68" s="24"/>
    </row>
    <row r="69" spans="3:13" ht="15.75" customHeight="1" x14ac:dyDescent="0.3">
      <c r="C69" s="24"/>
      <c r="D69" s="24"/>
      <c r="F69" s="24"/>
      <c r="G69" s="24"/>
      <c r="H69" s="24"/>
      <c r="I69" s="24"/>
      <c r="J69" s="24"/>
      <c r="K69" s="24"/>
      <c r="L69" s="24"/>
      <c r="M69" s="24"/>
    </row>
    <row r="70" spans="3:13" ht="15.75" customHeight="1" x14ac:dyDescent="0.3">
      <c r="C70" s="24"/>
      <c r="D70" s="24"/>
      <c r="F70" s="24"/>
      <c r="G70" s="24"/>
      <c r="H70" s="24"/>
      <c r="I70" s="24"/>
      <c r="J70" s="24"/>
      <c r="K70" s="24"/>
      <c r="L70" s="24"/>
      <c r="M70" s="24"/>
    </row>
    <row r="71" spans="3:13" ht="15.75" customHeight="1" x14ac:dyDescent="0.3">
      <c r="C71" s="24"/>
      <c r="D71" s="24"/>
      <c r="F71" s="24"/>
      <c r="G71" s="24"/>
      <c r="H71" s="24"/>
      <c r="I71" s="24"/>
      <c r="J71" s="24"/>
      <c r="K71" s="24"/>
      <c r="L71" s="24"/>
      <c r="M71" s="24"/>
    </row>
    <row r="72" spans="3:13" ht="15.75" customHeight="1" x14ac:dyDescent="0.3">
      <c r="C72" s="24"/>
      <c r="D72" s="24"/>
      <c r="F72" s="24"/>
      <c r="G72" s="24"/>
      <c r="H72" s="24"/>
      <c r="I72" s="24"/>
      <c r="J72" s="24"/>
      <c r="K72" s="24"/>
      <c r="L72" s="24"/>
      <c r="M72" s="24"/>
    </row>
    <row r="73" spans="3:13" ht="15.75" customHeight="1" x14ac:dyDescent="0.3">
      <c r="C73" s="24"/>
      <c r="D73" s="24"/>
      <c r="F73" s="24"/>
      <c r="G73" s="24"/>
      <c r="H73" s="24"/>
      <c r="I73" s="24"/>
      <c r="J73" s="24"/>
      <c r="K73" s="24"/>
      <c r="L73" s="24"/>
      <c r="M73" s="24"/>
    </row>
    <row r="74" spans="3:13" ht="15.75" customHeight="1" x14ac:dyDescent="0.3">
      <c r="C74" s="24"/>
      <c r="D74" s="24"/>
      <c r="F74" s="24"/>
      <c r="G74" s="24"/>
      <c r="H74" s="24"/>
      <c r="I74" s="24"/>
      <c r="J74" s="24"/>
      <c r="K74" s="24"/>
      <c r="L74" s="24"/>
      <c r="M74" s="24"/>
    </row>
    <row r="75" spans="3:13" ht="15.75" customHeight="1" x14ac:dyDescent="0.3">
      <c r="C75" s="24"/>
      <c r="D75" s="24"/>
      <c r="F75" s="24"/>
      <c r="G75" s="24"/>
      <c r="H75" s="24"/>
      <c r="I75" s="24"/>
      <c r="J75" s="24"/>
      <c r="K75" s="24"/>
      <c r="L75" s="24"/>
      <c r="M75" s="24"/>
    </row>
    <row r="76" spans="3:13" ht="15.75" customHeight="1" x14ac:dyDescent="0.3">
      <c r="C76" s="24"/>
      <c r="D76" s="24"/>
      <c r="F76" s="24"/>
      <c r="G76" s="24"/>
      <c r="H76" s="24"/>
      <c r="I76" s="24"/>
      <c r="J76" s="24"/>
      <c r="K76" s="24"/>
      <c r="L76" s="24"/>
      <c r="M76" s="24"/>
    </row>
    <row r="77" spans="3:13" ht="15.75" customHeight="1" x14ac:dyDescent="0.3">
      <c r="C77" s="24"/>
      <c r="D77" s="24"/>
      <c r="F77" s="24"/>
      <c r="G77" s="24"/>
      <c r="H77" s="24"/>
      <c r="I77" s="24"/>
      <c r="J77" s="24"/>
      <c r="K77" s="24"/>
      <c r="L77" s="24"/>
      <c r="M77" s="24"/>
    </row>
    <row r="78" spans="3:13" ht="15.75" customHeight="1" x14ac:dyDescent="0.3">
      <c r="C78" s="24"/>
      <c r="D78" s="24"/>
      <c r="F78" s="24"/>
      <c r="G78" s="24"/>
      <c r="H78" s="24"/>
      <c r="I78" s="24"/>
      <c r="J78" s="24"/>
      <c r="K78" s="24"/>
      <c r="L78" s="24"/>
      <c r="M78" s="24"/>
    </row>
    <row r="79" spans="3:13" ht="15.75" customHeight="1" x14ac:dyDescent="0.3">
      <c r="C79" s="24"/>
      <c r="D79" s="24"/>
      <c r="F79" s="24"/>
      <c r="G79" s="24"/>
      <c r="H79" s="24"/>
      <c r="I79" s="24"/>
      <c r="J79" s="24"/>
      <c r="K79" s="24"/>
      <c r="L79" s="24"/>
      <c r="M79" s="24"/>
    </row>
    <row r="80" spans="3:13" ht="15.75" customHeight="1" x14ac:dyDescent="0.3">
      <c r="C80" s="24"/>
      <c r="D80" s="24"/>
      <c r="F80" s="24"/>
      <c r="G80" s="24"/>
      <c r="H80" s="24"/>
      <c r="I80" s="24"/>
      <c r="J80" s="24"/>
      <c r="K80" s="24"/>
      <c r="L80" s="24"/>
      <c r="M80" s="24"/>
    </row>
    <row r="81" spans="3:13" ht="15.75" customHeight="1" x14ac:dyDescent="0.3">
      <c r="C81" s="24"/>
      <c r="D81" s="24"/>
      <c r="F81" s="24"/>
      <c r="G81" s="24"/>
      <c r="H81" s="24"/>
      <c r="I81" s="24"/>
      <c r="J81" s="24"/>
      <c r="K81" s="24"/>
      <c r="L81" s="24"/>
      <c r="M81" s="24"/>
    </row>
    <row r="82" spans="3:13" ht="15.75" customHeight="1" x14ac:dyDescent="0.3">
      <c r="C82" s="24"/>
      <c r="D82" s="24"/>
      <c r="F82" s="24"/>
      <c r="G82" s="24"/>
      <c r="H82" s="24"/>
      <c r="I82" s="24"/>
      <c r="J82" s="24"/>
      <c r="K82" s="24"/>
      <c r="L82" s="24"/>
      <c r="M82" s="24"/>
    </row>
    <row r="83" spans="3:13" ht="15.75" customHeight="1" x14ac:dyDescent="0.3">
      <c r="C83" s="24"/>
      <c r="D83" s="24"/>
      <c r="F83" s="24"/>
      <c r="G83" s="24"/>
      <c r="H83" s="24"/>
      <c r="I83" s="24"/>
      <c r="J83" s="24"/>
      <c r="K83" s="24"/>
      <c r="L83" s="24"/>
      <c r="M83" s="24"/>
    </row>
    <row r="84" spans="3:13" ht="15.75" customHeight="1" x14ac:dyDescent="0.3">
      <c r="C84" s="24"/>
      <c r="D84" s="24"/>
      <c r="F84" s="24"/>
      <c r="G84" s="24"/>
      <c r="H84" s="24"/>
      <c r="I84" s="24"/>
      <c r="J84" s="24"/>
      <c r="K84" s="24"/>
      <c r="L84" s="24"/>
      <c r="M84" s="24"/>
    </row>
    <row r="85" spans="3:13" ht="15.75" customHeight="1" x14ac:dyDescent="0.3">
      <c r="C85" s="24"/>
      <c r="D85" s="24"/>
      <c r="F85" s="24"/>
      <c r="G85" s="24"/>
      <c r="H85" s="24"/>
      <c r="I85" s="24"/>
      <c r="J85" s="24"/>
      <c r="K85" s="24"/>
      <c r="L85" s="24"/>
      <c r="M85" s="24"/>
    </row>
    <row r="86" spans="3:13" ht="15.75" customHeight="1" x14ac:dyDescent="0.3">
      <c r="C86" s="24"/>
      <c r="D86" s="24"/>
      <c r="F86" s="24"/>
      <c r="G86" s="24"/>
      <c r="H86" s="24"/>
      <c r="I86" s="24"/>
      <c r="J86" s="24"/>
      <c r="K86" s="24"/>
      <c r="L86" s="24"/>
      <c r="M86" s="24"/>
    </row>
    <row r="87" spans="3:13" ht="15.75" customHeight="1" x14ac:dyDescent="0.3">
      <c r="C87" s="24"/>
      <c r="D87" s="24"/>
      <c r="F87" s="24"/>
      <c r="G87" s="24"/>
      <c r="H87" s="24"/>
      <c r="I87" s="24"/>
      <c r="J87" s="24"/>
      <c r="K87" s="24"/>
      <c r="L87" s="24"/>
      <c r="M87" s="24"/>
    </row>
    <row r="88" spans="3:13" ht="15.75" customHeight="1" x14ac:dyDescent="0.3">
      <c r="C88" s="24"/>
      <c r="D88" s="24"/>
      <c r="F88" s="24"/>
      <c r="G88" s="24"/>
      <c r="H88" s="24"/>
      <c r="I88" s="24"/>
      <c r="J88" s="24"/>
      <c r="K88" s="24"/>
      <c r="L88" s="24"/>
      <c r="M88" s="24"/>
    </row>
    <row r="89" spans="3:13" ht="15.75" customHeight="1" x14ac:dyDescent="0.3">
      <c r="C89" s="24"/>
      <c r="D89" s="24"/>
      <c r="F89" s="24"/>
      <c r="G89" s="24"/>
      <c r="H89" s="24"/>
      <c r="I89" s="24"/>
      <c r="J89" s="24"/>
      <c r="K89" s="24"/>
      <c r="L89" s="24"/>
      <c r="M89" s="24"/>
    </row>
    <row r="90" spans="3:13" ht="15.75" customHeight="1" x14ac:dyDescent="0.3">
      <c r="C90" s="24"/>
      <c r="D90" s="24"/>
      <c r="F90" s="24"/>
      <c r="G90" s="24"/>
      <c r="H90" s="24"/>
      <c r="I90" s="24"/>
      <c r="J90" s="24"/>
      <c r="K90" s="24"/>
      <c r="L90" s="24"/>
      <c r="M90" s="24"/>
    </row>
    <row r="91" spans="3:13" ht="15.75" customHeight="1" x14ac:dyDescent="0.3">
      <c r="C91" s="24"/>
      <c r="D91" s="24"/>
      <c r="F91" s="24"/>
      <c r="G91" s="24"/>
      <c r="H91" s="24"/>
      <c r="I91" s="24"/>
      <c r="J91" s="24"/>
      <c r="K91" s="24"/>
      <c r="L91" s="24"/>
      <c r="M91" s="24"/>
    </row>
    <row r="92" spans="3:13" ht="15.75" customHeight="1" x14ac:dyDescent="0.3">
      <c r="C92" s="24"/>
      <c r="D92" s="24"/>
      <c r="F92" s="24"/>
      <c r="G92" s="24"/>
      <c r="H92" s="24"/>
      <c r="I92" s="24"/>
      <c r="J92" s="24"/>
      <c r="K92" s="24"/>
      <c r="L92" s="24"/>
      <c r="M92" s="24"/>
    </row>
    <row r="93" spans="3:13" ht="15.75" customHeight="1" x14ac:dyDescent="0.3">
      <c r="C93" s="24"/>
      <c r="D93" s="24"/>
      <c r="F93" s="24"/>
      <c r="G93" s="24"/>
      <c r="H93" s="24"/>
      <c r="I93" s="24"/>
      <c r="J93" s="24"/>
      <c r="K93" s="24"/>
      <c r="L93" s="24"/>
      <c r="M93" s="24"/>
    </row>
    <row r="94" spans="3:13" ht="15.75" customHeight="1" x14ac:dyDescent="0.3">
      <c r="C94" s="24"/>
      <c r="D94" s="24"/>
      <c r="F94" s="24"/>
      <c r="G94" s="24"/>
      <c r="H94" s="24"/>
      <c r="I94" s="24"/>
      <c r="J94" s="24"/>
      <c r="K94" s="24"/>
      <c r="L94" s="24"/>
      <c r="M94" s="24"/>
    </row>
    <row r="95" spans="3:13" ht="15.75" customHeight="1" x14ac:dyDescent="0.3">
      <c r="C95" s="24"/>
      <c r="D95" s="24"/>
      <c r="F95" s="24"/>
      <c r="G95" s="24"/>
      <c r="H95" s="24"/>
      <c r="I95" s="24"/>
      <c r="J95" s="24"/>
      <c r="K95" s="24"/>
      <c r="L95" s="24"/>
      <c r="M95" s="24"/>
    </row>
    <row r="96" spans="3:13" ht="15.75" customHeight="1" x14ac:dyDescent="0.3">
      <c r="C96" s="24"/>
      <c r="D96" s="24"/>
      <c r="F96" s="24"/>
      <c r="G96" s="24"/>
      <c r="H96" s="24"/>
      <c r="I96" s="24"/>
      <c r="J96" s="24"/>
      <c r="K96" s="24"/>
      <c r="L96" s="24"/>
      <c r="M96" s="24"/>
    </row>
    <row r="97" spans="3:13" ht="15.75" customHeight="1" x14ac:dyDescent="0.3">
      <c r="C97" s="24"/>
      <c r="D97" s="24"/>
      <c r="F97" s="24"/>
      <c r="G97" s="24"/>
      <c r="H97" s="24"/>
      <c r="I97" s="24"/>
      <c r="J97" s="24"/>
      <c r="K97" s="24"/>
      <c r="L97" s="24"/>
      <c r="M97" s="24"/>
    </row>
    <row r="98" spans="3:13" ht="15.75" customHeight="1" x14ac:dyDescent="0.3">
      <c r="C98" s="24"/>
      <c r="D98" s="24"/>
      <c r="F98" s="24"/>
      <c r="G98" s="24"/>
      <c r="H98" s="24"/>
      <c r="I98" s="24"/>
      <c r="J98" s="24"/>
      <c r="K98" s="24"/>
      <c r="L98" s="24"/>
      <c r="M98" s="24"/>
    </row>
    <row r="99" spans="3:13" ht="15.75" customHeight="1" x14ac:dyDescent="0.3">
      <c r="C99" s="24"/>
      <c r="D99" s="24"/>
      <c r="F99" s="24"/>
      <c r="G99" s="24"/>
      <c r="H99" s="24"/>
      <c r="I99" s="24"/>
      <c r="J99" s="24"/>
      <c r="K99" s="24"/>
      <c r="L99" s="24"/>
      <c r="M99" s="24"/>
    </row>
    <row r="100" spans="3:13" ht="15.75" customHeight="1" x14ac:dyDescent="0.3">
      <c r="C100" s="24"/>
      <c r="D100" s="24"/>
      <c r="F100" s="24"/>
      <c r="G100" s="24"/>
      <c r="H100" s="24"/>
      <c r="I100" s="24"/>
      <c r="J100" s="24"/>
      <c r="K100" s="24"/>
      <c r="L100" s="24"/>
      <c r="M100" s="24"/>
    </row>
    <row r="101" spans="3:13" ht="15.75" customHeight="1" x14ac:dyDescent="0.3">
      <c r="C101" s="24"/>
      <c r="D101" s="24"/>
      <c r="F101" s="24"/>
      <c r="G101" s="24"/>
      <c r="H101" s="24"/>
      <c r="I101" s="24"/>
      <c r="J101" s="24"/>
      <c r="K101" s="24"/>
      <c r="L101" s="24"/>
      <c r="M101" s="24"/>
    </row>
    <row r="102" spans="3:13" ht="15.75" customHeight="1" x14ac:dyDescent="0.3">
      <c r="C102" s="24"/>
      <c r="D102" s="24"/>
      <c r="F102" s="24"/>
      <c r="G102" s="24"/>
      <c r="H102" s="24"/>
      <c r="I102" s="24"/>
      <c r="J102" s="24"/>
      <c r="K102" s="24"/>
      <c r="L102" s="24"/>
      <c r="M102" s="24"/>
    </row>
    <row r="103" spans="3:13" ht="15.75" customHeight="1" x14ac:dyDescent="0.3">
      <c r="C103" s="24"/>
      <c r="D103" s="24"/>
      <c r="F103" s="24"/>
      <c r="G103" s="24"/>
      <c r="H103" s="24"/>
      <c r="I103" s="24"/>
      <c r="J103" s="24"/>
      <c r="K103" s="24"/>
      <c r="L103" s="24"/>
      <c r="M103" s="24"/>
    </row>
    <row r="104" spans="3:13" ht="15.75" customHeight="1" x14ac:dyDescent="0.3">
      <c r="C104" s="24"/>
      <c r="D104" s="24"/>
      <c r="F104" s="24"/>
      <c r="G104" s="24"/>
      <c r="H104" s="24"/>
      <c r="I104" s="24"/>
      <c r="J104" s="24"/>
      <c r="K104" s="24"/>
      <c r="L104" s="24"/>
      <c r="M104" s="24"/>
    </row>
    <row r="105" spans="3:13" ht="15.75" customHeight="1" x14ac:dyDescent="0.3">
      <c r="C105" s="24"/>
      <c r="D105" s="24"/>
      <c r="F105" s="24"/>
      <c r="G105" s="24"/>
      <c r="H105" s="24"/>
      <c r="I105" s="24"/>
      <c r="J105" s="24"/>
      <c r="K105" s="24"/>
      <c r="L105" s="24"/>
      <c r="M105" s="24"/>
    </row>
    <row r="106" spans="3:13" ht="15.75" customHeight="1" x14ac:dyDescent="0.3">
      <c r="C106" s="24"/>
      <c r="D106" s="24"/>
      <c r="F106" s="24"/>
      <c r="G106" s="24"/>
      <c r="H106" s="24"/>
      <c r="I106" s="24"/>
      <c r="J106" s="24"/>
      <c r="K106" s="24"/>
      <c r="L106" s="24"/>
      <c r="M106" s="24"/>
    </row>
    <row r="107" spans="3:13" ht="15.75" customHeight="1" x14ac:dyDescent="0.3">
      <c r="C107" s="24"/>
      <c r="D107" s="24"/>
      <c r="F107" s="24"/>
      <c r="G107" s="24"/>
      <c r="H107" s="24"/>
      <c r="I107" s="24"/>
      <c r="J107" s="24"/>
      <c r="K107" s="24"/>
      <c r="L107" s="24"/>
      <c r="M107" s="24"/>
    </row>
    <row r="108" spans="3:13" ht="15.75" customHeight="1" x14ac:dyDescent="0.3">
      <c r="C108" s="24"/>
      <c r="D108" s="24"/>
      <c r="F108" s="24"/>
      <c r="G108" s="24"/>
      <c r="H108" s="24"/>
      <c r="I108" s="24"/>
      <c r="J108" s="24"/>
      <c r="K108" s="24"/>
      <c r="L108" s="24"/>
      <c r="M108" s="24"/>
    </row>
    <row r="109" spans="3:13" ht="15.75" customHeight="1" x14ac:dyDescent="0.3">
      <c r="C109" s="24"/>
      <c r="D109" s="24"/>
      <c r="F109" s="24"/>
      <c r="G109" s="24"/>
      <c r="H109" s="24"/>
      <c r="I109" s="24"/>
      <c r="J109" s="24"/>
      <c r="K109" s="24"/>
      <c r="L109" s="24"/>
      <c r="M109" s="24"/>
    </row>
    <row r="110" spans="3:13" ht="15.75" customHeight="1" x14ac:dyDescent="0.3">
      <c r="C110" s="24"/>
      <c r="D110" s="24"/>
      <c r="F110" s="24"/>
      <c r="G110" s="24"/>
      <c r="H110" s="24"/>
      <c r="I110" s="24"/>
      <c r="J110" s="24"/>
      <c r="K110" s="24"/>
      <c r="L110" s="24"/>
      <c r="M110" s="24"/>
    </row>
    <row r="111" spans="3:13" ht="15.75" customHeight="1" x14ac:dyDescent="0.3">
      <c r="C111" s="24"/>
      <c r="D111" s="24"/>
      <c r="F111" s="24"/>
      <c r="G111" s="24"/>
      <c r="H111" s="24"/>
      <c r="I111" s="24"/>
      <c r="J111" s="24"/>
      <c r="K111" s="24"/>
      <c r="L111" s="24"/>
      <c r="M111" s="24"/>
    </row>
    <row r="112" spans="3:13" ht="15.75" customHeight="1" x14ac:dyDescent="0.3">
      <c r="C112" s="24"/>
      <c r="D112" s="24"/>
      <c r="F112" s="24"/>
      <c r="G112" s="24"/>
      <c r="H112" s="24"/>
      <c r="I112" s="24"/>
      <c r="J112" s="24"/>
      <c r="K112" s="24"/>
      <c r="L112" s="24"/>
      <c r="M112" s="24"/>
    </row>
    <row r="113" spans="3:13" ht="15.75" customHeight="1" x14ac:dyDescent="0.3">
      <c r="C113" s="24"/>
      <c r="D113" s="24"/>
      <c r="F113" s="24"/>
      <c r="G113" s="24"/>
      <c r="H113" s="24"/>
      <c r="I113" s="24"/>
      <c r="J113" s="24"/>
      <c r="K113" s="24"/>
      <c r="L113" s="24"/>
      <c r="M113" s="24"/>
    </row>
    <row r="114" spans="3:13" ht="15.75" customHeight="1" x14ac:dyDescent="0.3">
      <c r="C114" s="24"/>
      <c r="D114" s="24"/>
      <c r="F114" s="24"/>
      <c r="G114" s="24"/>
      <c r="H114" s="24"/>
      <c r="I114" s="24"/>
      <c r="J114" s="24"/>
      <c r="K114" s="24"/>
      <c r="L114" s="24"/>
      <c r="M114" s="24"/>
    </row>
    <row r="115" spans="3:13" ht="15.75" customHeight="1" x14ac:dyDescent="0.3">
      <c r="C115" s="24"/>
      <c r="D115" s="24"/>
      <c r="F115" s="24"/>
      <c r="G115" s="24"/>
      <c r="H115" s="24"/>
      <c r="I115" s="24"/>
      <c r="J115" s="24"/>
      <c r="K115" s="24"/>
      <c r="L115" s="24"/>
      <c r="M115" s="24"/>
    </row>
    <row r="116" spans="3:13" ht="15.75" customHeight="1" x14ac:dyDescent="0.3">
      <c r="C116" s="24"/>
      <c r="D116" s="24"/>
      <c r="F116" s="24"/>
      <c r="G116" s="24"/>
      <c r="H116" s="24"/>
      <c r="I116" s="24"/>
      <c r="J116" s="24"/>
      <c r="K116" s="24"/>
      <c r="L116" s="24"/>
      <c r="M116" s="24"/>
    </row>
    <row r="117" spans="3:13" ht="15.75" customHeight="1" x14ac:dyDescent="0.3">
      <c r="C117" s="24"/>
      <c r="D117" s="24"/>
      <c r="F117" s="24"/>
      <c r="G117" s="24"/>
      <c r="H117" s="24"/>
      <c r="I117" s="24"/>
      <c r="J117" s="24"/>
      <c r="K117" s="24"/>
      <c r="L117" s="24"/>
      <c r="M117" s="24"/>
    </row>
    <row r="118" spans="3:13" ht="15.75" customHeight="1" x14ac:dyDescent="0.3">
      <c r="C118" s="24"/>
      <c r="D118" s="24"/>
      <c r="F118" s="24"/>
      <c r="G118" s="24"/>
      <c r="H118" s="24"/>
      <c r="I118" s="24"/>
      <c r="J118" s="24"/>
      <c r="K118" s="24"/>
      <c r="L118" s="24"/>
      <c r="M118" s="24"/>
    </row>
    <row r="119" spans="3:13" ht="15.75" customHeight="1" x14ac:dyDescent="0.3">
      <c r="C119" s="24"/>
      <c r="D119" s="24"/>
      <c r="F119" s="24"/>
      <c r="G119" s="24"/>
      <c r="H119" s="24"/>
      <c r="I119" s="24"/>
      <c r="J119" s="24"/>
      <c r="K119" s="24"/>
      <c r="L119" s="24"/>
      <c r="M119" s="24"/>
    </row>
    <row r="120" spans="3:13" ht="15.75" customHeight="1" x14ac:dyDescent="0.3">
      <c r="C120" s="24"/>
      <c r="D120" s="24"/>
      <c r="F120" s="24"/>
      <c r="G120" s="24"/>
      <c r="H120" s="24"/>
      <c r="I120" s="24"/>
      <c r="J120" s="24"/>
      <c r="K120" s="24"/>
      <c r="L120" s="24"/>
      <c r="M120" s="24"/>
    </row>
    <row r="121" spans="3:13" ht="15.75" customHeight="1" x14ac:dyDescent="0.3">
      <c r="C121" s="24"/>
      <c r="D121" s="24"/>
      <c r="F121" s="24"/>
      <c r="G121" s="24"/>
      <c r="H121" s="24"/>
      <c r="I121" s="24"/>
      <c r="J121" s="24"/>
      <c r="K121" s="24"/>
      <c r="L121" s="24"/>
      <c r="M121" s="24"/>
    </row>
    <row r="122" spans="3:13" ht="15.75" customHeight="1" x14ac:dyDescent="0.3">
      <c r="C122" s="24"/>
      <c r="D122" s="24"/>
      <c r="F122" s="24"/>
      <c r="G122" s="24"/>
      <c r="H122" s="24"/>
      <c r="I122" s="24"/>
      <c r="J122" s="24"/>
      <c r="K122" s="24"/>
      <c r="L122" s="24"/>
      <c r="M122" s="24"/>
    </row>
    <row r="123" spans="3:13" ht="15.75" customHeight="1" x14ac:dyDescent="0.3">
      <c r="C123" s="24"/>
      <c r="D123" s="24"/>
      <c r="F123" s="24"/>
      <c r="G123" s="24"/>
      <c r="H123" s="24"/>
      <c r="I123" s="24"/>
      <c r="J123" s="24"/>
      <c r="K123" s="24"/>
      <c r="L123" s="24"/>
      <c r="M123" s="24"/>
    </row>
    <row r="124" spans="3:13" ht="15.75" customHeight="1" x14ac:dyDescent="0.3">
      <c r="C124" s="24"/>
      <c r="D124" s="24"/>
      <c r="F124" s="24"/>
      <c r="G124" s="24"/>
      <c r="H124" s="24"/>
      <c r="I124" s="24"/>
      <c r="J124" s="24"/>
      <c r="K124" s="24"/>
      <c r="L124" s="24"/>
      <c r="M124" s="24"/>
    </row>
    <row r="125" spans="3:13" ht="15.75" customHeight="1" x14ac:dyDescent="0.3">
      <c r="C125" s="24"/>
      <c r="D125" s="24"/>
      <c r="F125" s="24"/>
      <c r="G125" s="24"/>
      <c r="H125" s="24"/>
      <c r="I125" s="24"/>
      <c r="J125" s="24"/>
      <c r="K125" s="24"/>
      <c r="L125" s="24"/>
      <c r="M125" s="24"/>
    </row>
    <row r="126" spans="3:13" ht="15.75" customHeight="1" x14ac:dyDescent="0.3">
      <c r="C126" s="24"/>
      <c r="D126" s="24"/>
      <c r="F126" s="24"/>
      <c r="G126" s="24"/>
      <c r="H126" s="24"/>
      <c r="I126" s="24"/>
      <c r="J126" s="24"/>
      <c r="K126" s="24"/>
      <c r="L126" s="24"/>
      <c r="M126" s="24"/>
    </row>
    <row r="127" spans="3:13" ht="15.75" customHeight="1" x14ac:dyDescent="0.3">
      <c r="C127" s="24"/>
      <c r="D127" s="24"/>
      <c r="F127" s="24"/>
      <c r="G127" s="24"/>
      <c r="H127" s="24"/>
      <c r="I127" s="24"/>
      <c r="J127" s="24"/>
      <c r="K127" s="24"/>
      <c r="L127" s="24"/>
      <c r="M127" s="24"/>
    </row>
    <row r="128" spans="3:13" ht="15.75" customHeight="1" x14ac:dyDescent="0.3">
      <c r="C128" s="24"/>
      <c r="D128" s="24"/>
      <c r="F128" s="24"/>
      <c r="G128" s="24"/>
      <c r="H128" s="24"/>
      <c r="I128" s="24"/>
      <c r="J128" s="24"/>
      <c r="K128" s="24"/>
      <c r="L128" s="24"/>
      <c r="M128" s="24"/>
    </row>
    <row r="129" spans="3:13" ht="15.75" customHeight="1" x14ac:dyDescent="0.3">
      <c r="C129" s="24"/>
      <c r="D129" s="24"/>
      <c r="F129" s="24"/>
      <c r="G129" s="24"/>
      <c r="H129" s="24"/>
      <c r="I129" s="24"/>
      <c r="J129" s="24"/>
      <c r="K129" s="24"/>
      <c r="L129" s="24"/>
      <c r="M129" s="24"/>
    </row>
    <row r="130" spans="3:13" ht="15.75" customHeight="1" x14ac:dyDescent="0.3">
      <c r="C130" s="24"/>
      <c r="D130" s="24"/>
      <c r="F130" s="24"/>
      <c r="G130" s="24"/>
      <c r="H130" s="24"/>
      <c r="I130" s="24"/>
      <c r="J130" s="24"/>
      <c r="K130" s="24"/>
      <c r="L130" s="24"/>
      <c r="M130" s="24"/>
    </row>
    <row r="131" spans="3:13" ht="15.75" customHeight="1" x14ac:dyDescent="0.3">
      <c r="C131" s="24"/>
      <c r="D131" s="24"/>
      <c r="F131" s="24"/>
      <c r="G131" s="24"/>
      <c r="H131" s="24"/>
      <c r="I131" s="24"/>
      <c r="J131" s="24"/>
      <c r="K131" s="24"/>
      <c r="L131" s="24"/>
      <c r="M131" s="24"/>
    </row>
    <row r="132" spans="3:13" ht="15.75" customHeight="1" x14ac:dyDescent="0.3">
      <c r="C132" s="24"/>
      <c r="D132" s="24"/>
      <c r="F132" s="24"/>
      <c r="G132" s="24"/>
      <c r="H132" s="24"/>
      <c r="I132" s="24"/>
      <c r="J132" s="24"/>
      <c r="K132" s="24"/>
      <c r="L132" s="24"/>
      <c r="M132" s="24"/>
    </row>
    <row r="133" spans="3:13" ht="15.75" customHeight="1" x14ac:dyDescent="0.3">
      <c r="C133" s="24"/>
      <c r="D133" s="24"/>
      <c r="F133" s="24"/>
      <c r="G133" s="24"/>
      <c r="H133" s="24"/>
      <c r="I133" s="24"/>
      <c r="J133" s="24"/>
      <c r="K133" s="24"/>
      <c r="L133" s="24"/>
      <c r="M133" s="24"/>
    </row>
    <row r="134" spans="3:13" ht="15.75" customHeight="1" x14ac:dyDescent="0.3">
      <c r="C134" s="24"/>
      <c r="D134" s="24"/>
      <c r="F134" s="24"/>
      <c r="G134" s="24"/>
      <c r="H134" s="24"/>
      <c r="I134" s="24"/>
      <c r="J134" s="24"/>
      <c r="K134" s="24"/>
      <c r="L134" s="24"/>
      <c r="M134" s="24"/>
    </row>
    <row r="135" spans="3:13" ht="15.75" customHeight="1" x14ac:dyDescent="0.3">
      <c r="C135" s="24"/>
      <c r="D135" s="24"/>
      <c r="F135" s="24"/>
      <c r="G135" s="24"/>
      <c r="H135" s="24"/>
      <c r="I135" s="24"/>
      <c r="J135" s="24"/>
      <c r="K135" s="24"/>
      <c r="L135" s="24"/>
      <c r="M135" s="24"/>
    </row>
    <row r="136" spans="3:13" ht="15.75" customHeight="1" x14ac:dyDescent="0.3">
      <c r="C136" s="24"/>
      <c r="D136" s="24"/>
      <c r="F136" s="24"/>
      <c r="G136" s="24"/>
      <c r="H136" s="24"/>
      <c r="I136" s="24"/>
      <c r="J136" s="24"/>
      <c r="K136" s="24"/>
      <c r="L136" s="24"/>
      <c r="M136" s="24"/>
    </row>
    <row r="137" spans="3:13" ht="15.75" customHeight="1" x14ac:dyDescent="0.3">
      <c r="C137" s="24"/>
      <c r="D137" s="24"/>
      <c r="F137" s="24"/>
      <c r="G137" s="24"/>
      <c r="H137" s="24"/>
      <c r="I137" s="24"/>
      <c r="J137" s="24"/>
      <c r="K137" s="24"/>
      <c r="L137" s="24"/>
      <c r="M137" s="24"/>
    </row>
    <row r="138" spans="3:13" ht="15.75" customHeight="1" x14ac:dyDescent="0.3">
      <c r="C138" s="24"/>
      <c r="D138" s="24"/>
      <c r="F138" s="24"/>
      <c r="G138" s="24"/>
      <c r="H138" s="24"/>
      <c r="I138" s="24"/>
      <c r="J138" s="24"/>
      <c r="K138" s="24"/>
      <c r="L138" s="24"/>
      <c r="M138" s="24"/>
    </row>
    <row r="139" spans="3:13" ht="15.75" customHeight="1" x14ac:dyDescent="0.3">
      <c r="C139" s="24"/>
      <c r="D139" s="24"/>
      <c r="F139" s="24"/>
      <c r="G139" s="24"/>
      <c r="H139" s="24"/>
      <c r="I139" s="24"/>
      <c r="J139" s="24"/>
      <c r="K139" s="24"/>
      <c r="L139" s="24"/>
      <c r="M139" s="24"/>
    </row>
    <row r="140" spans="3:13" ht="15.75" customHeight="1" x14ac:dyDescent="0.3">
      <c r="C140" s="24"/>
      <c r="D140" s="24"/>
      <c r="F140" s="24"/>
      <c r="G140" s="24"/>
      <c r="H140" s="24"/>
      <c r="I140" s="24"/>
      <c r="J140" s="24"/>
      <c r="K140" s="24"/>
      <c r="L140" s="24"/>
      <c r="M140" s="24"/>
    </row>
    <row r="141" spans="3:13" ht="15.75" customHeight="1" x14ac:dyDescent="0.3">
      <c r="C141" s="24"/>
      <c r="D141" s="24"/>
      <c r="F141" s="24"/>
      <c r="G141" s="24"/>
      <c r="H141" s="24"/>
      <c r="I141" s="24"/>
      <c r="J141" s="24"/>
      <c r="K141" s="24"/>
      <c r="L141" s="24"/>
      <c r="M141" s="24"/>
    </row>
    <row r="142" spans="3:13" ht="15.75" customHeight="1" x14ac:dyDescent="0.3">
      <c r="C142" s="24"/>
      <c r="D142" s="24"/>
      <c r="F142" s="24"/>
      <c r="G142" s="24"/>
      <c r="H142" s="24"/>
      <c r="I142" s="24"/>
      <c r="J142" s="24"/>
      <c r="K142" s="24"/>
      <c r="L142" s="24"/>
      <c r="M142" s="24"/>
    </row>
    <row r="143" spans="3:13" ht="15.75" customHeight="1" x14ac:dyDescent="0.3">
      <c r="C143" s="24"/>
      <c r="D143" s="24"/>
      <c r="F143" s="24"/>
      <c r="G143" s="24"/>
      <c r="H143" s="24"/>
      <c r="I143" s="24"/>
      <c r="J143" s="24"/>
      <c r="K143" s="24"/>
      <c r="L143" s="24"/>
      <c r="M143" s="24"/>
    </row>
    <row r="144" spans="3:13" ht="15.75" customHeight="1" x14ac:dyDescent="0.3">
      <c r="C144" s="24"/>
      <c r="D144" s="24"/>
      <c r="F144" s="24"/>
      <c r="G144" s="24"/>
      <c r="H144" s="24"/>
      <c r="I144" s="24"/>
      <c r="J144" s="24"/>
      <c r="K144" s="24"/>
      <c r="L144" s="24"/>
      <c r="M144" s="24"/>
    </row>
    <row r="145" spans="3:13" ht="15.75" customHeight="1" x14ac:dyDescent="0.3">
      <c r="C145" s="24"/>
      <c r="D145" s="24"/>
      <c r="F145" s="24"/>
      <c r="G145" s="24"/>
      <c r="H145" s="24"/>
      <c r="I145" s="24"/>
      <c r="J145" s="24"/>
      <c r="K145" s="24"/>
      <c r="L145" s="24"/>
      <c r="M145" s="24"/>
    </row>
    <row r="146" spans="3:13" ht="15.75" customHeight="1" x14ac:dyDescent="0.3">
      <c r="C146" s="24"/>
      <c r="D146" s="24"/>
      <c r="F146" s="24"/>
      <c r="G146" s="24"/>
      <c r="H146" s="24"/>
      <c r="I146" s="24"/>
      <c r="J146" s="24"/>
      <c r="K146" s="24"/>
      <c r="L146" s="24"/>
      <c r="M146" s="24"/>
    </row>
    <row r="147" spans="3:13" ht="15.75" customHeight="1" x14ac:dyDescent="0.3">
      <c r="C147" s="24"/>
      <c r="D147" s="24"/>
      <c r="F147" s="24"/>
      <c r="G147" s="24"/>
      <c r="H147" s="24"/>
      <c r="I147" s="24"/>
      <c r="J147" s="24"/>
      <c r="K147" s="24"/>
      <c r="L147" s="24"/>
      <c r="M147" s="24"/>
    </row>
    <row r="148" spans="3:13" ht="15.75" customHeight="1" x14ac:dyDescent="0.3">
      <c r="C148" s="24"/>
      <c r="D148" s="24"/>
      <c r="F148" s="24"/>
      <c r="G148" s="24"/>
      <c r="H148" s="24"/>
      <c r="I148" s="24"/>
      <c r="J148" s="24"/>
      <c r="K148" s="24"/>
      <c r="L148" s="24"/>
      <c r="M148" s="24"/>
    </row>
    <row r="149" spans="3:13" ht="15.75" customHeight="1" x14ac:dyDescent="0.3">
      <c r="C149" s="24"/>
      <c r="D149" s="24"/>
      <c r="F149" s="24"/>
      <c r="G149" s="24"/>
      <c r="H149" s="24"/>
      <c r="I149" s="24"/>
      <c r="J149" s="24"/>
      <c r="K149" s="24"/>
      <c r="L149" s="24"/>
      <c r="M149" s="24"/>
    </row>
    <row r="150" spans="3:13" ht="15.75" customHeight="1" x14ac:dyDescent="0.3">
      <c r="C150" s="24"/>
      <c r="D150" s="24"/>
      <c r="F150" s="24"/>
      <c r="G150" s="24"/>
      <c r="H150" s="24"/>
      <c r="I150" s="24"/>
      <c r="J150" s="24"/>
      <c r="K150" s="24"/>
      <c r="L150" s="24"/>
      <c r="M150" s="24"/>
    </row>
    <row r="151" spans="3:13" ht="15.75" customHeight="1" x14ac:dyDescent="0.3">
      <c r="C151" s="24"/>
      <c r="D151" s="24"/>
      <c r="F151" s="24"/>
      <c r="G151" s="24"/>
      <c r="H151" s="24"/>
      <c r="I151" s="24"/>
      <c r="J151" s="24"/>
      <c r="K151" s="24"/>
      <c r="L151" s="24"/>
      <c r="M151" s="24"/>
    </row>
    <row r="152" spans="3:13" ht="15.75" customHeight="1" x14ac:dyDescent="0.3">
      <c r="C152" s="24"/>
      <c r="D152" s="24"/>
      <c r="F152" s="24"/>
      <c r="G152" s="24"/>
      <c r="H152" s="24"/>
      <c r="I152" s="24"/>
      <c r="J152" s="24"/>
      <c r="K152" s="24"/>
      <c r="L152" s="24"/>
      <c r="M152" s="24"/>
    </row>
    <row r="153" spans="3:13" ht="15.75" customHeight="1" x14ac:dyDescent="0.3">
      <c r="C153" s="24"/>
      <c r="D153" s="24"/>
      <c r="F153" s="24"/>
      <c r="G153" s="24"/>
      <c r="H153" s="24"/>
      <c r="I153" s="24"/>
      <c r="J153" s="24"/>
      <c r="K153" s="24"/>
      <c r="L153" s="24"/>
      <c r="M153" s="24"/>
    </row>
    <row r="154" spans="3:13" ht="15.75" customHeight="1" x14ac:dyDescent="0.3">
      <c r="C154" s="24"/>
      <c r="D154" s="24"/>
      <c r="F154" s="24"/>
      <c r="G154" s="24"/>
      <c r="H154" s="24"/>
      <c r="I154" s="24"/>
      <c r="J154" s="24"/>
      <c r="K154" s="24"/>
      <c r="L154" s="24"/>
      <c r="M154" s="24"/>
    </row>
    <row r="155" spans="3:13" ht="15.75" customHeight="1" x14ac:dyDescent="0.3">
      <c r="C155" s="24"/>
      <c r="D155" s="24"/>
      <c r="F155" s="24"/>
      <c r="G155" s="24"/>
      <c r="H155" s="24"/>
      <c r="I155" s="24"/>
      <c r="J155" s="24"/>
      <c r="K155" s="24"/>
      <c r="L155" s="24"/>
      <c r="M155" s="24"/>
    </row>
    <row r="156" spans="3:13" ht="15.75" customHeight="1" x14ac:dyDescent="0.3">
      <c r="C156" s="24"/>
      <c r="D156" s="24"/>
      <c r="F156" s="24"/>
      <c r="G156" s="24"/>
      <c r="H156" s="24"/>
      <c r="I156" s="24"/>
      <c r="J156" s="24"/>
      <c r="K156" s="24"/>
      <c r="L156" s="24"/>
      <c r="M156" s="24"/>
    </row>
    <row r="157" spans="3:13" ht="15.75" customHeight="1" x14ac:dyDescent="0.3">
      <c r="C157" s="24"/>
      <c r="D157" s="24"/>
      <c r="F157" s="24"/>
      <c r="G157" s="24"/>
      <c r="H157" s="24"/>
      <c r="I157" s="24"/>
      <c r="J157" s="24"/>
      <c r="K157" s="24"/>
      <c r="L157" s="24"/>
      <c r="M157" s="24"/>
    </row>
    <row r="158" spans="3:13" ht="15.75" customHeight="1" x14ac:dyDescent="0.3">
      <c r="C158" s="24"/>
      <c r="D158" s="24"/>
      <c r="F158" s="24"/>
      <c r="G158" s="24"/>
      <c r="H158" s="24"/>
      <c r="I158" s="24"/>
      <c r="J158" s="24"/>
      <c r="K158" s="24"/>
      <c r="L158" s="24"/>
      <c r="M158" s="24"/>
    </row>
    <row r="159" spans="3:13" ht="15.75" customHeight="1" x14ac:dyDescent="0.3">
      <c r="C159" s="24"/>
      <c r="D159" s="24"/>
      <c r="F159" s="24"/>
      <c r="G159" s="24"/>
      <c r="H159" s="24"/>
      <c r="I159" s="24"/>
      <c r="J159" s="24"/>
      <c r="K159" s="24"/>
      <c r="L159" s="24"/>
      <c r="M159" s="24"/>
    </row>
    <row r="160" spans="3:13" ht="15.75" customHeight="1" x14ac:dyDescent="0.3">
      <c r="C160" s="24"/>
      <c r="D160" s="24"/>
      <c r="F160" s="24"/>
      <c r="G160" s="24"/>
      <c r="H160" s="24"/>
      <c r="I160" s="24"/>
      <c r="J160" s="24"/>
      <c r="K160" s="24"/>
      <c r="L160" s="24"/>
      <c r="M160" s="24"/>
    </row>
    <row r="161" spans="3:13" ht="15.75" customHeight="1" x14ac:dyDescent="0.3">
      <c r="C161" s="24"/>
      <c r="D161" s="24"/>
      <c r="F161" s="24"/>
      <c r="G161" s="24"/>
      <c r="H161" s="24"/>
      <c r="I161" s="24"/>
      <c r="J161" s="24"/>
      <c r="K161" s="24"/>
      <c r="L161" s="24"/>
      <c r="M161" s="24"/>
    </row>
    <row r="162" spans="3:13" ht="15.75" customHeight="1" x14ac:dyDescent="0.3">
      <c r="C162" s="24"/>
      <c r="D162" s="24"/>
      <c r="F162" s="24"/>
      <c r="G162" s="24"/>
      <c r="H162" s="24"/>
      <c r="I162" s="24"/>
      <c r="J162" s="24"/>
      <c r="K162" s="24"/>
      <c r="L162" s="24"/>
      <c r="M162" s="24"/>
    </row>
    <row r="163" spans="3:13" ht="15.75" customHeight="1" x14ac:dyDescent="0.3">
      <c r="C163" s="24"/>
      <c r="D163" s="24"/>
      <c r="F163" s="24"/>
      <c r="G163" s="24"/>
      <c r="H163" s="24"/>
      <c r="I163" s="24"/>
      <c r="J163" s="24"/>
      <c r="K163" s="24"/>
      <c r="L163" s="24"/>
      <c r="M163" s="24"/>
    </row>
    <row r="164" spans="3:13" ht="15.75" customHeight="1" x14ac:dyDescent="0.3">
      <c r="C164" s="24"/>
      <c r="D164" s="24"/>
      <c r="F164" s="24"/>
      <c r="G164" s="24"/>
      <c r="H164" s="24"/>
      <c r="I164" s="24"/>
      <c r="J164" s="24"/>
      <c r="K164" s="24"/>
      <c r="L164" s="24"/>
      <c r="M164" s="24"/>
    </row>
    <row r="165" spans="3:13" ht="15.75" customHeight="1" x14ac:dyDescent="0.3">
      <c r="C165" s="24"/>
      <c r="D165" s="24"/>
      <c r="F165" s="24"/>
      <c r="G165" s="24"/>
      <c r="H165" s="24"/>
      <c r="I165" s="24"/>
      <c r="J165" s="24"/>
      <c r="K165" s="24"/>
      <c r="L165" s="24"/>
      <c r="M165" s="24"/>
    </row>
    <row r="166" spans="3:13" ht="15.75" customHeight="1" x14ac:dyDescent="0.3">
      <c r="C166" s="24"/>
      <c r="D166" s="24"/>
      <c r="F166" s="24"/>
      <c r="G166" s="24"/>
      <c r="H166" s="24"/>
      <c r="I166" s="24"/>
      <c r="J166" s="24"/>
      <c r="K166" s="24"/>
      <c r="L166" s="24"/>
      <c r="M166" s="24"/>
    </row>
    <row r="167" spans="3:13" ht="15.75" customHeight="1" x14ac:dyDescent="0.3">
      <c r="C167" s="24"/>
      <c r="D167" s="24"/>
      <c r="F167" s="24"/>
      <c r="G167" s="24"/>
      <c r="H167" s="24"/>
      <c r="I167" s="24"/>
      <c r="J167" s="24"/>
      <c r="K167" s="24"/>
      <c r="L167" s="24"/>
      <c r="M167" s="24"/>
    </row>
    <row r="168" spans="3:13" ht="15.75" customHeight="1" x14ac:dyDescent="0.3">
      <c r="C168" s="24"/>
      <c r="D168" s="24"/>
      <c r="F168" s="24"/>
      <c r="G168" s="24"/>
      <c r="H168" s="24"/>
      <c r="I168" s="24"/>
      <c r="J168" s="24"/>
      <c r="K168" s="24"/>
      <c r="L168" s="24"/>
      <c r="M168" s="24"/>
    </row>
    <row r="169" spans="3:13" ht="15.75" customHeight="1" x14ac:dyDescent="0.3">
      <c r="C169" s="24"/>
      <c r="D169" s="24"/>
      <c r="F169" s="24"/>
      <c r="G169" s="24"/>
      <c r="H169" s="24"/>
      <c r="I169" s="24"/>
      <c r="J169" s="24"/>
      <c r="K169" s="24"/>
      <c r="L169" s="24"/>
      <c r="M169" s="24"/>
    </row>
    <row r="170" spans="3:13" ht="15.75" customHeight="1" x14ac:dyDescent="0.3">
      <c r="C170" s="24"/>
      <c r="D170" s="24"/>
      <c r="F170" s="24"/>
      <c r="G170" s="24"/>
      <c r="H170" s="24"/>
      <c r="I170" s="24"/>
      <c r="J170" s="24"/>
      <c r="K170" s="24"/>
      <c r="L170" s="24"/>
      <c r="M170" s="24"/>
    </row>
    <row r="171" spans="3:13" ht="15.75" customHeight="1" x14ac:dyDescent="0.3">
      <c r="C171" s="24"/>
      <c r="D171" s="24"/>
      <c r="F171" s="24"/>
      <c r="G171" s="24"/>
      <c r="H171" s="24"/>
      <c r="I171" s="24"/>
      <c r="J171" s="24"/>
      <c r="K171" s="24"/>
      <c r="L171" s="24"/>
      <c r="M171" s="24"/>
    </row>
    <row r="172" spans="3:13" ht="15.75" customHeight="1" x14ac:dyDescent="0.3">
      <c r="C172" s="24"/>
      <c r="D172" s="24"/>
      <c r="F172" s="24"/>
      <c r="G172" s="24"/>
      <c r="H172" s="24"/>
      <c r="I172" s="24"/>
      <c r="J172" s="24"/>
      <c r="K172" s="24"/>
      <c r="L172" s="24"/>
      <c r="M172" s="24"/>
    </row>
    <row r="173" spans="3:13" ht="15.75" customHeight="1" x14ac:dyDescent="0.3">
      <c r="C173" s="24"/>
      <c r="D173" s="24"/>
      <c r="F173" s="24"/>
      <c r="G173" s="24"/>
      <c r="H173" s="24"/>
      <c r="I173" s="24"/>
      <c r="J173" s="24"/>
      <c r="K173" s="24"/>
      <c r="L173" s="24"/>
      <c r="M173" s="24"/>
    </row>
    <row r="174" spans="3:13" ht="15.75" customHeight="1" x14ac:dyDescent="0.3">
      <c r="C174" s="24"/>
      <c r="D174" s="24"/>
      <c r="F174" s="24"/>
      <c r="G174" s="24"/>
      <c r="H174" s="24"/>
      <c r="I174" s="24"/>
      <c r="J174" s="24"/>
      <c r="K174" s="24"/>
      <c r="L174" s="24"/>
      <c r="M174" s="24"/>
    </row>
    <row r="175" spans="3:13" ht="15.75" customHeight="1" x14ac:dyDescent="0.3">
      <c r="C175" s="24"/>
      <c r="D175" s="24"/>
      <c r="F175" s="24"/>
      <c r="G175" s="24"/>
      <c r="H175" s="24"/>
      <c r="I175" s="24"/>
      <c r="J175" s="24"/>
      <c r="K175" s="24"/>
      <c r="L175" s="24"/>
      <c r="M175" s="24"/>
    </row>
    <row r="176" spans="3:13" ht="15.75" customHeight="1" x14ac:dyDescent="0.3">
      <c r="C176" s="24"/>
      <c r="D176" s="24"/>
      <c r="F176" s="24"/>
      <c r="G176" s="24"/>
      <c r="H176" s="24"/>
      <c r="I176" s="24"/>
      <c r="J176" s="24"/>
      <c r="K176" s="24"/>
      <c r="L176" s="24"/>
      <c r="M176" s="24"/>
    </row>
    <row r="177" spans="3:13" ht="15.75" customHeight="1" x14ac:dyDescent="0.3">
      <c r="C177" s="24"/>
      <c r="D177" s="24"/>
      <c r="F177" s="24"/>
      <c r="G177" s="24"/>
      <c r="H177" s="24"/>
      <c r="I177" s="24"/>
      <c r="J177" s="24"/>
      <c r="K177" s="24"/>
      <c r="L177" s="24"/>
      <c r="M177" s="24"/>
    </row>
    <row r="178" spans="3:13" ht="15.75" customHeight="1" x14ac:dyDescent="0.3">
      <c r="C178" s="24"/>
      <c r="D178" s="24"/>
      <c r="F178" s="24"/>
      <c r="G178" s="24"/>
      <c r="H178" s="24"/>
      <c r="I178" s="24"/>
      <c r="J178" s="24"/>
      <c r="K178" s="24"/>
      <c r="L178" s="24"/>
      <c r="M178" s="24"/>
    </row>
    <row r="179" spans="3:13" ht="15.75" customHeight="1" x14ac:dyDescent="0.3">
      <c r="C179" s="24"/>
      <c r="D179" s="24"/>
      <c r="F179" s="24"/>
      <c r="G179" s="24"/>
      <c r="H179" s="24"/>
      <c r="I179" s="24"/>
      <c r="J179" s="24"/>
      <c r="K179" s="24"/>
      <c r="L179" s="24"/>
      <c r="M179" s="24"/>
    </row>
    <row r="180" spans="3:13" ht="15.75" customHeight="1" x14ac:dyDescent="0.3">
      <c r="C180" s="24"/>
      <c r="D180" s="24"/>
      <c r="F180" s="24"/>
      <c r="G180" s="24"/>
      <c r="H180" s="24"/>
      <c r="I180" s="24"/>
      <c r="J180" s="24"/>
      <c r="K180" s="24"/>
      <c r="L180" s="24"/>
      <c r="M180" s="24"/>
    </row>
    <row r="181" spans="3:13" ht="15.75" customHeight="1" x14ac:dyDescent="0.3">
      <c r="C181" s="24"/>
      <c r="D181" s="24"/>
      <c r="F181" s="24"/>
      <c r="G181" s="24"/>
      <c r="H181" s="24"/>
      <c r="I181" s="24"/>
      <c r="J181" s="24"/>
      <c r="K181" s="24"/>
      <c r="L181" s="24"/>
      <c r="M181" s="24"/>
    </row>
    <row r="182" spans="3:13" ht="15.75" customHeight="1" x14ac:dyDescent="0.3">
      <c r="C182" s="24"/>
      <c r="D182" s="24"/>
      <c r="F182" s="24"/>
      <c r="G182" s="24"/>
      <c r="H182" s="24"/>
      <c r="I182" s="24"/>
      <c r="J182" s="24"/>
      <c r="K182" s="24"/>
      <c r="L182" s="24"/>
      <c r="M182" s="24"/>
    </row>
    <row r="183" spans="3:13" ht="15.75" customHeight="1" x14ac:dyDescent="0.3">
      <c r="C183" s="24"/>
      <c r="D183" s="24"/>
      <c r="F183" s="24"/>
      <c r="G183" s="24"/>
      <c r="H183" s="24"/>
      <c r="I183" s="24"/>
      <c r="J183" s="24"/>
      <c r="K183" s="24"/>
      <c r="L183" s="24"/>
      <c r="M183" s="24"/>
    </row>
    <row r="184" spans="3:13" ht="15.75" customHeight="1" x14ac:dyDescent="0.3">
      <c r="C184" s="24"/>
      <c r="D184" s="24"/>
      <c r="F184" s="24"/>
      <c r="G184" s="24"/>
      <c r="H184" s="24"/>
      <c r="I184" s="24"/>
      <c r="J184" s="24"/>
      <c r="K184" s="24"/>
      <c r="L184" s="24"/>
      <c r="M184" s="24"/>
    </row>
    <row r="185" spans="3:13" ht="15.75" customHeight="1" x14ac:dyDescent="0.3">
      <c r="C185" s="24"/>
      <c r="D185" s="24"/>
      <c r="F185" s="24"/>
      <c r="G185" s="24"/>
      <c r="H185" s="24"/>
      <c r="I185" s="24"/>
      <c r="J185" s="24"/>
      <c r="K185" s="24"/>
      <c r="L185" s="24"/>
      <c r="M185" s="24"/>
    </row>
    <row r="186" spans="3:13" ht="15.75" customHeight="1" x14ac:dyDescent="0.3">
      <c r="C186" s="24"/>
      <c r="D186" s="24"/>
      <c r="F186" s="24"/>
      <c r="G186" s="24"/>
      <c r="H186" s="24"/>
      <c r="I186" s="24"/>
      <c r="J186" s="24"/>
      <c r="K186" s="24"/>
      <c r="L186" s="24"/>
      <c r="M186" s="24"/>
    </row>
    <row r="187" spans="3:13" ht="15.75" customHeight="1" x14ac:dyDescent="0.3">
      <c r="C187" s="24"/>
      <c r="D187" s="24"/>
      <c r="F187" s="24"/>
      <c r="G187" s="24"/>
      <c r="H187" s="24"/>
      <c r="I187" s="24"/>
      <c r="J187" s="24"/>
      <c r="K187" s="24"/>
      <c r="L187" s="24"/>
      <c r="M187" s="24"/>
    </row>
    <row r="188" spans="3:13" ht="15.75" customHeight="1" x14ac:dyDescent="0.3">
      <c r="C188" s="24"/>
      <c r="D188" s="24"/>
      <c r="F188" s="24"/>
      <c r="G188" s="24"/>
      <c r="H188" s="24"/>
      <c r="I188" s="24"/>
      <c r="J188" s="24"/>
      <c r="K188" s="24"/>
      <c r="L188" s="24"/>
      <c r="M188" s="24"/>
    </row>
    <row r="189" spans="3:13" ht="15.75" customHeight="1" x14ac:dyDescent="0.3">
      <c r="C189" s="24"/>
      <c r="D189" s="24"/>
      <c r="F189" s="24"/>
      <c r="G189" s="24"/>
      <c r="H189" s="24"/>
      <c r="I189" s="24"/>
      <c r="J189" s="24"/>
      <c r="K189" s="24"/>
      <c r="L189" s="24"/>
      <c r="M189" s="24"/>
    </row>
    <row r="190" spans="3:13" ht="15.75" customHeight="1" x14ac:dyDescent="0.3">
      <c r="C190" s="24"/>
      <c r="D190" s="24"/>
      <c r="F190" s="24"/>
      <c r="G190" s="24"/>
      <c r="H190" s="24"/>
      <c r="I190" s="24"/>
      <c r="J190" s="24"/>
      <c r="K190" s="24"/>
      <c r="L190" s="24"/>
      <c r="M190" s="24"/>
    </row>
    <row r="191" spans="3:13" ht="15.75" customHeight="1" x14ac:dyDescent="0.3">
      <c r="C191" s="24"/>
      <c r="D191" s="24"/>
      <c r="F191" s="24"/>
      <c r="G191" s="24"/>
      <c r="H191" s="24"/>
      <c r="I191" s="24"/>
      <c r="J191" s="24"/>
      <c r="K191" s="24"/>
      <c r="L191" s="24"/>
      <c r="M191" s="24"/>
    </row>
    <row r="192" spans="3:13" ht="15.75" customHeight="1" x14ac:dyDescent="0.3">
      <c r="C192" s="24"/>
      <c r="D192" s="24"/>
      <c r="F192" s="24"/>
      <c r="G192" s="24"/>
      <c r="H192" s="24"/>
      <c r="I192" s="24"/>
      <c r="J192" s="24"/>
      <c r="K192" s="24"/>
      <c r="L192" s="24"/>
      <c r="M192" s="24"/>
    </row>
    <row r="193" spans="3:13" ht="15.75" customHeight="1" x14ac:dyDescent="0.3">
      <c r="C193" s="24"/>
      <c r="D193" s="24"/>
      <c r="F193" s="24"/>
      <c r="G193" s="24"/>
      <c r="H193" s="24"/>
      <c r="I193" s="24"/>
      <c r="J193" s="24"/>
      <c r="K193" s="24"/>
      <c r="L193" s="24"/>
      <c r="M193" s="24"/>
    </row>
    <row r="194" spans="3:13" ht="15.75" customHeight="1" x14ac:dyDescent="0.3">
      <c r="C194" s="24"/>
      <c r="D194" s="24"/>
      <c r="F194" s="24"/>
      <c r="G194" s="24"/>
      <c r="H194" s="24"/>
      <c r="I194" s="24"/>
      <c r="J194" s="24"/>
      <c r="K194" s="24"/>
      <c r="L194" s="24"/>
      <c r="M194" s="24"/>
    </row>
    <row r="195" spans="3:13" ht="15.75" customHeight="1" x14ac:dyDescent="0.3">
      <c r="C195" s="24"/>
      <c r="D195" s="24"/>
      <c r="F195" s="24"/>
      <c r="G195" s="24"/>
      <c r="H195" s="24"/>
      <c r="I195" s="24"/>
      <c r="J195" s="24"/>
      <c r="K195" s="24"/>
      <c r="L195" s="24"/>
      <c r="M195" s="24"/>
    </row>
    <row r="196" spans="3:13" ht="15.75" customHeight="1" x14ac:dyDescent="0.3">
      <c r="C196" s="24"/>
      <c r="D196" s="24"/>
      <c r="F196" s="24"/>
      <c r="G196" s="24"/>
      <c r="H196" s="24"/>
      <c r="I196" s="24"/>
      <c r="J196" s="24"/>
      <c r="K196" s="24"/>
      <c r="L196" s="24"/>
      <c r="M196" s="24"/>
    </row>
    <row r="197" spans="3:13" ht="15.75" customHeight="1" x14ac:dyDescent="0.3">
      <c r="C197" s="24"/>
      <c r="D197" s="24"/>
      <c r="F197" s="24"/>
      <c r="G197" s="24"/>
      <c r="H197" s="24"/>
      <c r="I197" s="24"/>
      <c r="J197" s="24"/>
      <c r="K197" s="24"/>
      <c r="L197" s="24"/>
      <c r="M197" s="24"/>
    </row>
    <row r="198" spans="3:13" ht="15.75" customHeight="1" x14ac:dyDescent="0.3">
      <c r="C198" s="24"/>
      <c r="D198" s="24"/>
      <c r="F198" s="24"/>
      <c r="G198" s="24"/>
      <c r="H198" s="24"/>
      <c r="I198" s="24"/>
      <c r="J198" s="24"/>
      <c r="K198" s="24"/>
      <c r="L198" s="24"/>
      <c r="M198" s="24"/>
    </row>
    <row r="199" spans="3:13" ht="15.75" customHeight="1" x14ac:dyDescent="0.3">
      <c r="C199" s="24"/>
      <c r="D199" s="24"/>
      <c r="F199" s="24"/>
      <c r="G199" s="24"/>
      <c r="H199" s="24"/>
      <c r="I199" s="24"/>
      <c r="J199" s="24"/>
      <c r="K199" s="24"/>
      <c r="L199" s="24"/>
      <c r="M199" s="24"/>
    </row>
    <row r="200" spans="3:13" ht="15.75" customHeight="1" x14ac:dyDescent="0.3">
      <c r="C200" s="24"/>
      <c r="D200" s="24"/>
      <c r="F200" s="24"/>
      <c r="G200" s="24"/>
      <c r="H200" s="24"/>
      <c r="I200" s="24"/>
      <c r="J200" s="24"/>
      <c r="K200" s="24"/>
      <c r="L200" s="24"/>
      <c r="M200" s="24"/>
    </row>
    <row r="201" spans="3:13" ht="15.75" customHeight="1" x14ac:dyDescent="0.3">
      <c r="C201" s="24"/>
      <c r="D201" s="24"/>
      <c r="F201" s="24"/>
      <c r="G201" s="24"/>
      <c r="H201" s="24"/>
      <c r="I201" s="24"/>
      <c r="J201" s="24"/>
      <c r="K201" s="24"/>
      <c r="L201" s="24"/>
      <c r="M201" s="24"/>
    </row>
    <row r="202" spans="3:13" ht="15.75" customHeight="1" x14ac:dyDescent="0.3">
      <c r="C202" s="24"/>
      <c r="D202" s="24"/>
      <c r="F202" s="24"/>
      <c r="G202" s="24"/>
      <c r="H202" s="24"/>
      <c r="I202" s="24"/>
      <c r="J202" s="24"/>
      <c r="K202" s="24"/>
      <c r="L202" s="24"/>
      <c r="M202" s="24"/>
    </row>
    <row r="203" spans="3:13" ht="15.75" customHeight="1" x14ac:dyDescent="0.3">
      <c r="C203" s="24"/>
      <c r="D203" s="24"/>
      <c r="F203" s="24"/>
      <c r="G203" s="24"/>
      <c r="H203" s="24"/>
      <c r="I203" s="24"/>
      <c r="J203" s="24"/>
      <c r="K203" s="24"/>
      <c r="L203" s="24"/>
      <c r="M203" s="24"/>
    </row>
    <row r="204" spans="3:13" ht="15.75" customHeight="1" x14ac:dyDescent="0.3">
      <c r="C204" s="24"/>
      <c r="D204" s="24"/>
      <c r="F204" s="24"/>
      <c r="G204" s="24"/>
      <c r="H204" s="24"/>
      <c r="I204" s="24"/>
      <c r="J204" s="24"/>
      <c r="K204" s="24"/>
      <c r="L204" s="24"/>
      <c r="M204" s="24"/>
    </row>
    <row r="205" spans="3:13" ht="15.75" customHeight="1" x14ac:dyDescent="0.3">
      <c r="C205" s="24"/>
      <c r="D205" s="24"/>
      <c r="F205" s="24"/>
      <c r="G205" s="24"/>
      <c r="H205" s="24"/>
      <c r="I205" s="24"/>
      <c r="J205" s="24"/>
      <c r="K205" s="24"/>
      <c r="L205" s="24"/>
      <c r="M205" s="24"/>
    </row>
    <row r="206" spans="3:13" ht="15.75" customHeight="1" x14ac:dyDescent="0.3">
      <c r="C206" s="24"/>
      <c r="D206" s="24"/>
      <c r="F206" s="24"/>
      <c r="G206" s="24"/>
      <c r="H206" s="24"/>
      <c r="I206" s="24"/>
      <c r="J206" s="24"/>
      <c r="K206" s="24"/>
      <c r="L206" s="24"/>
      <c r="M206" s="24"/>
    </row>
    <row r="207" spans="3:13" ht="15.75" customHeight="1" x14ac:dyDescent="0.3">
      <c r="C207" s="24"/>
      <c r="D207" s="24"/>
      <c r="F207" s="24"/>
      <c r="G207" s="24"/>
      <c r="H207" s="24"/>
      <c r="I207" s="24"/>
      <c r="J207" s="24"/>
      <c r="K207" s="24"/>
      <c r="L207" s="24"/>
      <c r="M207" s="24"/>
    </row>
    <row r="208" spans="3:13" ht="15.75" customHeight="1" x14ac:dyDescent="0.3">
      <c r="C208" s="24"/>
      <c r="D208" s="24"/>
      <c r="F208" s="24"/>
      <c r="G208" s="24"/>
      <c r="H208" s="24"/>
      <c r="I208" s="24"/>
      <c r="J208" s="24"/>
      <c r="K208" s="24"/>
      <c r="L208" s="24"/>
      <c r="M208" s="24"/>
    </row>
    <row r="209" spans="3:13" ht="15.75" customHeight="1" x14ac:dyDescent="0.3">
      <c r="C209" s="24"/>
      <c r="D209" s="24"/>
      <c r="F209" s="24"/>
      <c r="G209" s="24"/>
      <c r="H209" s="24"/>
      <c r="I209" s="24"/>
      <c r="J209" s="24"/>
      <c r="K209" s="24"/>
      <c r="L209" s="24"/>
      <c r="M209" s="24"/>
    </row>
    <row r="210" spans="3:13" ht="15.75" customHeight="1" x14ac:dyDescent="0.3">
      <c r="C210" s="24"/>
      <c r="D210" s="24"/>
      <c r="F210" s="24"/>
      <c r="G210" s="24"/>
      <c r="H210" s="24"/>
      <c r="I210" s="24"/>
      <c r="J210" s="24"/>
      <c r="K210" s="24"/>
      <c r="L210" s="24"/>
      <c r="M210" s="24"/>
    </row>
    <row r="211" spans="3:13" ht="15.75" customHeight="1" x14ac:dyDescent="0.3">
      <c r="C211" s="24"/>
      <c r="D211" s="24"/>
      <c r="F211" s="24"/>
      <c r="G211" s="24"/>
      <c r="H211" s="24"/>
      <c r="I211" s="24"/>
      <c r="J211" s="24"/>
      <c r="K211" s="24"/>
      <c r="L211" s="24"/>
      <c r="M211" s="24"/>
    </row>
    <row r="212" spans="3:13" ht="15.75" customHeight="1" x14ac:dyDescent="0.3">
      <c r="C212" s="24"/>
      <c r="D212" s="24"/>
      <c r="F212" s="24"/>
      <c r="G212" s="24"/>
      <c r="H212" s="24"/>
      <c r="I212" s="24"/>
      <c r="J212" s="24"/>
      <c r="K212" s="24"/>
      <c r="L212" s="24"/>
      <c r="M212" s="24"/>
    </row>
    <row r="213" spans="3:13" ht="15.75" customHeight="1" x14ac:dyDescent="0.3">
      <c r="C213" s="24"/>
      <c r="D213" s="24"/>
      <c r="F213" s="24"/>
      <c r="G213" s="24"/>
      <c r="H213" s="24"/>
      <c r="I213" s="24"/>
      <c r="J213" s="24"/>
      <c r="K213" s="24"/>
      <c r="L213" s="24"/>
      <c r="M213" s="24"/>
    </row>
    <row r="214" spans="3:13" ht="15.75" customHeight="1" x14ac:dyDescent="0.3">
      <c r="C214" s="24"/>
      <c r="D214" s="24"/>
      <c r="F214" s="24"/>
      <c r="G214" s="24"/>
      <c r="H214" s="24"/>
      <c r="I214" s="24"/>
      <c r="J214" s="24"/>
      <c r="K214" s="24"/>
      <c r="L214" s="24"/>
      <c r="M214" s="24"/>
    </row>
    <row r="215" spans="3:13" ht="15.75" customHeight="1" x14ac:dyDescent="0.3">
      <c r="C215" s="24"/>
      <c r="D215" s="24"/>
      <c r="F215" s="24"/>
      <c r="G215" s="24"/>
      <c r="H215" s="24"/>
      <c r="I215" s="24"/>
      <c r="J215" s="24"/>
      <c r="K215" s="24"/>
      <c r="L215" s="24"/>
      <c r="M215" s="24"/>
    </row>
    <row r="216" spans="3:13" ht="15.75" customHeight="1" x14ac:dyDescent="0.3">
      <c r="C216" s="24"/>
      <c r="D216" s="24"/>
      <c r="F216" s="24"/>
      <c r="G216" s="24"/>
      <c r="H216" s="24"/>
      <c r="I216" s="24"/>
      <c r="J216" s="24"/>
      <c r="K216" s="24"/>
      <c r="L216" s="24"/>
      <c r="M216" s="24"/>
    </row>
    <row r="217" spans="3:13" ht="15.75" customHeight="1" x14ac:dyDescent="0.3">
      <c r="C217" s="24"/>
      <c r="D217" s="24"/>
      <c r="F217" s="24"/>
      <c r="G217" s="24"/>
      <c r="H217" s="24"/>
      <c r="I217" s="24"/>
      <c r="J217" s="24"/>
      <c r="K217" s="24"/>
      <c r="L217" s="24"/>
      <c r="M217" s="24"/>
    </row>
    <row r="218" spans="3:13" ht="15.75" customHeight="1" x14ac:dyDescent="0.3">
      <c r="C218" s="24"/>
      <c r="D218" s="24"/>
      <c r="F218" s="24"/>
      <c r="G218" s="24"/>
      <c r="H218" s="24"/>
      <c r="I218" s="24"/>
      <c r="J218" s="24"/>
      <c r="K218" s="24"/>
      <c r="L218" s="24"/>
      <c r="M218" s="24"/>
    </row>
    <row r="219" spans="3:13" ht="15.75" customHeight="1" x14ac:dyDescent="0.3">
      <c r="C219" s="24"/>
      <c r="D219" s="24"/>
      <c r="F219" s="24"/>
      <c r="G219" s="24"/>
      <c r="H219" s="24"/>
      <c r="I219" s="24"/>
      <c r="J219" s="24"/>
      <c r="K219" s="24"/>
      <c r="L219" s="24"/>
      <c r="M219" s="24"/>
    </row>
    <row r="220" spans="3:13" ht="15.75" customHeight="1" x14ac:dyDescent="0.3">
      <c r="C220" s="24"/>
      <c r="D220" s="24"/>
      <c r="F220" s="24"/>
      <c r="G220" s="24"/>
      <c r="H220" s="24"/>
      <c r="I220" s="24"/>
      <c r="J220" s="24"/>
      <c r="K220" s="24"/>
      <c r="L220" s="24"/>
      <c r="M220" s="24"/>
    </row>
    <row r="221" spans="3:13" ht="15.75" customHeight="1" x14ac:dyDescent="0.3">
      <c r="C221" s="24"/>
      <c r="D221" s="24"/>
      <c r="F221" s="24"/>
      <c r="G221" s="24"/>
      <c r="H221" s="24"/>
      <c r="I221" s="24"/>
      <c r="J221" s="24"/>
      <c r="K221" s="24"/>
      <c r="L221" s="24"/>
      <c r="M221" s="24"/>
    </row>
    <row r="222" spans="3:13" ht="15.75" customHeight="1" x14ac:dyDescent="0.3">
      <c r="C222" s="24"/>
      <c r="D222" s="24"/>
      <c r="F222" s="24"/>
      <c r="G222" s="24"/>
      <c r="H222" s="24"/>
      <c r="I222" s="24"/>
      <c r="J222" s="24"/>
      <c r="K222" s="24"/>
      <c r="L222" s="24"/>
      <c r="M222" s="24"/>
    </row>
    <row r="223" spans="3:13" ht="15.75" customHeight="1" x14ac:dyDescent="0.3">
      <c r="C223" s="24"/>
      <c r="D223" s="24"/>
      <c r="F223" s="24"/>
      <c r="G223" s="24"/>
      <c r="H223" s="24"/>
      <c r="I223" s="24"/>
      <c r="J223" s="24"/>
      <c r="K223" s="24"/>
      <c r="L223" s="24"/>
      <c r="M223" s="24"/>
    </row>
    <row r="224" spans="3:13" ht="15.75" customHeight="1" x14ac:dyDescent="0.3">
      <c r="C224" s="24"/>
      <c r="D224" s="24"/>
      <c r="F224" s="24"/>
      <c r="G224" s="24"/>
      <c r="H224" s="24"/>
      <c r="I224" s="24"/>
      <c r="J224" s="24"/>
      <c r="K224" s="24"/>
      <c r="L224" s="24"/>
      <c r="M224" s="24"/>
    </row>
    <row r="225" spans="3:13" ht="15.75" customHeight="1" x14ac:dyDescent="0.3">
      <c r="C225" s="24"/>
      <c r="D225" s="24"/>
      <c r="F225" s="24"/>
      <c r="G225" s="24"/>
      <c r="H225" s="24"/>
      <c r="I225" s="24"/>
      <c r="J225" s="24"/>
      <c r="K225" s="24"/>
      <c r="L225" s="24"/>
      <c r="M225" s="24"/>
    </row>
    <row r="226" spans="3:13" ht="15.75" customHeight="1" x14ac:dyDescent="0.3">
      <c r="C226" s="24"/>
      <c r="D226" s="24"/>
      <c r="F226" s="24"/>
      <c r="G226" s="24"/>
      <c r="H226" s="24"/>
      <c r="I226" s="24"/>
      <c r="J226" s="24"/>
      <c r="K226" s="24"/>
      <c r="L226" s="24"/>
      <c r="M226" s="24"/>
    </row>
    <row r="227" spans="3:13" ht="15.75" customHeight="1" x14ac:dyDescent="0.3">
      <c r="C227" s="24"/>
      <c r="D227" s="24"/>
      <c r="F227" s="24"/>
      <c r="G227" s="24"/>
      <c r="H227" s="24"/>
      <c r="I227" s="24"/>
      <c r="J227" s="24"/>
      <c r="K227" s="24"/>
      <c r="L227" s="24"/>
      <c r="M227" s="24"/>
    </row>
    <row r="228" spans="3:13" ht="15.75" customHeight="1" x14ac:dyDescent="0.3">
      <c r="C228" s="24"/>
      <c r="D228" s="24"/>
      <c r="F228" s="24"/>
      <c r="G228" s="24"/>
      <c r="H228" s="24"/>
      <c r="I228" s="24"/>
      <c r="J228" s="24"/>
      <c r="K228" s="24"/>
      <c r="L228" s="24"/>
      <c r="M228" s="24"/>
    </row>
    <row r="229" spans="3:13" ht="15.75" customHeight="1" x14ac:dyDescent="0.3">
      <c r="C229" s="24"/>
      <c r="D229" s="24"/>
      <c r="F229" s="24"/>
      <c r="G229" s="24"/>
      <c r="H229" s="24"/>
      <c r="I229" s="24"/>
      <c r="J229" s="24"/>
      <c r="K229" s="24"/>
      <c r="L229" s="24"/>
      <c r="M229" s="24"/>
    </row>
    <row r="230" spans="3:13" ht="15.75" customHeight="1" x14ac:dyDescent="0.3">
      <c r="C230" s="24"/>
      <c r="D230" s="24"/>
      <c r="F230" s="24"/>
      <c r="G230" s="24"/>
      <c r="H230" s="24"/>
      <c r="I230" s="24"/>
      <c r="J230" s="24"/>
      <c r="K230" s="24"/>
      <c r="L230" s="24"/>
      <c r="M230" s="24"/>
    </row>
    <row r="231" spans="3:13" ht="15.75" customHeight="1" x14ac:dyDescent="0.3">
      <c r="C231" s="24"/>
      <c r="D231" s="24"/>
      <c r="F231" s="24"/>
      <c r="G231" s="24"/>
      <c r="H231" s="24"/>
      <c r="I231" s="24"/>
      <c r="J231" s="24"/>
      <c r="K231" s="24"/>
      <c r="L231" s="24"/>
      <c r="M231" s="24"/>
    </row>
    <row r="232" spans="3:13" ht="15.75" customHeight="1" x14ac:dyDescent="0.3">
      <c r="C232" s="24"/>
      <c r="D232" s="24"/>
      <c r="F232" s="24"/>
      <c r="G232" s="24"/>
      <c r="H232" s="24"/>
      <c r="I232" s="24"/>
      <c r="J232" s="24"/>
      <c r="K232" s="24"/>
      <c r="L232" s="24"/>
      <c r="M232" s="24"/>
    </row>
    <row r="233" spans="3:13" ht="15.75" customHeight="1" x14ac:dyDescent="0.3">
      <c r="C233" s="24"/>
      <c r="D233" s="24"/>
      <c r="F233" s="24"/>
      <c r="G233" s="24"/>
      <c r="H233" s="24"/>
      <c r="I233" s="24"/>
      <c r="J233" s="24"/>
      <c r="K233" s="24"/>
      <c r="L233" s="24"/>
      <c r="M233" s="24"/>
    </row>
    <row r="234" spans="3:13" ht="15.75" customHeight="1" x14ac:dyDescent="0.3">
      <c r="C234" s="24"/>
      <c r="D234" s="24"/>
      <c r="F234" s="24"/>
      <c r="G234" s="24"/>
      <c r="H234" s="24"/>
      <c r="I234" s="24"/>
      <c r="J234" s="24"/>
      <c r="K234" s="24"/>
      <c r="L234" s="24"/>
      <c r="M234" s="24"/>
    </row>
    <row r="235" spans="3:13" ht="15.75" customHeight="1" x14ac:dyDescent="0.3">
      <c r="C235" s="24"/>
      <c r="D235" s="24"/>
      <c r="F235" s="24"/>
      <c r="G235" s="24"/>
      <c r="H235" s="24"/>
      <c r="I235" s="24"/>
      <c r="J235" s="24"/>
      <c r="K235" s="24"/>
      <c r="L235" s="24"/>
      <c r="M235" s="24"/>
    </row>
    <row r="236" spans="3:13" ht="15.75" customHeight="1" x14ac:dyDescent="0.3">
      <c r="C236" s="24"/>
      <c r="D236" s="24"/>
      <c r="F236" s="24"/>
      <c r="G236" s="24"/>
      <c r="H236" s="24"/>
      <c r="I236" s="24"/>
      <c r="J236" s="24"/>
      <c r="K236" s="24"/>
      <c r="L236" s="24"/>
      <c r="M236" s="24"/>
    </row>
    <row r="237" spans="3:13" ht="15.75" customHeight="1" x14ac:dyDescent="0.3">
      <c r="C237" s="24"/>
      <c r="D237" s="24"/>
      <c r="F237" s="24"/>
      <c r="G237" s="24"/>
      <c r="H237" s="24"/>
      <c r="I237" s="24"/>
      <c r="J237" s="24"/>
      <c r="K237" s="24"/>
      <c r="L237" s="24"/>
      <c r="M237" s="24"/>
    </row>
    <row r="238" spans="3:13" ht="15.75" customHeight="1" x14ac:dyDescent="0.3">
      <c r="C238" s="24"/>
      <c r="D238" s="24"/>
      <c r="F238" s="24"/>
      <c r="G238" s="24"/>
      <c r="H238" s="24"/>
      <c r="I238" s="24"/>
      <c r="J238" s="24"/>
      <c r="K238" s="24"/>
      <c r="L238" s="24"/>
      <c r="M238" s="24"/>
    </row>
    <row r="239" spans="3:13" ht="15.75" customHeight="1" x14ac:dyDescent="0.3">
      <c r="C239" s="24"/>
      <c r="D239" s="24"/>
      <c r="F239" s="24"/>
      <c r="G239" s="24"/>
      <c r="H239" s="24"/>
      <c r="I239" s="24"/>
      <c r="J239" s="24"/>
      <c r="K239" s="24"/>
      <c r="L239" s="24"/>
      <c r="M239" s="24"/>
    </row>
    <row r="240" spans="3:13" ht="15.75" customHeight="1" x14ac:dyDescent="0.3">
      <c r="C240" s="24"/>
      <c r="D240" s="24"/>
      <c r="F240" s="24"/>
      <c r="G240" s="24"/>
      <c r="H240" s="24"/>
      <c r="I240" s="24"/>
      <c r="J240" s="24"/>
      <c r="K240" s="24"/>
      <c r="L240" s="24"/>
      <c r="M240" s="24"/>
    </row>
    <row r="241" spans="3:13" ht="15.75" customHeight="1" x14ac:dyDescent="0.3">
      <c r="C241" s="24"/>
      <c r="D241" s="24"/>
      <c r="F241" s="24"/>
      <c r="G241" s="24"/>
      <c r="H241" s="24"/>
      <c r="I241" s="24"/>
      <c r="J241" s="24"/>
      <c r="K241" s="24"/>
      <c r="L241" s="24"/>
      <c r="M241" s="24"/>
    </row>
    <row r="242" spans="3:13" ht="15.75" customHeight="1" x14ac:dyDescent="0.3">
      <c r="C242" s="24"/>
      <c r="D242" s="24"/>
      <c r="F242" s="24"/>
      <c r="G242" s="24"/>
      <c r="H242" s="24"/>
      <c r="I242" s="24"/>
      <c r="J242" s="24"/>
      <c r="K242" s="24"/>
      <c r="L242" s="24"/>
      <c r="M242" s="24"/>
    </row>
    <row r="243" spans="3:13" ht="15.75" customHeight="1" x14ac:dyDescent="0.3">
      <c r="C243" s="24"/>
      <c r="D243" s="24"/>
      <c r="F243" s="24"/>
      <c r="G243" s="24"/>
      <c r="H243" s="24"/>
      <c r="I243" s="24"/>
      <c r="J243" s="24"/>
      <c r="K243" s="24"/>
      <c r="L243" s="24"/>
      <c r="M243" s="24"/>
    </row>
    <row r="244" spans="3:13" ht="15.75" customHeight="1" x14ac:dyDescent="0.3">
      <c r="C244" s="24"/>
      <c r="D244" s="24"/>
      <c r="F244" s="24"/>
      <c r="G244" s="24"/>
      <c r="H244" s="24"/>
      <c r="I244" s="24"/>
      <c r="J244" s="24"/>
      <c r="K244" s="24"/>
      <c r="L244" s="24"/>
      <c r="M244" s="24"/>
    </row>
    <row r="245" spans="3:13" ht="15.75" customHeight="1" x14ac:dyDescent="0.3">
      <c r="C245" s="24"/>
      <c r="D245" s="24"/>
      <c r="F245" s="24"/>
      <c r="G245" s="24"/>
      <c r="H245" s="24"/>
      <c r="I245" s="24"/>
      <c r="J245" s="24"/>
      <c r="K245" s="24"/>
      <c r="L245" s="24"/>
      <c r="M245" s="24"/>
    </row>
    <row r="246" spans="3:13" ht="15.75" customHeight="1" x14ac:dyDescent="0.3">
      <c r="C246" s="24"/>
      <c r="D246" s="24"/>
      <c r="F246" s="24"/>
      <c r="G246" s="24"/>
      <c r="H246" s="24"/>
      <c r="I246" s="24"/>
      <c r="J246" s="24"/>
      <c r="K246" s="24"/>
      <c r="L246" s="24"/>
      <c r="M246" s="24"/>
    </row>
    <row r="247" spans="3:13" ht="15.75" customHeight="1" x14ac:dyDescent="0.3">
      <c r="C247" s="24"/>
      <c r="D247" s="24"/>
      <c r="F247" s="24"/>
      <c r="G247" s="24"/>
      <c r="H247" s="24"/>
      <c r="I247" s="24"/>
      <c r="J247" s="24"/>
      <c r="K247" s="24"/>
      <c r="L247" s="24"/>
      <c r="M247" s="24"/>
    </row>
    <row r="248" spans="3:13" ht="15.75" customHeight="1" x14ac:dyDescent="0.3">
      <c r="C248" s="24"/>
      <c r="D248" s="24"/>
      <c r="F248" s="24"/>
      <c r="G248" s="24"/>
      <c r="H248" s="24"/>
      <c r="I248" s="24"/>
      <c r="J248" s="24"/>
      <c r="K248" s="24"/>
      <c r="L248" s="24"/>
      <c r="M248" s="24"/>
    </row>
    <row r="249" spans="3:13" ht="15.75" customHeight="1" x14ac:dyDescent="0.3">
      <c r="C249" s="24"/>
      <c r="D249" s="24"/>
      <c r="F249" s="24"/>
      <c r="G249" s="24"/>
      <c r="H249" s="24"/>
      <c r="I249" s="24"/>
      <c r="J249" s="24"/>
      <c r="K249" s="24"/>
      <c r="L249" s="24"/>
      <c r="M249" s="24"/>
    </row>
    <row r="250" spans="3:13" ht="15.75" customHeight="1" x14ac:dyDescent="0.3">
      <c r="C250" s="24"/>
      <c r="D250" s="24"/>
      <c r="F250" s="24"/>
      <c r="G250" s="24"/>
      <c r="H250" s="24"/>
      <c r="I250" s="24"/>
      <c r="J250" s="24"/>
      <c r="K250" s="24"/>
      <c r="L250" s="24"/>
      <c r="M250" s="24"/>
    </row>
    <row r="251" spans="3:13" ht="15.75" customHeight="1" x14ac:dyDescent="0.3">
      <c r="C251" s="24"/>
      <c r="D251" s="24"/>
      <c r="F251" s="24"/>
      <c r="G251" s="24"/>
      <c r="H251" s="24"/>
      <c r="I251" s="24"/>
      <c r="J251" s="24"/>
      <c r="K251" s="24"/>
      <c r="L251" s="24"/>
      <c r="M251" s="24"/>
    </row>
    <row r="252" spans="3:13" ht="15.75" customHeight="1" x14ac:dyDescent="0.3">
      <c r="C252" s="24"/>
      <c r="D252" s="24"/>
      <c r="F252" s="24"/>
      <c r="G252" s="24"/>
      <c r="H252" s="24"/>
      <c r="I252" s="24"/>
      <c r="J252" s="24"/>
      <c r="K252" s="24"/>
      <c r="L252" s="24"/>
      <c r="M252" s="24"/>
    </row>
    <row r="253" spans="3:13" ht="15.75" customHeight="1" x14ac:dyDescent="0.3">
      <c r="C253" s="24"/>
      <c r="D253" s="24"/>
      <c r="F253" s="24"/>
      <c r="G253" s="24"/>
      <c r="H253" s="24"/>
      <c r="I253" s="24"/>
      <c r="J253" s="24"/>
      <c r="K253" s="24"/>
      <c r="L253" s="24"/>
      <c r="M253" s="24"/>
    </row>
    <row r="254" spans="3:13" ht="15.75" customHeight="1" x14ac:dyDescent="0.3">
      <c r="C254" s="24"/>
      <c r="D254" s="24"/>
      <c r="F254" s="24"/>
      <c r="G254" s="24"/>
      <c r="H254" s="24"/>
      <c r="I254" s="24"/>
      <c r="J254" s="24"/>
      <c r="K254" s="24"/>
      <c r="L254" s="24"/>
      <c r="M254" s="24"/>
    </row>
    <row r="255" spans="3:13" ht="15.75" customHeight="1" x14ac:dyDescent="0.3">
      <c r="C255" s="24"/>
      <c r="D255" s="24"/>
      <c r="F255" s="24"/>
      <c r="G255" s="24"/>
      <c r="H255" s="24"/>
      <c r="I255" s="24"/>
      <c r="J255" s="24"/>
      <c r="K255" s="24"/>
      <c r="L255" s="24"/>
      <c r="M255" s="24"/>
    </row>
    <row r="256" spans="3:13" ht="15.75" customHeight="1" x14ac:dyDescent="0.3">
      <c r="C256" s="24"/>
      <c r="D256" s="24"/>
      <c r="F256" s="24"/>
      <c r="G256" s="24"/>
      <c r="H256" s="24"/>
      <c r="I256" s="24"/>
      <c r="J256" s="24"/>
      <c r="K256" s="24"/>
      <c r="L256" s="24"/>
      <c r="M256" s="24"/>
    </row>
    <row r="257" spans="3:13" ht="15.75" customHeight="1" x14ac:dyDescent="0.3">
      <c r="C257" s="24"/>
      <c r="D257" s="24"/>
      <c r="F257" s="24"/>
      <c r="G257" s="24"/>
      <c r="H257" s="24"/>
      <c r="I257" s="24"/>
      <c r="J257" s="24"/>
      <c r="K257" s="24"/>
      <c r="L257" s="24"/>
      <c r="M257" s="24"/>
    </row>
    <row r="258" spans="3:13" ht="15.75" customHeight="1" x14ac:dyDescent="0.3">
      <c r="C258" s="24"/>
      <c r="D258" s="24"/>
      <c r="F258" s="24"/>
      <c r="G258" s="24"/>
      <c r="H258" s="24"/>
      <c r="I258" s="24"/>
      <c r="J258" s="24"/>
      <c r="K258" s="24"/>
      <c r="L258" s="24"/>
      <c r="M258" s="24"/>
    </row>
    <row r="259" spans="3:13" ht="15.75" customHeight="1" x14ac:dyDescent="0.3">
      <c r="C259" s="24"/>
      <c r="D259" s="24"/>
      <c r="F259" s="24"/>
      <c r="G259" s="24"/>
      <c r="H259" s="24"/>
      <c r="I259" s="24"/>
      <c r="J259" s="24"/>
      <c r="K259" s="24"/>
      <c r="L259" s="24"/>
      <c r="M259" s="24"/>
    </row>
    <row r="260" spans="3:13" ht="15.75" customHeight="1" x14ac:dyDescent="0.3">
      <c r="C260" s="24"/>
      <c r="D260" s="24"/>
      <c r="F260" s="24"/>
      <c r="G260" s="24"/>
      <c r="H260" s="24"/>
      <c r="I260" s="24"/>
      <c r="J260" s="24"/>
      <c r="K260" s="24"/>
      <c r="L260" s="24"/>
      <c r="M260" s="24"/>
    </row>
    <row r="261" spans="3:13" ht="15.75" customHeight="1" x14ac:dyDescent="0.3">
      <c r="C261" s="24"/>
      <c r="D261" s="24"/>
      <c r="F261" s="24"/>
      <c r="G261" s="24"/>
      <c r="H261" s="24"/>
      <c r="I261" s="24"/>
      <c r="J261" s="24"/>
      <c r="K261" s="24"/>
      <c r="L261" s="24"/>
      <c r="M261" s="24"/>
    </row>
    <row r="262" spans="3:13" ht="15.75" customHeight="1" x14ac:dyDescent="0.3">
      <c r="C262" s="24"/>
      <c r="D262" s="24"/>
      <c r="F262" s="24"/>
      <c r="G262" s="24"/>
      <c r="H262" s="24"/>
      <c r="I262" s="24"/>
      <c r="J262" s="24"/>
      <c r="K262" s="24"/>
      <c r="L262" s="24"/>
      <c r="M262" s="24"/>
    </row>
    <row r="263" spans="3:13" ht="15.75" customHeight="1" x14ac:dyDescent="0.3">
      <c r="C263" s="24"/>
      <c r="D263" s="24"/>
      <c r="F263" s="24"/>
      <c r="G263" s="24"/>
      <c r="H263" s="24"/>
      <c r="I263" s="24"/>
      <c r="J263" s="24"/>
      <c r="K263" s="24"/>
      <c r="L263" s="24"/>
      <c r="M263" s="24"/>
    </row>
    <row r="264" spans="3:13" ht="15.75" customHeight="1" x14ac:dyDescent="0.3">
      <c r="C264" s="24"/>
      <c r="D264" s="24"/>
      <c r="F264" s="24"/>
      <c r="G264" s="24"/>
      <c r="H264" s="24"/>
      <c r="I264" s="24"/>
      <c r="J264" s="24"/>
      <c r="K264" s="24"/>
      <c r="L264" s="24"/>
      <c r="M264" s="24"/>
    </row>
    <row r="265" spans="3:13" ht="15.75" customHeight="1" x14ac:dyDescent="0.3">
      <c r="C265" s="24"/>
      <c r="D265" s="24"/>
      <c r="F265" s="24"/>
      <c r="G265" s="24"/>
      <c r="H265" s="24"/>
      <c r="I265" s="24"/>
      <c r="J265" s="24"/>
      <c r="K265" s="24"/>
      <c r="L265" s="24"/>
      <c r="M265" s="24"/>
    </row>
    <row r="266" spans="3:13" ht="15.75" customHeight="1" x14ac:dyDescent="0.3">
      <c r="C266" s="24"/>
      <c r="D266" s="24"/>
      <c r="F266" s="24"/>
      <c r="G266" s="24"/>
      <c r="H266" s="24"/>
      <c r="I266" s="24"/>
      <c r="J266" s="24"/>
      <c r="K266" s="24"/>
      <c r="L266" s="24"/>
      <c r="M266" s="24"/>
    </row>
    <row r="267" spans="3:13" ht="15.75" customHeight="1" x14ac:dyDescent="0.3">
      <c r="C267" s="24"/>
      <c r="D267" s="24"/>
      <c r="F267" s="24"/>
      <c r="G267" s="24"/>
      <c r="H267" s="24"/>
      <c r="I267" s="24"/>
      <c r="J267" s="24"/>
      <c r="K267" s="24"/>
      <c r="L267" s="24"/>
      <c r="M267" s="24"/>
    </row>
    <row r="268" spans="3:13" ht="15.75" customHeight="1" x14ac:dyDescent="0.3">
      <c r="C268" s="24"/>
      <c r="D268" s="24"/>
      <c r="F268" s="24"/>
      <c r="G268" s="24"/>
      <c r="H268" s="24"/>
      <c r="I268" s="24"/>
      <c r="J268" s="24"/>
      <c r="K268" s="24"/>
      <c r="L268" s="24"/>
      <c r="M268" s="24"/>
    </row>
    <row r="269" spans="3:13" ht="15.75" customHeight="1" x14ac:dyDescent="0.3">
      <c r="C269" s="24"/>
      <c r="D269" s="24"/>
      <c r="F269" s="24"/>
      <c r="G269" s="24"/>
      <c r="H269" s="24"/>
      <c r="I269" s="24"/>
      <c r="J269" s="24"/>
      <c r="K269" s="24"/>
      <c r="L269" s="24"/>
      <c r="M269" s="24"/>
    </row>
    <row r="270" spans="3:13" ht="15.75" customHeight="1" x14ac:dyDescent="0.3">
      <c r="C270" s="24"/>
      <c r="D270" s="24"/>
      <c r="F270" s="24"/>
      <c r="G270" s="24"/>
      <c r="H270" s="24"/>
      <c r="I270" s="24"/>
      <c r="J270" s="24"/>
      <c r="K270" s="24"/>
      <c r="L270" s="24"/>
      <c r="M270" s="24"/>
    </row>
    <row r="271" spans="3:13" ht="15.75" customHeight="1" x14ac:dyDescent="0.3">
      <c r="C271" s="24"/>
      <c r="D271" s="24"/>
      <c r="F271" s="24"/>
      <c r="G271" s="24"/>
      <c r="H271" s="24"/>
      <c r="I271" s="24"/>
      <c r="J271" s="24"/>
      <c r="K271" s="24"/>
      <c r="L271" s="24"/>
      <c r="M271" s="24"/>
    </row>
    <row r="272" spans="3:13" ht="15.75" customHeight="1" x14ac:dyDescent="0.3">
      <c r="C272" s="24"/>
      <c r="D272" s="24"/>
      <c r="F272" s="24"/>
      <c r="G272" s="24"/>
      <c r="H272" s="24"/>
      <c r="I272" s="24"/>
      <c r="J272" s="24"/>
      <c r="K272" s="24"/>
      <c r="L272" s="24"/>
      <c r="M272" s="24"/>
    </row>
    <row r="273" spans="3:13" ht="15.75" customHeight="1" x14ac:dyDescent="0.3">
      <c r="C273" s="24"/>
      <c r="D273" s="24"/>
      <c r="F273" s="24"/>
      <c r="G273" s="24"/>
      <c r="H273" s="24"/>
      <c r="I273" s="24"/>
      <c r="J273" s="24"/>
      <c r="K273" s="24"/>
      <c r="L273" s="24"/>
      <c r="M273" s="24"/>
    </row>
    <row r="274" spans="3:13" ht="15.75" customHeight="1" x14ac:dyDescent="0.3">
      <c r="C274" s="24"/>
      <c r="D274" s="24"/>
      <c r="F274" s="24"/>
      <c r="G274" s="24"/>
      <c r="H274" s="24"/>
      <c r="I274" s="24"/>
      <c r="J274" s="24"/>
      <c r="K274" s="24"/>
      <c r="L274" s="24"/>
      <c r="M274" s="24"/>
    </row>
    <row r="275" spans="3:13" ht="15.75" customHeight="1" x14ac:dyDescent="0.3">
      <c r="C275" s="24"/>
      <c r="D275" s="24"/>
      <c r="F275" s="24"/>
      <c r="G275" s="24"/>
      <c r="H275" s="24"/>
      <c r="I275" s="24"/>
      <c r="J275" s="24"/>
      <c r="K275" s="24"/>
      <c r="L275" s="24"/>
      <c r="M275" s="24"/>
    </row>
    <row r="276" spans="3:13" ht="15.75" customHeight="1" x14ac:dyDescent="0.3">
      <c r="C276" s="24"/>
      <c r="D276" s="24"/>
      <c r="F276" s="24"/>
      <c r="G276" s="24"/>
      <c r="H276" s="24"/>
      <c r="I276" s="24"/>
      <c r="J276" s="24"/>
      <c r="K276" s="24"/>
      <c r="L276" s="24"/>
      <c r="M276" s="24"/>
    </row>
    <row r="277" spans="3:13" ht="15.75" customHeight="1" x14ac:dyDescent="0.3">
      <c r="C277" s="24"/>
      <c r="D277" s="24"/>
      <c r="F277" s="24"/>
      <c r="G277" s="24"/>
      <c r="H277" s="24"/>
      <c r="I277" s="24"/>
      <c r="J277" s="24"/>
      <c r="K277" s="24"/>
      <c r="L277" s="24"/>
      <c r="M277" s="24"/>
    </row>
    <row r="278" spans="3:13" ht="15.75" customHeight="1" x14ac:dyDescent="0.3">
      <c r="C278" s="24"/>
      <c r="D278" s="24"/>
      <c r="F278" s="24"/>
      <c r="G278" s="24"/>
      <c r="H278" s="24"/>
      <c r="I278" s="24"/>
      <c r="J278" s="24"/>
      <c r="K278" s="24"/>
      <c r="L278" s="24"/>
      <c r="M278" s="24"/>
    </row>
    <row r="279" spans="3:13" ht="15.75" customHeight="1" x14ac:dyDescent="0.3">
      <c r="C279" s="24"/>
      <c r="D279" s="24"/>
      <c r="F279" s="24"/>
      <c r="G279" s="24"/>
      <c r="H279" s="24"/>
      <c r="I279" s="24"/>
      <c r="J279" s="24"/>
      <c r="K279" s="24"/>
      <c r="L279" s="24"/>
      <c r="M279" s="24"/>
    </row>
    <row r="280" spans="3:13" ht="15.75" customHeight="1" x14ac:dyDescent="0.3">
      <c r="C280" s="24"/>
      <c r="D280" s="24"/>
      <c r="F280" s="24"/>
      <c r="G280" s="24"/>
      <c r="H280" s="24"/>
      <c r="I280" s="24"/>
      <c r="J280" s="24"/>
      <c r="K280" s="24"/>
      <c r="L280" s="24"/>
      <c r="M280" s="24"/>
    </row>
    <row r="281" spans="3:13" ht="15.75" customHeight="1" x14ac:dyDescent="0.3">
      <c r="C281" s="24"/>
      <c r="D281" s="24"/>
      <c r="F281" s="24"/>
      <c r="G281" s="24"/>
      <c r="H281" s="24"/>
      <c r="I281" s="24"/>
      <c r="J281" s="24"/>
      <c r="K281" s="24"/>
      <c r="L281" s="24"/>
      <c r="M281" s="24"/>
    </row>
    <row r="282" spans="3:13" ht="15.75" customHeight="1" x14ac:dyDescent="0.3">
      <c r="C282" s="24"/>
      <c r="D282" s="24"/>
      <c r="F282" s="24"/>
      <c r="G282" s="24"/>
      <c r="H282" s="24"/>
      <c r="I282" s="24"/>
      <c r="J282" s="24"/>
      <c r="K282" s="24"/>
      <c r="L282" s="24"/>
      <c r="M282" s="24"/>
    </row>
    <row r="283" spans="3:13" ht="15.75" customHeight="1" x14ac:dyDescent="0.3">
      <c r="C283" s="24"/>
      <c r="D283" s="24"/>
      <c r="F283" s="24"/>
      <c r="G283" s="24"/>
      <c r="H283" s="24"/>
      <c r="I283" s="24"/>
      <c r="J283" s="24"/>
      <c r="K283" s="24"/>
      <c r="L283" s="24"/>
      <c r="M283" s="24"/>
    </row>
    <row r="284" spans="3:13" ht="15.75" customHeight="1" x14ac:dyDescent="0.3">
      <c r="C284" s="24"/>
      <c r="D284" s="24"/>
      <c r="F284" s="24"/>
      <c r="G284" s="24"/>
      <c r="H284" s="24"/>
      <c r="I284" s="24"/>
      <c r="J284" s="24"/>
      <c r="K284" s="24"/>
      <c r="L284" s="24"/>
      <c r="M284" s="24"/>
    </row>
    <row r="285" spans="3:13" ht="15.75" customHeight="1" x14ac:dyDescent="0.3">
      <c r="C285" s="24"/>
      <c r="D285" s="24"/>
      <c r="F285" s="24"/>
      <c r="G285" s="24"/>
      <c r="H285" s="24"/>
      <c r="I285" s="24"/>
      <c r="J285" s="24"/>
      <c r="K285" s="24"/>
      <c r="L285" s="24"/>
      <c r="M285" s="24"/>
    </row>
    <row r="286" spans="3:13" ht="15.75" customHeight="1" x14ac:dyDescent="0.3">
      <c r="C286" s="24"/>
      <c r="D286" s="24"/>
      <c r="F286" s="24"/>
      <c r="G286" s="24"/>
      <c r="H286" s="24"/>
      <c r="I286" s="24"/>
      <c r="J286" s="24"/>
      <c r="K286" s="24"/>
      <c r="L286" s="24"/>
      <c r="M286" s="24"/>
    </row>
    <row r="287" spans="3:13" ht="15.75" customHeight="1" x14ac:dyDescent="0.3">
      <c r="C287" s="24"/>
      <c r="D287" s="24"/>
      <c r="F287" s="24"/>
      <c r="G287" s="24"/>
      <c r="H287" s="24"/>
      <c r="I287" s="24"/>
      <c r="J287" s="24"/>
      <c r="K287" s="24"/>
      <c r="L287" s="24"/>
      <c r="M287" s="24"/>
    </row>
    <row r="288" spans="3:13" ht="15.75" customHeight="1" x14ac:dyDescent="0.3">
      <c r="C288" s="24"/>
      <c r="D288" s="24"/>
      <c r="F288" s="24"/>
      <c r="G288" s="24"/>
      <c r="H288" s="24"/>
      <c r="I288" s="24"/>
      <c r="J288" s="24"/>
      <c r="K288" s="24"/>
      <c r="L288" s="24"/>
      <c r="M288" s="24"/>
    </row>
    <row r="289" spans="3:13" ht="15.75" customHeight="1" x14ac:dyDescent="0.3">
      <c r="C289" s="24"/>
      <c r="D289" s="24"/>
      <c r="F289" s="24"/>
      <c r="G289" s="24"/>
      <c r="H289" s="24"/>
      <c r="I289" s="24"/>
      <c r="J289" s="24"/>
      <c r="K289" s="24"/>
      <c r="L289" s="24"/>
      <c r="M289" s="24"/>
    </row>
    <row r="290" spans="3:13" ht="15.75" customHeight="1" x14ac:dyDescent="0.3">
      <c r="C290" s="24"/>
      <c r="D290" s="24"/>
      <c r="F290" s="24"/>
      <c r="G290" s="24"/>
      <c r="H290" s="24"/>
      <c r="I290" s="24"/>
      <c r="J290" s="24"/>
      <c r="K290" s="24"/>
      <c r="L290" s="24"/>
      <c r="M290" s="24"/>
    </row>
    <row r="291" spans="3:13" ht="15.75" customHeight="1" x14ac:dyDescent="0.3">
      <c r="C291" s="24"/>
      <c r="D291" s="24"/>
      <c r="F291" s="24"/>
      <c r="G291" s="24"/>
      <c r="H291" s="24"/>
      <c r="I291" s="24"/>
      <c r="J291" s="24"/>
      <c r="K291" s="24"/>
      <c r="L291" s="24"/>
      <c r="M291" s="24"/>
    </row>
    <row r="292" spans="3:13" ht="15.75" customHeight="1" x14ac:dyDescent="0.3">
      <c r="C292" s="24"/>
      <c r="D292" s="24"/>
      <c r="F292" s="24"/>
      <c r="G292" s="24"/>
      <c r="H292" s="24"/>
      <c r="I292" s="24"/>
      <c r="J292" s="24"/>
      <c r="K292" s="24"/>
      <c r="L292" s="24"/>
      <c r="M292" s="24"/>
    </row>
    <row r="293" spans="3:13" ht="15.75" customHeight="1" x14ac:dyDescent="0.3">
      <c r="C293" s="24"/>
      <c r="D293" s="24"/>
      <c r="F293" s="24"/>
      <c r="G293" s="24"/>
      <c r="H293" s="24"/>
      <c r="I293" s="24"/>
      <c r="J293" s="24"/>
      <c r="K293" s="24"/>
      <c r="L293" s="24"/>
      <c r="M293" s="24"/>
    </row>
    <row r="294" spans="3:13" ht="15.75" customHeight="1" x14ac:dyDescent="0.3">
      <c r="C294" s="24"/>
      <c r="D294" s="24"/>
      <c r="F294" s="24"/>
      <c r="G294" s="24"/>
      <c r="H294" s="24"/>
      <c r="I294" s="24"/>
      <c r="J294" s="24"/>
      <c r="K294" s="24"/>
      <c r="L294" s="24"/>
      <c r="M294" s="24"/>
    </row>
    <row r="295" spans="3:13" ht="15.75" customHeight="1" x14ac:dyDescent="0.3">
      <c r="C295" s="24"/>
      <c r="D295" s="24"/>
      <c r="F295" s="24"/>
      <c r="G295" s="24"/>
      <c r="H295" s="24"/>
      <c r="I295" s="24"/>
      <c r="J295" s="24"/>
      <c r="K295" s="24"/>
      <c r="L295" s="24"/>
      <c r="M295" s="24"/>
    </row>
    <row r="296" spans="3:13" ht="15.75" customHeight="1" x14ac:dyDescent="0.3">
      <c r="C296" s="24"/>
      <c r="D296" s="24"/>
      <c r="F296" s="24"/>
      <c r="G296" s="24"/>
      <c r="H296" s="24"/>
      <c r="I296" s="24"/>
      <c r="J296" s="24"/>
      <c r="K296" s="24"/>
      <c r="L296" s="24"/>
      <c r="M296" s="24"/>
    </row>
    <row r="297" spans="3:13" ht="15.75" customHeight="1" x14ac:dyDescent="0.3">
      <c r="C297" s="24"/>
      <c r="D297" s="24"/>
      <c r="F297" s="24"/>
      <c r="G297" s="24"/>
      <c r="H297" s="24"/>
      <c r="I297" s="24"/>
      <c r="J297" s="24"/>
      <c r="K297" s="24"/>
      <c r="L297" s="24"/>
      <c r="M297" s="24"/>
    </row>
    <row r="298" spans="3:13" ht="15.75" customHeight="1" x14ac:dyDescent="0.3">
      <c r="C298" s="24"/>
      <c r="D298" s="24"/>
      <c r="F298" s="24"/>
      <c r="G298" s="24"/>
      <c r="H298" s="24"/>
      <c r="I298" s="24"/>
      <c r="J298" s="24"/>
      <c r="K298" s="24"/>
      <c r="L298" s="24"/>
      <c r="M298" s="24"/>
    </row>
    <row r="299" spans="3:13" ht="15.75" customHeight="1" x14ac:dyDescent="0.3">
      <c r="C299" s="24"/>
      <c r="D299" s="24"/>
      <c r="F299" s="24"/>
      <c r="G299" s="24"/>
      <c r="H299" s="24"/>
      <c r="I299" s="24"/>
      <c r="J299" s="24"/>
      <c r="K299" s="24"/>
      <c r="L299" s="24"/>
      <c r="M299" s="24"/>
    </row>
    <row r="300" spans="3:13" ht="15.75" customHeight="1" x14ac:dyDescent="0.3">
      <c r="C300" s="24"/>
      <c r="D300" s="24"/>
      <c r="F300" s="24"/>
      <c r="G300" s="24"/>
      <c r="H300" s="24"/>
      <c r="I300" s="24"/>
      <c r="J300" s="24"/>
      <c r="K300" s="24"/>
      <c r="L300" s="24"/>
      <c r="M300" s="24"/>
    </row>
    <row r="301" spans="3:13" ht="15.75" customHeight="1" x14ac:dyDescent="0.3">
      <c r="C301" s="24"/>
      <c r="D301" s="24"/>
      <c r="F301" s="24"/>
      <c r="G301" s="24"/>
      <c r="H301" s="24"/>
      <c r="I301" s="24"/>
      <c r="J301" s="24"/>
      <c r="K301" s="24"/>
      <c r="L301" s="24"/>
      <c r="M301" s="24"/>
    </row>
    <row r="302" spans="3:13" ht="15.75" customHeight="1" x14ac:dyDescent="0.3">
      <c r="C302" s="24"/>
      <c r="D302" s="24"/>
      <c r="F302" s="24"/>
      <c r="G302" s="24"/>
      <c r="H302" s="24"/>
      <c r="I302" s="24"/>
      <c r="J302" s="24"/>
      <c r="K302" s="24"/>
      <c r="L302" s="24"/>
      <c r="M302" s="24"/>
    </row>
    <row r="303" spans="3:13" ht="15.75" customHeight="1" x14ac:dyDescent="0.3">
      <c r="C303" s="24"/>
      <c r="D303" s="24"/>
      <c r="F303" s="24"/>
      <c r="G303" s="24"/>
      <c r="H303" s="24"/>
      <c r="I303" s="24"/>
      <c r="J303" s="24"/>
      <c r="K303" s="24"/>
      <c r="L303" s="24"/>
      <c r="M303" s="24"/>
    </row>
    <row r="304" spans="3:13" ht="15.75" customHeight="1" x14ac:dyDescent="0.3">
      <c r="C304" s="24"/>
      <c r="D304" s="24"/>
      <c r="F304" s="24"/>
      <c r="G304" s="24"/>
      <c r="H304" s="24"/>
      <c r="I304" s="24"/>
      <c r="J304" s="24"/>
      <c r="K304" s="24"/>
      <c r="L304" s="24"/>
      <c r="M304" s="24"/>
    </row>
    <row r="305" spans="3:13" ht="15.75" customHeight="1" x14ac:dyDescent="0.3">
      <c r="C305" s="24"/>
      <c r="D305" s="24"/>
      <c r="F305" s="24"/>
      <c r="G305" s="24"/>
      <c r="H305" s="24"/>
      <c r="I305" s="24"/>
      <c r="J305" s="24"/>
      <c r="K305" s="24"/>
      <c r="L305" s="24"/>
      <c r="M305" s="24"/>
    </row>
    <row r="306" spans="3:13" ht="15.75" customHeight="1" x14ac:dyDescent="0.3">
      <c r="C306" s="24"/>
      <c r="D306" s="24"/>
      <c r="F306" s="24"/>
      <c r="G306" s="24"/>
      <c r="H306" s="24"/>
      <c r="I306" s="24"/>
      <c r="J306" s="24"/>
      <c r="K306" s="24"/>
      <c r="L306" s="24"/>
      <c r="M306" s="24"/>
    </row>
    <row r="307" spans="3:13" ht="15.75" customHeight="1" x14ac:dyDescent="0.3">
      <c r="C307" s="24"/>
      <c r="D307" s="24"/>
      <c r="F307" s="24"/>
      <c r="G307" s="24"/>
      <c r="H307" s="24"/>
      <c r="I307" s="24"/>
      <c r="J307" s="24"/>
      <c r="K307" s="24"/>
      <c r="L307" s="24"/>
      <c r="M307" s="24"/>
    </row>
    <row r="308" spans="3:13" ht="15.75" customHeight="1" x14ac:dyDescent="0.3">
      <c r="C308" s="24"/>
      <c r="D308" s="24"/>
      <c r="F308" s="24"/>
      <c r="G308" s="24"/>
      <c r="H308" s="24"/>
      <c r="I308" s="24"/>
      <c r="J308" s="24"/>
      <c r="K308" s="24"/>
      <c r="L308" s="24"/>
      <c r="M308" s="24"/>
    </row>
    <row r="309" spans="3:13" ht="15.75" customHeight="1" x14ac:dyDescent="0.3">
      <c r="C309" s="24"/>
      <c r="D309" s="24"/>
      <c r="F309" s="24"/>
      <c r="G309" s="24"/>
      <c r="H309" s="24"/>
      <c r="I309" s="24"/>
      <c r="J309" s="24"/>
      <c r="K309" s="24"/>
      <c r="L309" s="24"/>
      <c r="M309" s="24"/>
    </row>
    <row r="310" spans="3:13" ht="15.75" customHeight="1" x14ac:dyDescent="0.3">
      <c r="C310" s="24"/>
      <c r="D310" s="24"/>
      <c r="F310" s="24"/>
      <c r="G310" s="24"/>
      <c r="H310" s="24"/>
      <c r="I310" s="24"/>
      <c r="J310" s="24"/>
      <c r="K310" s="24"/>
      <c r="L310" s="24"/>
      <c r="M310" s="24"/>
    </row>
    <row r="311" spans="3:13" ht="15.75" customHeight="1" x14ac:dyDescent="0.3">
      <c r="C311" s="24"/>
      <c r="D311" s="24"/>
      <c r="F311" s="24"/>
      <c r="G311" s="24"/>
      <c r="H311" s="24"/>
      <c r="I311" s="24"/>
      <c r="J311" s="24"/>
      <c r="K311" s="24"/>
      <c r="L311" s="24"/>
      <c r="M311" s="24"/>
    </row>
    <row r="312" spans="3:13" ht="15.75" customHeight="1" x14ac:dyDescent="0.3">
      <c r="C312" s="24"/>
      <c r="D312" s="24"/>
      <c r="F312" s="24"/>
      <c r="G312" s="24"/>
      <c r="H312" s="24"/>
      <c r="I312" s="24"/>
      <c r="J312" s="24"/>
      <c r="K312" s="24"/>
      <c r="L312" s="24"/>
      <c r="M312" s="24"/>
    </row>
    <row r="313" spans="3:13" ht="15.75" customHeight="1" x14ac:dyDescent="0.3">
      <c r="C313" s="24"/>
      <c r="D313" s="24"/>
      <c r="F313" s="24"/>
      <c r="G313" s="24"/>
      <c r="H313" s="24"/>
      <c r="I313" s="24"/>
      <c r="J313" s="24"/>
      <c r="K313" s="24"/>
      <c r="L313" s="24"/>
      <c r="M313" s="24"/>
    </row>
    <row r="314" spans="3:13" ht="15.75" customHeight="1" x14ac:dyDescent="0.3">
      <c r="C314" s="24"/>
      <c r="D314" s="24"/>
      <c r="F314" s="24"/>
      <c r="G314" s="24"/>
      <c r="H314" s="24"/>
      <c r="I314" s="24"/>
      <c r="J314" s="24"/>
      <c r="K314" s="24"/>
      <c r="L314" s="24"/>
      <c r="M314" s="24"/>
    </row>
    <row r="315" spans="3:13" ht="15.75" customHeight="1" x14ac:dyDescent="0.3">
      <c r="C315" s="24"/>
      <c r="D315" s="24"/>
      <c r="F315" s="24"/>
      <c r="G315" s="24"/>
      <c r="H315" s="24"/>
      <c r="I315" s="24"/>
      <c r="J315" s="24"/>
      <c r="K315" s="24"/>
      <c r="L315" s="24"/>
      <c r="M315" s="24"/>
    </row>
    <row r="316" spans="3:13" ht="15.75" customHeight="1" x14ac:dyDescent="0.3">
      <c r="C316" s="24"/>
      <c r="D316" s="24"/>
      <c r="F316" s="24"/>
      <c r="G316" s="24"/>
      <c r="H316" s="24"/>
      <c r="I316" s="24"/>
      <c r="J316" s="24"/>
      <c r="K316" s="24"/>
      <c r="L316" s="24"/>
      <c r="M316" s="24"/>
    </row>
    <row r="317" spans="3:13" ht="15.75" customHeight="1" x14ac:dyDescent="0.3">
      <c r="C317" s="24"/>
      <c r="D317" s="24"/>
      <c r="F317" s="24"/>
      <c r="G317" s="24"/>
      <c r="H317" s="24"/>
      <c r="I317" s="24"/>
      <c r="J317" s="24"/>
      <c r="K317" s="24"/>
      <c r="L317" s="24"/>
      <c r="M317" s="24"/>
    </row>
    <row r="318" spans="3:13" ht="15.75" customHeight="1" x14ac:dyDescent="0.3">
      <c r="C318" s="24"/>
      <c r="D318" s="24"/>
      <c r="F318" s="24"/>
      <c r="G318" s="24"/>
      <c r="H318" s="24"/>
      <c r="I318" s="24"/>
      <c r="J318" s="24"/>
      <c r="K318" s="24"/>
      <c r="L318" s="24"/>
      <c r="M318" s="24"/>
    </row>
    <row r="319" spans="3:13" ht="15.75" customHeight="1" x14ac:dyDescent="0.3">
      <c r="C319" s="24"/>
      <c r="D319" s="24"/>
      <c r="F319" s="24"/>
      <c r="G319" s="24"/>
      <c r="H319" s="24"/>
      <c r="I319" s="24"/>
      <c r="J319" s="24"/>
      <c r="K319" s="24"/>
      <c r="L319" s="24"/>
      <c r="M319" s="24"/>
    </row>
    <row r="320" spans="3:13" ht="15.75" customHeight="1" x14ac:dyDescent="0.3">
      <c r="C320" s="24"/>
      <c r="D320" s="24"/>
      <c r="F320" s="24"/>
      <c r="G320" s="24"/>
      <c r="H320" s="24"/>
      <c r="I320" s="24"/>
      <c r="J320" s="24"/>
      <c r="K320" s="24"/>
      <c r="L320" s="24"/>
      <c r="M320" s="24"/>
    </row>
    <row r="321" spans="3:13" ht="15.75" customHeight="1" x14ac:dyDescent="0.3">
      <c r="C321" s="24"/>
      <c r="D321" s="24"/>
      <c r="F321" s="24"/>
      <c r="G321" s="24"/>
      <c r="H321" s="24"/>
      <c r="I321" s="24"/>
      <c r="J321" s="24"/>
      <c r="K321" s="24"/>
      <c r="L321" s="24"/>
      <c r="M321" s="24"/>
    </row>
    <row r="322" spans="3:13" ht="15.75" customHeight="1" x14ac:dyDescent="0.3">
      <c r="C322" s="24"/>
      <c r="D322" s="24"/>
      <c r="F322" s="24"/>
      <c r="G322" s="24"/>
      <c r="H322" s="24"/>
      <c r="I322" s="24"/>
      <c r="J322" s="24"/>
      <c r="K322" s="24"/>
      <c r="L322" s="24"/>
      <c r="M322" s="24"/>
    </row>
    <row r="323" spans="3:13" ht="15.75" customHeight="1" x14ac:dyDescent="0.3">
      <c r="C323" s="24"/>
      <c r="D323" s="24"/>
      <c r="F323" s="24"/>
      <c r="G323" s="24"/>
      <c r="H323" s="24"/>
      <c r="I323" s="24"/>
      <c r="J323" s="24"/>
      <c r="K323" s="24"/>
      <c r="L323" s="24"/>
      <c r="M323" s="24"/>
    </row>
    <row r="324" spans="3:13" ht="15.75" customHeight="1" x14ac:dyDescent="0.3">
      <c r="C324" s="24"/>
      <c r="D324" s="24"/>
      <c r="F324" s="24"/>
      <c r="G324" s="24"/>
      <c r="H324" s="24"/>
      <c r="I324" s="24"/>
      <c r="J324" s="24"/>
      <c r="K324" s="24"/>
      <c r="L324" s="24"/>
      <c r="M324" s="24"/>
    </row>
    <row r="325" spans="3:13" ht="15.75" customHeight="1" x14ac:dyDescent="0.3">
      <c r="C325" s="24"/>
      <c r="D325" s="24"/>
      <c r="F325" s="24"/>
      <c r="G325" s="24"/>
      <c r="H325" s="24"/>
      <c r="I325" s="24"/>
      <c r="J325" s="24"/>
      <c r="K325" s="24"/>
      <c r="L325" s="24"/>
      <c r="M325" s="24"/>
    </row>
    <row r="326" spans="3:13" ht="15.75" customHeight="1" x14ac:dyDescent="0.3">
      <c r="C326" s="24"/>
      <c r="D326" s="24"/>
      <c r="F326" s="24"/>
      <c r="G326" s="24"/>
      <c r="H326" s="24"/>
      <c r="I326" s="24"/>
      <c r="J326" s="24"/>
      <c r="K326" s="24"/>
      <c r="L326" s="24"/>
      <c r="M326" s="24"/>
    </row>
    <row r="327" spans="3:13" ht="15.75" customHeight="1" x14ac:dyDescent="0.3">
      <c r="C327" s="24"/>
      <c r="D327" s="24"/>
      <c r="F327" s="24"/>
      <c r="G327" s="24"/>
      <c r="H327" s="24"/>
      <c r="I327" s="24"/>
      <c r="J327" s="24"/>
      <c r="K327" s="24"/>
      <c r="L327" s="24"/>
      <c r="M327" s="24"/>
    </row>
    <row r="328" spans="3:13" ht="15.75" customHeight="1" x14ac:dyDescent="0.3">
      <c r="C328" s="24"/>
      <c r="D328" s="24"/>
      <c r="F328" s="24"/>
      <c r="G328" s="24"/>
      <c r="H328" s="24"/>
      <c r="I328" s="24"/>
      <c r="J328" s="24"/>
      <c r="K328" s="24"/>
      <c r="L328" s="24"/>
      <c r="M328" s="24"/>
    </row>
    <row r="329" spans="3:13" ht="15.75" customHeight="1" x14ac:dyDescent="0.3">
      <c r="C329" s="24"/>
      <c r="D329" s="24"/>
      <c r="F329" s="24"/>
      <c r="G329" s="24"/>
      <c r="H329" s="24"/>
      <c r="I329" s="24"/>
      <c r="J329" s="24"/>
      <c r="K329" s="24"/>
      <c r="L329" s="24"/>
      <c r="M329" s="24"/>
    </row>
    <row r="330" spans="3:13" ht="15.75" customHeight="1" x14ac:dyDescent="0.3">
      <c r="C330" s="24"/>
      <c r="D330" s="24"/>
      <c r="F330" s="24"/>
      <c r="G330" s="24"/>
      <c r="H330" s="24"/>
      <c r="I330" s="24"/>
      <c r="J330" s="24"/>
      <c r="K330" s="24"/>
      <c r="L330" s="24"/>
      <c r="M330" s="24"/>
    </row>
    <row r="331" spans="3:13" ht="15.75" customHeight="1" x14ac:dyDescent="0.3">
      <c r="C331" s="24"/>
      <c r="D331" s="24"/>
      <c r="F331" s="24"/>
      <c r="G331" s="24"/>
      <c r="H331" s="24"/>
      <c r="I331" s="24"/>
      <c r="J331" s="24"/>
      <c r="K331" s="24"/>
      <c r="L331" s="24"/>
      <c r="M331" s="24"/>
    </row>
    <row r="332" spans="3:13" ht="15.75" customHeight="1" x14ac:dyDescent="0.3">
      <c r="C332" s="24"/>
      <c r="D332" s="24"/>
      <c r="F332" s="24"/>
      <c r="G332" s="24"/>
      <c r="H332" s="24"/>
      <c r="I332" s="24"/>
      <c r="J332" s="24"/>
      <c r="K332" s="24"/>
      <c r="L332" s="24"/>
      <c r="M332" s="24"/>
    </row>
    <row r="333" spans="3:13" ht="15.75" customHeight="1" x14ac:dyDescent="0.3">
      <c r="C333" s="24"/>
      <c r="D333" s="24"/>
      <c r="F333" s="24"/>
      <c r="G333" s="24"/>
      <c r="H333" s="24"/>
      <c r="I333" s="24"/>
      <c r="J333" s="24"/>
      <c r="K333" s="24"/>
      <c r="L333" s="24"/>
      <c r="M333" s="24"/>
    </row>
    <row r="334" spans="3:13" ht="15.75" customHeight="1" x14ac:dyDescent="0.3">
      <c r="C334" s="24"/>
      <c r="D334" s="24"/>
      <c r="F334" s="24"/>
      <c r="G334" s="24"/>
      <c r="H334" s="24"/>
      <c r="I334" s="24"/>
      <c r="J334" s="24"/>
      <c r="K334" s="24"/>
      <c r="L334" s="24"/>
      <c r="M334" s="24"/>
    </row>
    <row r="335" spans="3:13" ht="15.75" customHeight="1" x14ac:dyDescent="0.3">
      <c r="C335" s="24"/>
      <c r="D335" s="24"/>
      <c r="F335" s="24"/>
      <c r="G335" s="24"/>
      <c r="H335" s="24"/>
      <c r="I335" s="24"/>
      <c r="J335" s="24"/>
      <c r="K335" s="24"/>
      <c r="L335" s="24"/>
      <c r="M335" s="24"/>
    </row>
    <row r="336" spans="3:13" ht="15.75" customHeight="1" x14ac:dyDescent="0.3">
      <c r="C336" s="24"/>
      <c r="D336" s="24"/>
      <c r="F336" s="24"/>
      <c r="G336" s="24"/>
      <c r="H336" s="24"/>
      <c r="I336" s="24"/>
      <c r="J336" s="24"/>
      <c r="K336" s="24"/>
      <c r="L336" s="24"/>
      <c r="M336" s="24"/>
    </row>
    <row r="337" spans="3:13" ht="15.75" customHeight="1" x14ac:dyDescent="0.3">
      <c r="C337" s="24"/>
      <c r="D337" s="24"/>
      <c r="F337" s="24"/>
      <c r="G337" s="24"/>
      <c r="H337" s="24"/>
      <c r="I337" s="24"/>
      <c r="J337" s="24"/>
      <c r="K337" s="24"/>
      <c r="L337" s="24"/>
      <c r="M337" s="24"/>
    </row>
    <row r="338" spans="3:13" ht="15.75" customHeight="1" x14ac:dyDescent="0.3">
      <c r="C338" s="24"/>
      <c r="D338" s="24"/>
      <c r="F338" s="24"/>
      <c r="G338" s="24"/>
      <c r="H338" s="24"/>
      <c r="I338" s="24"/>
      <c r="J338" s="24"/>
      <c r="K338" s="24"/>
      <c r="L338" s="24"/>
      <c r="M338" s="24"/>
    </row>
    <row r="339" spans="3:13" ht="15.75" customHeight="1" x14ac:dyDescent="0.3">
      <c r="C339" s="24"/>
      <c r="D339" s="24"/>
      <c r="F339" s="24"/>
      <c r="G339" s="24"/>
      <c r="H339" s="24"/>
      <c r="I339" s="24"/>
      <c r="J339" s="24"/>
      <c r="K339" s="24"/>
      <c r="L339" s="24"/>
      <c r="M339" s="24"/>
    </row>
    <row r="340" spans="3:13" ht="15.75" customHeight="1" x14ac:dyDescent="0.3">
      <c r="C340" s="24"/>
      <c r="D340" s="24"/>
      <c r="F340" s="24"/>
      <c r="G340" s="24"/>
      <c r="H340" s="24"/>
      <c r="I340" s="24"/>
      <c r="J340" s="24"/>
      <c r="K340" s="24"/>
      <c r="L340" s="24"/>
      <c r="M340" s="24"/>
    </row>
    <row r="341" spans="3:13" ht="15.75" customHeight="1" x14ac:dyDescent="0.3">
      <c r="C341" s="24"/>
      <c r="D341" s="24"/>
      <c r="F341" s="24"/>
      <c r="G341" s="24"/>
      <c r="H341" s="24"/>
      <c r="I341" s="24"/>
      <c r="J341" s="24"/>
      <c r="K341" s="24"/>
      <c r="L341" s="24"/>
      <c r="M341" s="24"/>
    </row>
    <row r="342" spans="3:13" ht="15.75" customHeight="1" x14ac:dyDescent="0.3">
      <c r="C342" s="24"/>
      <c r="D342" s="24"/>
      <c r="F342" s="24"/>
      <c r="G342" s="24"/>
      <c r="H342" s="24"/>
      <c r="I342" s="24"/>
      <c r="J342" s="24"/>
      <c r="K342" s="24"/>
      <c r="L342" s="24"/>
      <c r="M342" s="24"/>
    </row>
    <row r="343" spans="3:13" ht="15.75" customHeight="1" x14ac:dyDescent="0.3">
      <c r="C343" s="24"/>
      <c r="D343" s="24"/>
      <c r="F343" s="24"/>
      <c r="G343" s="24"/>
      <c r="H343" s="24"/>
      <c r="I343" s="24"/>
      <c r="J343" s="24"/>
      <c r="K343" s="24"/>
      <c r="L343" s="24"/>
      <c r="M343" s="24"/>
    </row>
    <row r="344" spans="3:13" ht="15.75" customHeight="1" x14ac:dyDescent="0.3">
      <c r="C344" s="24"/>
      <c r="D344" s="24"/>
      <c r="F344" s="24"/>
      <c r="G344" s="24"/>
      <c r="H344" s="24"/>
      <c r="I344" s="24"/>
      <c r="J344" s="24"/>
      <c r="K344" s="24"/>
      <c r="L344" s="24"/>
      <c r="M344" s="24"/>
    </row>
    <row r="345" spans="3:13" ht="15.75" customHeight="1" x14ac:dyDescent="0.3">
      <c r="C345" s="24"/>
      <c r="D345" s="24"/>
      <c r="F345" s="24"/>
      <c r="G345" s="24"/>
      <c r="H345" s="24"/>
      <c r="I345" s="24"/>
      <c r="J345" s="24"/>
      <c r="K345" s="24"/>
      <c r="L345" s="24"/>
      <c r="M345" s="24"/>
    </row>
    <row r="346" spans="3:13" ht="15.75" customHeight="1" x14ac:dyDescent="0.3">
      <c r="C346" s="24"/>
      <c r="D346" s="24"/>
      <c r="F346" s="24"/>
      <c r="G346" s="24"/>
      <c r="H346" s="24"/>
      <c r="I346" s="24"/>
      <c r="J346" s="24"/>
      <c r="K346" s="24"/>
      <c r="L346" s="24"/>
      <c r="M346" s="24"/>
    </row>
    <row r="347" spans="3:13" ht="15.75" customHeight="1" x14ac:dyDescent="0.3">
      <c r="C347" s="24"/>
      <c r="D347" s="24"/>
      <c r="F347" s="24"/>
      <c r="G347" s="24"/>
      <c r="H347" s="24"/>
      <c r="I347" s="24"/>
      <c r="J347" s="24"/>
      <c r="K347" s="24"/>
      <c r="L347" s="24"/>
      <c r="M347" s="24"/>
    </row>
    <row r="348" spans="3:13" ht="15.75" customHeight="1" x14ac:dyDescent="0.3">
      <c r="C348" s="24"/>
      <c r="D348" s="24"/>
      <c r="F348" s="24"/>
      <c r="G348" s="24"/>
      <c r="H348" s="24"/>
      <c r="I348" s="24"/>
      <c r="J348" s="24"/>
      <c r="K348" s="24"/>
      <c r="L348" s="24"/>
      <c r="M348" s="24"/>
    </row>
    <row r="349" spans="3:13" ht="15.75" customHeight="1" x14ac:dyDescent="0.3">
      <c r="C349" s="24"/>
      <c r="D349" s="24"/>
      <c r="F349" s="24"/>
      <c r="G349" s="24"/>
      <c r="H349" s="24"/>
      <c r="I349" s="24"/>
      <c r="J349" s="24"/>
      <c r="K349" s="24"/>
      <c r="L349" s="24"/>
      <c r="M349" s="24"/>
    </row>
    <row r="350" spans="3:13" ht="15.75" customHeight="1" x14ac:dyDescent="0.3">
      <c r="C350" s="24"/>
      <c r="D350" s="24"/>
      <c r="F350" s="24"/>
      <c r="G350" s="24"/>
      <c r="H350" s="24"/>
      <c r="I350" s="24"/>
      <c r="J350" s="24"/>
      <c r="K350" s="24"/>
      <c r="L350" s="24"/>
      <c r="M350" s="24"/>
    </row>
    <row r="351" spans="3:13" ht="15.75" customHeight="1" x14ac:dyDescent="0.3">
      <c r="C351" s="24"/>
      <c r="D351" s="24"/>
      <c r="F351" s="24"/>
      <c r="G351" s="24"/>
      <c r="H351" s="24"/>
      <c r="I351" s="24"/>
      <c r="J351" s="24"/>
      <c r="K351" s="24"/>
      <c r="L351" s="24"/>
      <c r="M351" s="24"/>
    </row>
    <row r="352" spans="3:13" ht="15.75" customHeight="1" x14ac:dyDescent="0.3">
      <c r="C352" s="24"/>
      <c r="D352" s="24"/>
      <c r="F352" s="24"/>
      <c r="G352" s="24"/>
      <c r="H352" s="24"/>
      <c r="I352" s="24"/>
      <c r="J352" s="24"/>
      <c r="K352" s="24"/>
      <c r="L352" s="24"/>
      <c r="M352" s="24"/>
    </row>
    <row r="353" spans="3:13" ht="15.75" customHeight="1" x14ac:dyDescent="0.3">
      <c r="C353" s="24"/>
      <c r="D353" s="24"/>
      <c r="F353" s="24"/>
      <c r="G353" s="24"/>
      <c r="H353" s="24"/>
      <c r="I353" s="24"/>
      <c r="J353" s="24"/>
      <c r="K353" s="24"/>
      <c r="L353" s="24"/>
      <c r="M353" s="24"/>
    </row>
    <row r="354" spans="3:13" ht="15.75" customHeight="1" x14ac:dyDescent="0.3">
      <c r="C354" s="24"/>
      <c r="D354" s="24"/>
      <c r="F354" s="24"/>
      <c r="G354" s="24"/>
      <c r="H354" s="24"/>
      <c r="I354" s="24"/>
      <c r="J354" s="24"/>
      <c r="K354" s="24"/>
      <c r="L354" s="24"/>
      <c r="M354" s="24"/>
    </row>
    <row r="355" spans="3:13" ht="15.75" customHeight="1" x14ac:dyDescent="0.3">
      <c r="C355" s="24"/>
      <c r="D355" s="24"/>
      <c r="F355" s="24"/>
      <c r="G355" s="24"/>
      <c r="H355" s="24"/>
      <c r="I355" s="24"/>
      <c r="J355" s="24"/>
      <c r="K355" s="24"/>
      <c r="L355" s="24"/>
      <c r="M355" s="24"/>
    </row>
    <row r="356" spans="3:13" ht="15.75" customHeight="1" x14ac:dyDescent="0.3">
      <c r="C356" s="24"/>
      <c r="D356" s="24"/>
      <c r="F356" s="24"/>
      <c r="G356" s="24"/>
      <c r="H356" s="24"/>
      <c r="I356" s="24"/>
      <c r="J356" s="24"/>
      <c r="K356" s="24"/>
      <c r="L356" s="24"/>
      <c r="M356" s="24"/>
    </row>
    <row r="357" spans="3:13" ht="15.75" customHeight="1" x14ac:dyDescent="0.3">
      <c r="C357" s="24"/>
      <c r="D357" s="24"/>
      <c r="F357" s="24"/>
      <c r="G357" s="24"/>
      <c r="H357" s="24"/>
      <c r="I357" s="24"/>
      <c r="J357" s="24"/>
      <c r="K357" s="24"/>
      <c r="L357" s="24"/>
      <c r="M357" s="24"/>
    </row>
    <row r="358" spans="3:13" ht="15.75" customHeight="1" x14ac:dyDescent="0.3">
      <c r="C358" s="24"/>
      <c r="D358" s="24"/>
      <c r="F358" s="24"/>
      <c r="G358" s="24"/>
      <c r="H358" s="24"/>
      <c r="I358" s="24"/>
      <c r="J358" s="24"/>
      <c r="K358" s="24"/>
      <c r="L358" s="24"/>
      <c r="M358" s="24"/>
    </row>
    <row r="359" spans="3:13" ht="15.75" customHeight="1" x14ac:dyDescent="0.3">
      <c r="C359" s="24"/>
      <c r="D359" s="24"/>
      <c r="F359" s="24"/>
      <c r="G359" s="24"/>
      <c r="H359" s="24"/>
      <c r="I359" s="24"/>
      <c r="J359" s="24"/>
      <c r="K359" s="24"/>
      <c r="L359" s="24"/>
      <c r="M359" s="24"/>
    </row>
    <row r="360" spans="3:13" ht="15.75" customHeight="1" x14ac:dyDescent="0.3">
      <c r="C360" s="24"/>
      <c r="D360" s="24"/>
      <c r="F360" s="24"/>
      <c r="G360" s="24"/>
      <c r="H360" s="24"/>
      <c r="I360" s="24"/>
      <c r="J360" s="24"/>
      <c r="K360" s="24"/>
      <c r="L360" s="24"/>
      <c r="M360" s="24"/>
    </row>
    <row r="361" spans="3:13" ht="15.75" customHeight="1" x14ac:dyDescent="0.3">
      <c r="C361" s="24"/>
      <c r="D361" s="24"/>
      <c r="F361" s="24"/>
      <c r="G361" s="24"/>
      <c r="H361" s="24"/>
      <c r="I361" s="24"/>
      <c r="J361" s="24"/>
      <c r="K361" s="24"/>
      <c r="L361" s="24"/>
      <c r="M361" s="24"/>
    </row>
    <row r="362" spans="3:13" ht="15.75" customHeight="1" x14ac:dyDescent="0.3">
      <c r="C362" s="24"/>
      <c r="D362" s="24"/>
      <c r="F362" s="24"/>
      <c r="G362" s="24"/>
      <c r="H362" s="24"/>
      <c r="I362" s="24"/>
      <c r="J362" s="24"/>
      <c r="K362" s="24"/>
      <c r="L362" s="24"/>
      <c r="M362" s="24"/>
    </row>
    <row r="363" spans="3:13" ht="15.75" customHeight="1" x14ac:dyDescent="0.3">
      <c r="C363" s="24"/>
      <c r="D363" s="24"/>
      <c r="F363" s="24"/>
      <c r="G363" s="24"/>
      <c r="H363" s="24"/>
      <c r="I363" s="24"/>
      <c r="J363" s="24"/>
      <c r="K363" s="24"/>
      <c r="L363" s="24"/>
      <c r="M363" s="24"/>
    </row>
    <row r="364" spans="3:13" ht="15.75" customHeight="1" x14ac:dyDescent="0.3">
      <c r="C364" s="24"/>
      <c r="D364" s="24"/>
      <c r="F364" s="24"/>
      <c r="G364" s="24"/>
      <c r="H364" s="24"/>
      <c r="I364" s="24"/>
      <c r="J364" s="24"/>
      <c r="K364" s="24"/>
      <c r="L364" s="24"/>
      <c r="M364" s="24"/>
    </row>
    <row r="365" spans="3:13" ht="15.75" customHeight="1" x14ac:dyDescent="0.3">
      <c r="C365" s="24"/>
      <c r="D365" s="24"/>
      <c r="F365" s="24"/>
      <c r="G365" s="24"/>
      <c r="H365" s="24"/>
      <c r="I365" s="24"/>
      <c r="J365" s="24"/>
      <c r="K365" s="24"/>
      <c r="L365" s="24"/>
      <c r="M365" s="24"/>
    </row>
    <row r="366" spans="3:13" ht="15.75" customHeight="1" x14ac:dyDescent="0.3">
      <c r="C366" s="24"/>
      <c r="D366" s="24"/>
      <c r="F366" s="24"/>
      <c r="G366" s="24"/>
      <c r="H366" s="24"/>
      <c r="I366" s="24"/>
      <c r="J366" s="24"/>
      <c r="K366" s="24"/>
      <c r="L366" s="24"/>
      <c r="M366" s="24"/>
    </row>
    <row r="367" spans="3:13" ht="15.75" customHeight="1" x14ac:dyDescent="0.3">
      <c r="C367" s="24"/>
      <c r="D367" s="24"/>
      <c r="F367" s="24"/>
      <c r="G367" s="24"/>
      <c r="H367" s="24"/>
      <c r="I367" s="24"/>
      <c r="J367" s="24"/>
      <c r="K367" s="24"/>
      <c r="L367" s="24"/>
      <c r="M367" s="24"/>
    </row>
    <row r="368" spans="3:13" ht="15.75" customHeight="1" x14ac:dyDescent="0.3">
      <c r="C368" s="24"/>
      <c r="D368" s="24"/>
      <c r="F368" s="24"/>
      <c r="G368" s="24"/>
      <c r="H368" s="24"/>
      <c r="I368" s="24"/>
      <c r="J368" s="24"/>
      <c r="K368" s="24"/>
      <c r="L368" s="24"/>
      <c r="M368" s="24"/>
    </row>
    <row r="369" spans="3:13" ht="15.75" customHeight="1" x14ac:dyDescent="0.3">
      <c r="C369" s="24"/>
      <c r="D369" s="24"/>
      <c r="F369" s="24"/>
      <c r="G369" s="24"/>
      <c r="H369" s="24"/>
      <c r="I369" s="24"/>
      <c r="J369" s="24"/>
      <c r="K369" s="24"/>
      <c r="L369" s="24"/>
      <c r="M369" s="24"/>
    </row>
    <row r="370" spans="3:13" ht="15.75" customHeight="1" x14ac:dyDescent="0.3">
      <c r="C370" s="24"/>
      <c r="D370" s="24"/>
      <c r="F370" s="24"/>
      <c r="G370" s="24"/>
      <c r="H370" s="24"/>
      <c r="I370" s="24"/>
      <c r="J370" s="24"/>
      <c r="K370" s="24"/>
      <c r="L370" s="24"/>
      <c r="M370" s="24"/>
    </row>
    <row r="371" spans="3:13" ht="15.75" customHeight="1" x14ac:dyDescent="0.3">
      <c r="C371" s="24"/>
      <c r="D371" s="24"/>
      <c r="F371" s="24"/>
      <c r="G371" s="24"/>
      <c r="H371" s="24"/>
      <c r="I371" s="24"/>
      <c r="J371" s="24"/>
      <c r="K371" s="24"/>
      <c r="L371" s="24"/>
      <c r="M371" s="24"/>
    </row>
    <row r="372" spans="3:13" ht="15.75" customHeight="1" x14ac:dyDescent="0.3">
      <c r="C372" s="24"/>
      <c r="D372" s="24"/>
      <c r="F372" s="24"/>
      <c r="G372" s="24"/>
      <c r="H372" s="24"/>
      <c r="I372" s="24"/>
      <c r="J372" s="24"/>
      <c r="K372" s="24"/>
      <c r="L372" s="24"/>
      <c r="M372" s="24"/>
    </row>
    <row r="373" spans="3:13" ht="15.75" customHeight="1" x14ac:dyDescent="0.3">
      <c r="C373" s="24"/>
      <c r="D373" s="24"/>
      <c r="F373" s="24"/>
      <c r="G373" s="24"/>
      <c r="H373" s="24"/>
      <c r="I373" s="24"/>
      <c r="J373" s="24"/>
      <c r="K373" s="24"/>
      <c r="L373" s="24"/>
      <c r="M373" s="24"/>
    </row>
    <row r="374" spans="3:13" ht="15.75" customHeight="1" x14ac:dyDescent="0.3">
      <c r="C374" s="24"/>
      <c r="D374" s="24"/>
      <c r="F374" s="24"/>
      <c r="G374" s="24"/>
      <c r="H374" s="24"/>
      <c r="I374" s="24"/>
      <c r="J374" s="24"/>
      <c r="K374" s="24"/>
      <c r="L374" s="24"/>
      <c r="M374" s="24"/>
    </row>
    <row r="375" spans="3:13" ht="15.75" customHeight="1" x14ac:dyDescent="0.3">
      <c r="C375" s="24"/>
      <c r="D375" s="24"/>
      <c r="F375" s="24"/>
      <c r="G375" s="24"/>
      <c r="H375" s="24"/>
      <c r="I375" s="24"/>
      <c r="J375" s="24"/>
      <c r="K375" s="24"/>
      <c r="L375" s="24"/>
      <c r="M375" s="24"/>
    </row>
    <row r="376" spans="3:13" ht="15.75" customHeight="1" x14ac:dyDescent="0.3">
      <c r="C376" s="24"/>
      <c r="D376" s="24"/>
      <c r="F376" s="24"/>
      <c r="G376" s="24"/>
      <c r="H376" s="24"/>
      <c r="I376" s="24"/>
      <c r="J376" s="24"/>
      <c r="K376" s="24"/>
      <c r="L376" s="24"/>
      <c r="M376" s="24"/>
    </row>
    <row r="377" spans="3:13" ht="15.75" customHeight="1" x14ac:dyDescent="0.3">
      <c r="C377" s="24"/>
      <c r="D377" s="24"/>
      <c r="F377" s="24"/>
      <c r="G377" s="24"/>
      <c r="H377" s="24"/>
      <c r="I377" s="24"/>
      <c r="J377" s="24"/>
      <c r="K377" s="24"/>
      <c r="L377" s="24"/>
      <c r="M377" s="24"/>
    </row>
    <row r="378" spans="3:13" ht="15.75" customHeight="1" x14ac:dyDescent="0.3">
      <c r="C378" s="24"/>
      <c r="D378" s="24"/>
      <c r="F378" s="24"/>
      <c r="G378" s="24"/>
      <c r="H378" s="24"/>
      <c r="I378" s="24"/>
      <c r="J378" s="24"/>
      <c r="K378" s="24"/>
      <c r="L378" s="24"/>
      <c r="M378" s="24"/>
    </row>
    <row r="379" spans="3:13" ht="15.75" customHeight="1" x14ac:dyDescent="0.3">
      <c r="C379" s="24"/>
      <c r="D379" s="24"/>
      <c r="F379" s="24"/>
      <c r="G379" s="24"/>
      <c r="H379" s="24"/>
      <c r="I379" s="24"/>
      <c r="J379" s="24"/>
      <c r="K379" s="24"/>
      <c r="L379" s="24"/>
      <c r="M379" s="24"/>
    </row>
    <row r="380" spans="3:13" ht="15.75" customHeight="1" x14ac:dyDescent="0.3">
      <c r="C380" s="24"/>
      <c r="D380" s="24"/>
      <c r="F380" s="24"/>
      <c r="G380" s="24"/>
      <c r="H380" s="24"/>
      <c r="I380" s="24"/>
      <c r="J380" s="24"/>
      <c r="K380" s="24"/>
      <c r="L380" s="24"/>
      <c r="M380" s="24"/>
    </row>
    <row r="381" spans="3:13" ht="15.75" customHeight="1" x14ac:dyDescent="0.3">
      <c r="C381" s="24"/>
      <c r="D381" s="24"/>
      <c r="F381" s="24"/>
      <c r="G381" s="24"/>
      <c r="H381" s="24"/>
      <c r="I381" s="24"/>
      <c r="J381" s="24"/>
      <c r="K381" s="24"/>
      <c r="L381" s="24"/>
      <c r="M381" s="24"/>
    </row>
    <row r="382" spans="3:13" ht="15.75" customHeight="1" x14ac:dyDescent="0.3">
      <c r="C382" s="24"/>
      <c r="D382" s="24"/>
      <c r="F382" s="24"/>
      <c r="G382" s="24"/>
      <c r="H382" s="24"/>
      <c r="I382" s="24"/>
      <c r="J382" s="24"/>
      <c r="K382" s="24"/>
      <c r="L382" s="24"/>
      <c r="M382" s="24"/>
    </row>
    <row r="383" spans="3:13" ht="15.75" customHeight="1" x14ac:dyDescent="0.3">
      <c r="C383" s="24"/>
      <c r="D383" s="24"/>
      <c r="F383" s="24"/>
      <c r="G383" s="24"/>
      <c r="H383" s="24"/>
      <c r="I383" s="24"/>
      <c r="J383" s="24"/>
      <c r="K383" s="24"/>
      <c r="L383" s="24"/>
      <c r="M383" s="24"/>
    </row>
    <row r="384" spans="3:13" ht="15.75" customHeight="1" x14ac:dyDescent="0.3">
      <c r="C384" s="24"/>
      <c r="D384" s="24"/>
      <c r="F384" s="24"/>
      <c r="G384" s="24"/>
      <c r="H384" s="24"/>
      <c r="I384" s="24"/>
      <c r="J384" s="24"/>
      <c r="K384" s="24"/>
      <c r="L384" s="24"/>
      <c r="M384" s="24"/>
    </row>
    <row r="385" spans="3:13" ht="15.75" customHeight="1" x14ac:dyDescent="0.3">
      <c r="C385" s="24"/>
      <c r="D385" s="24"/>
      <c r="F385" s="24"/>
      <c r="G385" s="24"/>
      <c r="H385" s="24"/>
      <c r="I385" s="24"/>
      <c r="J385" s="24"/>
      <c r="K385" s="24"/>
      <c r="L385" s="24"/>
      <c r="M385" s="24"/>
    </row>
    <row r="386" spans="3:13" ht="15.75" customHeight="1" x14ac:dyDescent="0.3">
      <c r="C386" s="24"/>
      <c r="D386" s="24"/>
      <c r="F386" s="24"/>
      <c r="G386" s="24"/>
      <c r="H386" s="24"/>
      <c r="I386" s="24"/>
      <c r="J386" s="24"/>
      <c r="K386" s="24"/>
      <c r="L386" s="24"/>
      <c r="M386" s="24"/>
    </row>
    <row r="387" spans="3:13" ht="15.75" customHeight="1" x14ac:dyDescent="0.3">
      <c r="C387" s="24"/>
      <c r="D387" s="24"/>
      <c r="F387" s="24"/>
      <c r="G387" s="24"/>
      <c r="H387" s="24"/>
      <c r="I387" s="24"/>
      <c r="J387" s="24"/>
      <c r="K387" s="24"/>
      <c r="L387" s="24"/>
      <c r="M387" s="24"/>
    </row>
    <row r="388" spans="3:13" ht="15.75" customHeight="1" x14ac:dyDescent="0.3">
      <c r="C388" s="24"/>
      <c r="D388" s="24"/>
      <c r="F388" s="24"/>
      <c r="G388" s="24"/>
      <c r="H388" s="24"/>
      <c r="I388" s="24"/>
      <c r="J388" s="24"/>
      <c r="K388" s="24"/>
      <c r="L388" s="24"/>
      <c r="M388" s="24"/>
    </row>
    <row r="389" spans="3:13" ht="15.75" customHeight="1" x14ac:dyDescent="0.3">
      <c r="C389" s="24"/>
      <c r="D389" s="24"/>
      <c r="F389" s="24"/>
      <c r="G389" s="24"/>
      <c r="H389" s="24"/>
      <c r="I389" s="24"/>
      <c r="J389" s="24"/>
      <c r="K389" s="24"/>
      <c r="L389" s="24"/>
      <c r="M389" s="24"/>
    </row>
    <row r="390" spans="3:13" ht="15.75" customHeight="1" x14ac:dyDescent="0.3">
      <c r="C390" s="24"/>
      <c r="D390" s="24"/>
      <c r="F390" s="24"/>
      <c r="G390" s="24"/>
      <c r="H390" s="24"/>
      <c r="I390" s="24"/>
      <c r="J390" s="24"/>
      <c r="K390" s="24"/>
      <c r="L390" s="24"/>
      <c r="M390" s="24"/>
    </row>
    <row r="391" spans="3:13" ht="15.75" customHeight="1" x14ac:dyDescent="0.3">
      <c r="C391" s="24"/>
      <c r="D391" s="24"/>
      <c r="F391" s="24"/>
      <c r="G391" s="24"/>
      <c r="H391" s="24"/>
      <c r="I391" s="24"/>
      <c r="J391" s="24"/>
      <c r="K391" s="24"/>
      <c r="L391" s="24"/>
      <c r="M391" s="24"/>
    </row>
    <row r="392" spans="3:13" ht="15.75" customHeight="1" x14ac:dyDescent="0.3">
      <c r="C392" s="24"/>
      <c r="D392" s="24"/>
      <c r="F392" s="24"/>
      <c r="G392" s="24"/>
      <c r="H392" s="24"/>
      <c r="I392" s="24"/>
      <c r="J392" s="24"/>
      <c r="K392" s="24"/>
      <c r="L392" s="24"/>
      <c r="M392" s="24"/>
    </row>
    <row r="393" spans="3:13" ht="15.75" customHeight="1" x14ac:dyDescent="0.3">
      <c r="C393" s="24"/>
      <c r="D393" s="24"/>
      <c r="F393" s="24"/>
      <c r="G393" s="24"/>
      <c r="H393" s="24"/>
      <c r="I393" s="24"/>
      <c r="J393" s="24"/>
      <c r="K393" s="24"/>
      <c r="L393" s="24"/>
      <c r="M393" s="24"/>
    </row>
    <row r="394" spans="3:13" ht="15.75" customHeight="1" x14ac:dyDescent="0.3">
      <c r="C394" s="24"/>
      <c r="D394" s="24"/>
      <c r="F394" s="24"/>
      <c r="G394" s="24"/>
      <c r="H394" s="24"/>
      <c r="I394" s="24"/>
      <c r="J394" s="24"/>
      <c r="K394" s="24"/>
      <c r="L394" s="24"/>
      <c r="M394" s="24"/>
    </row>
    <row r="395" spans="3:13" ht="15.75" customHeight="1" x14ac:dyDescent="0.3">
      <c r="C395" s="24"/>
      <c r="D395" s="24"/>
      <c r="F395" s="24"/>
      <c r="G395" s="24"/>
      <c r="H395" s="24"/>
      <c r="I395" s="24"/>
      <c r="J395" s="24"/>
      <c r="K395" s="24"/>
      <c r="L395" s="24"/>
      <c r="M395" s="24"/>
    </row>
    <row r="396" spans="3:13" ht="15.75" customHeight="1" x14ac:dyDescent="0.3">
      <c r="C396" s="24"/>
      <c r="D396" s="24"/>
      <c r="F396" s="24"/>
      <c r="G396" s="24"/>
      <c r="H396" s="24"/>
      <c r="I396" s="24"/>
      <c r="J396" s="24"/>
      <c r="K396" s="24"/>
      <c r="L396" s="24"/>
      <c r="M396" s="24"/>
    </row>
    <row r="397" spans="3:13" ht="15.75" customHeight="1" x14ac:dyDescent="0.3">
      <c r="C397" s="24"/>
      <c r="D397" s="24"/>
      <c r="F397" s="24"/>
      <c r="G397" s="24"/>
      <c r="H397" s="24"/>
      <c r="I397" s="24"/>
      <c r="J397" s="24"/>
      <c r="K397" s="24"/>
      <c r="L397" s="24"/>
      <c r="M397" s="24"/>
    </row>
    <row r="398" spans="3:13" ht="15.75" customHeight="1" x14ac:dyDescent="0.3">
      <c r="C398" s="24"/>
      <c r="D398" s="24"/>
      <c r="F398" s="24"/>
      <c r="G398" s="24"/>
      <c r="H398" s="24"/>
      <c r="I398" s="24"/>
      <c r="J398" s="24"/>
      <c r="K398" s="24"/>
      <c r="L398" s="24"/>
      <c r="M398" s="24"/>
    </row>
    <row r="399" spans="3:13" ht="15.75" customHeight="1" x14ac:dyDescent="0.3">
      <c r="C399" s="24"/>
      <c r="D399" s="24"/>
      <c r="F399" s="24"/>
      <c r="G399" s="24"/>
      <c r="H399" s="24"/>
      <c r="I399" s="24"/>
      <c r="J399" s="24"/>
      <c r="K399" s="24"/>
      <c r="L399" s="24"/>
      <c r="M399" s="24"/>
    </row>
    <row r="400" spans="3:13" ht="15.75" customHeight="1" x14ac:dyDescent="0.3">
      <c r="C400" s="24"/>
      <c r="D400" s="24"/>
      <c r="F400" s="24"/>
      <c r="G400" s="24"/>
      <c r="H400" s="24"/>
      <c r="I400" s="24"/>
      <c r="J400" s="24"/>
      <c r="K400" s="24"/>
      <c r="L400" s="24"/>
      <c r="M400" s="24"/>
    </row>
    <row r="401" spans="3:13" ht="15.75" customHeight="1" x14ac:dyDescent="0.3">
      <c r="C401" s="24"/>
      <c r="D401" s="24"/>
      <c r="F401" s="24"/>
      <c r="G401" s="24"/>
      <c r="H401" s="24"/>
      <c r="I401" s="24"/>
      <c r="J401" s="24"/>
      <c r="K401" s="24"/>
      <c r="L401" s="24"/>
      <c r="M401" s="24"/>
    </row>
    <row r="402" spans="3:13" ht="15.75" customHeight="1" x14ac:dyDescent="0.3">
      <c r="C402" s="24"/>
      <c r="D402" s="24"/>
      <c r="F402" s="24"/>
      <c r="G402" s="24"/>
      <c r="H402" s="24"/>
      <c r="I402" s="24"/>
      <c r="J402" s="24"/>
      <c r="K402" s="24"/>
      <c r="L402" s="24"/>
      <c r="M402" s="24"/>
    </row>
    <row r="403" spans="3:13" ht="15.75" customHeight="1" x14ac:dyDescent="0.3">
      <c r="C403" s="24"/>
      <c r="D403" s="24"/>
      <c r="F403" s="24"/>
      <c r="G403" s="24"/>
      <c r="H403" s="24"/>
      <c r="I403" s="24"/>
      <c r="J403" s="24"/>
      <c r="K403" s="24"/>
      <c r="L403" s="24"/>
      <c r="M403" s="24"/>
    </row>
    <row r="404" spans="3:13" ht="15.75" customHeight="1" x14ac:dyDescent="0.3">
      <c r="C404" s="24"/>
      <c r="D404" s="24"/>
      <c r="F404" s="24"/>
      <c r="G404" s="24"/>
      <c r="H404" s="24"/>
      <c r="I404" s="24"/>
      <c r="J404" s="24"/>
      <c r="K404" s="24"/>
      <c r="L404" s="24"/>
      <c r="M404" s="24"/>
    </row>
    <row r="405" spans="3:13" ht="15.75" customHeight="1" x14ac:dyDescent="0.3">
      <c r="C405" s="24"/>
      <c r="D405" s="24"/>
      <c r="F405" s="24"/>
      <c r="G405" s="24"/>
      <c r="H405" s="24"/>
      <c r="I405" s="24"/>
      <c r="J405" s="24"/>
      <c r="K405" s="24"/>
      <c r="L405" s="24"/>
      <c r="M405" s="24"/>
    </row>
    <row r="406" spans="3:13" ht="15.75" customHeight="1" x14ac:dyDescent="0.3">
      <c r="C406" s="24"/>
      <c r="D406" s="24"/>
      <c r="F406" s="24"/>
      <c r="G406" s="24"/>
      <c r="H406" s="24"/>
      <c r="I406" s="24"/>
      <c r="J406" s="24"/>
      <c r="K406" s="24"/>
      <c r="L406" s="24"/>
      <c r="M406" s="24"/>
    </row>
    <row r="407" spans="3:13" ht="15.75" customHeight="1" x14ac:dyDescent="0.3">
      <c r="C407" s="24"/>
      <c r="D407" s="24"/>
      <c r="F407" s="24"/>
      <c r="G407" s="24"/>
      <c r="H407" s="24"/>
      <c r="I407" s="24"/>
      <c r="J407" s="24"/>
      <c r="K407" s="24"/>
      <c r="L407" s="24"/>
      <c r="M407" s="24"/>
    </row>
    <row r="408" spans="3:13" ht="15.75" customHeight="1" x14ac:dyDescent="0.3">
      <c r="C408" s="24"/>
      <c r="D408" s="24"/>
      <c r="F408" s="24"/>
      <c r="G408" s="24"/>
      <c r="H408" s="24"/>
      <c r="I408" s="24"/>
      <c r="J408" s="24"/>
      <c r="K408" s="24"/>
      <c r="L408" s="24"/>
      <c r="M408" s="24"/>
    </row>
    <row r="409" spans="3:13" ht="15.75" customHeight="1" x14ac:dyDescent="0.3">
      <c r="C409" s="24"/>
      <c r="D409" s="24"/>
      <c r="F409" s="24"/>
      <c r="G409" s="24"/>
      <c r="H409" s="24"/>
      <c r="I409" s="24"/>
      <c r="J409" s="24"/>
      <c r="K409" s="24"/>
      <c r="L409" s="24"/>
      <c r="M409" s="24"/>
    </row>
    <row r="410" spans="3:13" ht="15.75" customHeight="1" x14ac:dyDescent="0.3">
      <c r="C410" s="24"/>
      <c r="D410" s="24"/>
      <c r="F410" s="24"/>
      <c r="G410" s="24"/>
      <c r="H410" s="24"/>
      <c r="I410" s="24"/>
      <c r="J410" s="24"/>
      <c r="K410" s="24"/>
      <c r="L410" s="24"/>
      <c r="M410" s="24"/>
    </row>
    <row r="411" spans="3:13" ht="15.75" customHeight="1" x14ac:dyDescent="0.3">
      <c r="C411" s="24"/>
      <c r="D411" s="24"/>
      <c r="F411" s="24"/>
      <c r="G411" s="24"/>
      <c r="H411" s="24"/>
      <c r="I411" s="24"/>
      <c r="J411" s="24"/>
      <c r="K411" s="24"/>
      <c r="L411" s="24"/>
      <c r="M411" s="24"/>
    </row>
    <row r="412" spans="3:13" ht="15.75" customHeight="1" x14ac:dyDescent="0.3">
      <c r="C412" s="24"/>
      <c r="D412" s="24"/>
      <c r="F412" s="24"/>
      <c r="G412" s="24"/>
      <c r="H412" s="24"/>
      <c r="I412" s="24"/>
      <c r="J412" s="24"/>
      <c r="K412" s="24"/>
      <c r="L412" s="24"/>
      <c r="M412" s="24"/>
    </row>
    <row r="413" spans="3:13" ht="15.75" customHeight="1" x14ac:dyDescent="0.3">
      <c r="C413" s="24"/>
      <c r="D413" s="24"/>
      <c r="F413" s="24"/>
      <c r="G413" s="24"/>
      <c r="H413" s="24"/>
      <c r="I413" s="24"/>
      <c r="J413" s="24"/>
      <c r="K413" s="24"/>
      <c r="L413" s="24"/>
      <c r="M413" s="24"/>
    </row>
    <row r="414" spans="3:13" ht="15.75" customHeight="1" x14ac:dyDescent="0.3">
      <c r="C414" s="24"/>
      <c r="D414" s="24"/>
      <c r="F414" s="24"/>
      <c r="G414" s="24"/>
      <c r="H414" s="24"/>
      <c r="I414" s="24"/>
      <c r="J414" s="24"/>
      <c r="K414" s="24"/>
      <c r="L414" s="24"/>
      <c r="M414" s="24"/>
    </row>
    <row r="415" spans="3:13" ht="15.75" customHeight="1" x14ac:dyDescent="0.3">
      <c r="C415" s="24"/>
      <c r="D415" s="24"/>
      <c r="F415" s="24"/>
      <c r="G415" s="24"/>
      <c r="H415" s="24"/>
      <c r="I415" s="24"/>
      <c r="J415" s="24"/>
      <c r="K415" s="24"/>
      <c r="L415" s="24"/>
      <c r="M415" s="24"/>
    </row>
    <row r="416" spans="3:13" ht="15.75" customHeight="1" x14ac:dyDescent="0.3">
      <c r="C416" s="24"/>
      <c r="D416" s="24"/>
      <c r="F416" s="24"/>
      <c r="G416" s="24"/>
      <c r="H416" s="24"/>
      <c r="I416" s="24"/>
      <c r="J416" s="24"/>
      <c r="K416" s="24"/>
      <c r="L416" s="24"/>
      <c r="M416" s="24"/>
    </row>
    <row r="417" spans="3:13" ht="15.75" customHeight="1" x14ac:dyDescent="0.3">
      <c r="C417" s="24"/>
      <c r="D417" s="24"/>
      <c r="F417" s="24"/>
      <c r="G417" s="24"/>
      <c r="H417" s="24"/>
      <c r="I417" s="24"/>
      <c r="J417" s="24"/>
      <c r="K417" s="24"/>
      <c r="L417" s="24"/>
      <c r="M417" s="24"/>
    </row>
    <row r="418" spans="3:13" ht="15.75" customHeight="1" x14ac:dyDescent="0.3">
      <c r="C418" s="24"/>
      <c r="D418" s="24"/>
      <c r="F418" s="24"/>
      <c r="G418" s="24"/>
      <c r="H418" s="24"/>
      <c r="I418" s="24"/>
      <c r="J418" s="24"/>
      <c r="K418" s="24"/>
      <c r="L418" s="24"/>
      <c r="M418" s="24"/>
    </row>
    <row r="419" spans="3:13" ht="15.75" customHeight="1" x14ac:dyDescent="0.3">
      <c r="C419" s="24"/>
      <c r="D419" s="24"/>
      <c r="F419" s="24"/>
      <c r="G419" s="24"/>
      <c r="H419" s="24"/>
      <c r="I419" s="24"/>
      <c r="J419" s="24"/>
      <c r="K419" s="24"/>
      <c r="L419" s="24"/>
      <c r="M419" s="24"/>
    </row>
    <row r="420" spans="3:13" ht="15.75" customHeight="1" x14ac:dyDescent="0.3">
      <c r="C420" s="24"/>
      <c r="D420" s="24"/>
      <c r="F420" s="24"/>
      <c r="G420" s="24"/>
      <c r="H420" s="24"/>
      <c r="I420" s="24"/>
      <c r="J420" s="24"/>
      <c r="K420" s="24"/>
      <c r="L420" s="24"/>
      <c r="M420" s="24"/>
    </row>
    <row r="421" spans="3:13" ht="15.75" customHeight="1" x14ac:dyDescent="0.3">
      <c r="C421" s="24"/>
      <c r="D421" s="24"/>
      <c r="F421" s="24"/>
      <c r="G421" s="24"/>
      <c r="H421" s="24"/>
      <c r="I421" s="24"/>
      <c r="J421" s="24"/>
      <c r="K421" s="24"/>
      <c r="L421" s="24"/>
      <c r="M421" s="24"/>
    </row>
    <row r="422" spans="3:13" ht="15.75" customHeight="1" x14ac:dyDescent="0.3">
      <c r="C422" s="24"/>
      <c r="D422" s="24"/>
      <c r="F422" s="24"/>
      <c r="G422" s="24"/>
      <c r="H422" s="24"/>
      <c r="I422" s="24"/>
      <c r="J422" s="24"/>
      <c r="K422" s="24"/>
      <c r="L422" s="24"/>
      <c r="M422" s="24"/>
    </row>
    <row r="423" spans="3:13" ht="15.75" customHeight="1" x14ac:dyDescent="0.3">
      <c r="C423" s="24"/>
      <c r="D423" s="24"/>
      <c r="F423" s="24"/>
      <c r="G423" s="24"/>
      <c r="H423" s="24"/>
      <c r="I423" s="24"/>
      <c r="J423" s="24"/>
      <c r="K423" s="24"/>
      <c r="L423" s="24"/>
      <c r="M423" s="24"/>
    </row>
    <row r="424" spans="3:13" ht="15.75" customHeight="1" x14ac:dyDescent="0.3">
      <c r="C424" s="24"/>
      <c r="D424" s="24"/>
      <c r="F424" s="24"/>
      <c r="G424" s="24"/>
      <c r="H424" s="24"/>
      <c r="I424" s="24"/>
      <c r="J424" s="24"/>
      <c r="K424" s="24"/>
      <c r="L424" s="24"/>
      <c r="M424" s="24"/>
    </row>
    <row r="425" spans="3:13" ht="15.75" customHeight="1" x14ac:dyDescent="0.3">
      <c r="C425" s="24"/>
      <c r="D425" s="24"/>
      <c r="F425" s="24"/>
      <c r="G425" s="24"/>
      <c r="H425" s="24"/>
      <c r="I425" s="24"/>
      <c r="J425" s="24"/>
      <c r="K425" s="24"/>
      <c r="L425" s="24"/>
      <c r="M425" s="24"/>
    </row>
    <row r="426" spans="3:13" ht="15.75" customHeight="1" x14ac:dyDescent="0.3">
      <c r="C426" s="24"/>
      <c r="D426" s="24"/>
      <c r="F426" s="24"/>
      <c r="G426" s="24"/>
      <c r="H426" s="24"/>
      <c r="I426" s="24"/>
      <c r="J426" s="24"/>
      <c r="K426" s="24"/>
      <c r="L426" s="24"/>
      <c r="M426" s="24"/>
    </row>
    <row r="427" spans="3:13" ht="15.75" customHeight="1" x14ac:dyDescent="0.3">
      <c r="C427" s="24"/>
      <c r="D427" s="24"/>
      <c r="F427" s="24"/>
      <c r="G427" s="24"/>
      <c r="H427" s="24"/>
      <c r="I427" s="24"/>
      <c r="J427" s="24"/>
      <c r="K427" s="24"/>
      <c r="L427" s="24"/>
      <c r="M427" s="24"/>
    </row>
    <row r="428" spans="3:13" ht="15.75" customHeight="1" x14ac:dyDescent="0.3">
      <c r="C428" s="24"/>
      <c r="D428" s="24"/>
      <c r="F428" s="24"/>
      <c r="G428" s="24"/>
      <c r="H428" s="24"/>
      <c r="I428" s="24"/>
      <c r="J428" s="24"/>
      <c r="K428" s="24"/>
      <c r="L428" s="24"/>
      <c r="M428" s="24"/>
    </row>
    <row r="429" spans="3:13" ht="15.75" customHeight="1" x14ac:dyDescent="0.3">
      <c r="C429" s="24"/>
      <c r="D429" s="24"/>
      <c r="F429" s="24"/>
      <c r="G429" s="24"/>
      <c r="H429" s="24"/>
      <c r="I429" s="24"/>
      <c r="J429" s="24"/>
      <c r="K429" s="24"/>
      <c r="L429" s="24"/>
      <c r="M429" s="24"/>
    </row>
    <row r="430" spans="3:13" ht="15.75" customHeight="1" x14ac:dyDescent="0.3">
      <c r="C430" s="24"/>
      <c r="D430" s="24"/>
      <c r="F430" s="24"/>
      <c r="G430" s="24"/>
      <c r="H430" s="24"/>
      <c r="I430" s="24"/>
      <c r="J430" s="24"/>
      <c r="K430" s="24"/>
      <c r="L430" s="24"/>
      <c r="M430" s="24"/>
    </row>
    <row r="431" spans="3:13" ht="15.75" customHeight="1" x14ac:dyDescent="0.3">
      <c r="C431" s="24"/>
      <c r="D431" s="24"/>
      <c r="F431" s="24"/>
      <c r="G431" s="24"/>
      <c r="H431" s="24"/>
      <c r="I431" s="24"/>
      <c r="J431" s="24"/>
      <c r="K431" s="24"/>
      <c r="L431" s="24"/>
      <c r="M431" s="24"/>
    </row>
    <row r="432" spans="3:13" ht="15.75" customHeight="1" x14ac:dyDescent="0.3">
      <c r="C432" s="24"/>
      <c r="D432" s="24"/>
      <c r="F432" s="24"/>
      <c r="G432" s="24"/>
      <c r="H432" s="24"/>
      <c r="I432" s="24"/>
      <c r="J432" s="24"/>
      <c r="K432" s="24"/>
      <c r="L432" s="24"/>
      <c r="M432" s="24"/>
    </row>
    <row r="433" spans="3:13" ht="15.75" customHeight="1" x14ac:dyDescent="0.3">
      <c r="C433" s="24"/>
      <c r="D433" s="24"/>
      <c r="F433" s="24"/>
      <c r="G433" s="24"/>
      <c r="H433" s="24"/>
      <c r="I433" s="24"/>
      <c r="J433" s="24"/>
      <c r="K433" s="24"/>
      <c r="L433" s="24"/>
      <c r="M433" s="24"/>
    </row>
    <row r="434" spans="3:13" ht="15.75" customHeight="1" x14ac:dyDescent="0.3">
      <c r="C434" s="24"/>
      <c r="D434" s="24"/>
      <c r="F434" s="24"/>
      <c r="G434" s="24"/>
      <c r="H434" s="24"/>
      <c r="I434" s="24"/>
      <c r="J434" s="24"/>
      <c r="K434" s="24"/>
      <c r="L434" s="24"/>
      <c r="M434" s="24"/>
    </row>
    <row r="435" spans="3:13" ht="15.75" customHeight="1" x14ac:dyDescent="0.3">
      <c r="C435" s="24"/>
      <c r="D435" s="24"/>
      <c r="F435" s="24"/>
      <c r="G435" s="24"/>
      <c r="H435" s="24"/>
      <c r="I435" s="24"/>
      <c r="J435" s="24"/>
      <c r="K435" s="24"/>
      <c r="L435" s="24"/>
      <c r="M435" s="24"/>
    </row>
    <row r="436" spans="3:13" ht="15.75" customHeight="1" x14ac:dyDescent="0.3">
      <c r="C436" s="24"/>
      <c r="D436" s="24"/>
      <c r="F436" s="24"/>
      <c r="G436" s="24"/>
      <c r="H436" s="24"/>
      <c r="I436" s="24"/>
      <c r="J436" s="24"/>
      <c r="K436" s="24"/>
      <c r="L436" s="24"/>
      <c r="M436" s="24"/>
    </row>
    <row r="437" spans="3:13" ht="15.75" customHeight="1" x14ac:dyDescent="0.3">
      <c r="C437" s="24"/>
      <c r="D437" s="24"/>
      <c r="F437" s="24"/>
      <c r="G437" s="24"/>
      <c r="H437" s="24"/>
      <c r="I437" s="24"/>
      <c r="J437" s="24"/>
      <c r="K437" s="24"/>
      <c r="L437" s="24"/>
      <c r="M437" s="24"/>
    </row>
    <row r="438" spans="3:13" ht="15.75" customHeight="1" x14ac:dyDescent="0.3">
      <c r="C438" s="24"/>
      <c r="D438" s="24"/>
      <c r="F438" s="24"/>
      <c r="G438" s="24"/>
      <c r="H438" s="24"/>
      <c r="I438" s="24"/>
      <c r="J438" s="24"/>
      <c r="K438" s="24"/>
      <c r="L438" s="24"/>
      <c r="M438" s="24"/>
    </row>
    <row r="439" spans="3:13" ht="15.75" customHeight="1" x14ac:dyDescent="0.3">
      <c r="C439" s="24"/>
      <c r="D439" s="24"/>
      <c r="F439" s="24"/>
      <c r="G439" s="24"/>
      <c r="H439" s="24"/>
      <c r="I439" s="24"/>
      <c r="J439" s="24"/>
      <c r="K439" s="24"/>
      <c r="L439" s="24"/>
      <c r="M439" s="24"/>
    </row>
    <row r="440" spans="3:13" ht="15.75" customHeight="1" x14ac:dyDescent="0.3">
      <c r="C440" s="24"/>
      <c r="D440" s="24"/>
      <c r="F440" s="24"/>
      <c r="G440" s="24"/>
      <c r="H440" s="24"/>
      <c r="I440" s="24"/>
      <c r="J440" s="24"/>
      <c r="K440" s="24"/>
      <c r="L440" s="24"/>
      <c r="M440" s="24"/>
    </row>
    <row r="441" spans="3:13" ht="15.75" customHeight="1" x14ac:dyDescent="0.3">
      <c r="C441" s="24"/>
      <c r="D441" s="24"/>
      <c r="F441" s="24"/>
      <c r="G441" s="24"/>
      <c r="H441" s="24"/>
      <c r="I441" s="24"/>
      <c r="J441" s="24"/>
      <c r="K441" s="24"/>
      <c r="L441" s="24"/>
      <c r="M441" s="24"/>
    </row>
    <row r="442" spans="3:13" ht="15.75" customHeight="1" x14ac:dyDescent="0.3">
      <c r="C442" s="24"/>
      <c r="D442" s="24"/>
      <c r="F442" s="24"/>
      <c r="G442" s="24"/>
      <c r="H442" s="24"/>
      <c r="I442" s="24"/>
      <c r="J442" s="24"/>
      <c r="K442" s="24"/>
      <c r="L442" s="24"/>
      <c r="M442" s="24"/>
    </row>
    <row r="443" spans="3:13" ht="15.75" customHeight="1" x14ac:dyDescent="0.3">
      <c r="C443" s="24"/>
      <c r="D443" s="24"/>
      <c r="F443" s="24"/>
      <c r="G443" s="24"/>
      <c r="H443" s="24"/>
      <c r="I443" s="24"/>
      <c r="J443" s="24"/>
      <c r="K443" s="24"/>
      <c r="L443" s="24"/>
      <c r="M443" s="24"/>
    </row>
    <row r="444" spans="3:13" ht="15.75" customHeight="1" x14ac:dyDescent="0.3">
      <c r="C444" s="24"/>
      <c r="D444" s="24"/>
      <c r="F444" s="24"/>
      <c r="G444" s="24"/>
      <c r="H444" s="24"/>
      <c r="I444" s="24"/>
      <c r="J444" s="24"/>
      <c r="K444" s="24"/>
      <c r="L444" s="24"/>
      <c r="M444" s="24"/>
    </row>
    <row r="445" spans="3:13" ht="15.75" customHeight="1" x14ac:dyDescent="0.3">
      <c r="C445" s="24"/>
      <c r="D445" s="24"/>
      <c r="F445" s="24"/>
      <c r="G445" s="24"/>
      <c r="H445" s="24"/>
      <c r="I445" s="24"/>
      <c r="J445" s="24"/>
      <c r="K445" s="24"/>
      <c r="L445" s="24"/>
      <c r="M445" s="24"/>
    </row>
    <row r="446" spans="3:13" ht="15.75" customHeight="1" x14ac:dyDescent="0.3">
      <c r="C446" s="24"/>
      <c r="D446" s="24"/>
      <c r="F446" s="24"/>
      <c r="G446" s="24"/>
      <c r="H446" s="24"/>
      <c r="I446" s="24"/>
      <c r="J446" s="24"/>
      <c r="K446" s="24"/>
      <c r="L446" s="24"/>
      <c r="M446" s="24"/>
    </row>
    <row r="447" spans="3:13" ht="15.75" customHeight="1" x14ac:dyDescent="0.3">
      <c r="C447" s="24"/>
      <c r="D447" s="24"/>
      <c r="F447" s="24"/>
      <c r="G447" s="24"/>
      <c r="H447" s="24"/>
      <c r="I447" s="24"/>
      <c r="J447" s="24"/>
      <c r="K447" s="24"/>
      <c r="L447" s="24"/>
      <c r="M447" s="24"/>
    </row>
    <row r="448" spans="3:13" ht="15.75" customHeight="1" x14ac:dyDescent="0.3">
      <c r="C448" s="24"/>
      <c r="D448" s="24"/>
      <c r="F448" s="24"/>
      <c r="G448" s="24"/>
      <c r="H448" s="24"/>
      <c r="I448" s="24"/>
      <c r="J448" s="24"/>
      <c r="K448" s="24"/>
      <c r="L448" s="24"/>
      <c r="M448" s="24"/>
    </row>
    <row r="449" spans="3:13" ht="15.75" customHeight="1" x14ac:dyDescent="0.3">
      <c r="C449" s="24"/>
      <c r="D449" s="24"/>
      <c r="F449" s="24"/>
      <c r="G449" s="24"/>
      <c r="H449" s="24"/>
      <c r="I449" s="24"/>
      <c r="J449" s="24"/>
      <c r="K449" s="24"/>
      <c r="L449" s="24"/>
      <c r="M449" s="24"/>
    </row>
    <row r="450" spans="3:13" ht="15.75" customHeight="1" x14ac:dyDescent="0.3">
      <c r="C450" s="24"/>
      <c r="D450" s="24"/>
      <c r="F450" s="24"/>
      <c r="G450" s="24"/>
      <c r="H450" s="24"/>
      <c r="I450" s="24"/>
      <c r="J450" s="24"/>
      <c r="K450" s="24"/>
      <c r="L450" s="24"/>
      <c r="M450" s="24"/>
    </row>
    <row r="451" spans="3:13" ht="15.75" customHeight="1" x14ac:dyDescent="0.3">
      <c r="C451" s="24"/>
      <c r="D451" s="24"/>
      <c r="F451" s="24"/>
      <c r="G451" s="24"/>
      <c r="H451" s="24"/>
      <c r="I451" s="24"/>
      <c r="J451" s="24"/>
      <c r="K451" s="24"/>
      <c r="L451" s="24"/>
      <c r="M451" s="24"/>
    </row>
    <row r="452" spans="3:13" ht="15.75" customHeight="1" x14ac:dyDescent="0.3">
      <c r="C452" s="24"/>
      <c r="D452" s="24"/>
      <c r="F452" s="24"/>
      <c r="G452" s="24"/>
      <c r="H452" s="24"/>
      <c r="I452" s="24"/>
      <c r="J452" s="24"/>
      <c r="K452" s="24"/>
      <c r="L452" s="24"/>
      <c r="M452" s="24"/>
    </row>
    <row r="453" spans="3:13" ht="15.75" customHeight="1" x14ac:dyDescent="0.3">
      <c r="C453" s="24"/>
      <c r="D453" s="24"/>
      <c r="F453" s="24"/>
      <c r="G453" s="24"/>
      <c r="H453" s="24"/>
      <c r="I453" s="24"/>
      <c r="J453" s="24"/>
      <c r="K453" s="24"/>
      <c r="L453" s="24"/>
      <c r="M453" s="24"/>
    </row>
    <row r="454" spans="3:13" ht="15.75" customHeight="1" x14ac:dyDescent="0.3">
      <c r="C454" s="24"/>
      <c r="D454" s="24"/>
      <c r="F454" s="24"/>
      <c r="G454" s="24"/>
      <c r="H454" s="24"/>
      <c r="I454" s="24"/>
      <c r="J454" s="24"/>
      <c r="K454" s="24"/>
      <c r="L454" s="24"/>
      <c r="M454" s="24"/>
    </row>
    <row r="455" spans="3:13" ht="15.75" customHeight="1" x14ac:dyDescent="0.3">
      <c r="C455" s="24"/>
      <c r="D455" s="24"/>
      <c r="F455" s="24"/>
      <c r="G455" s="24"/>
      <c r="H455" s="24"/>
      <c r="I455" s="24"/>
      <c r="J455" s="24"/>
      <c r="K455" s="24"/>
      <c r="L455" s="24"/>
      <c r="M455" s="24"/>
    </row>
    <row r="456" spans="3:13" ht="15.75" customHeight="1" x14ac:dyDescent="0.3">
      <c r="C456" s="24"/>
      <c r="D456" s="24"/>
      <c r="F456" s="24"/>
      <c r="G456" s="24"/>
      <c r="H456" s="24"/>
      <c r="I456" s="24"/>
      <c r="J456" s="24"/>
      <c r="K456" s="24"/>
      <c r="L456" s="24"/>
      <c r="M456" s="24"/>
    </row>
    <row r="457" spans="3:13" ht="15.75" customHeight="1" x14ac:dyDescent="0.3">
      <c r="C457" s="24"/>
      <c r="D457" s="24"/>
      <c r="F457" s="24"/>
      <c r="G457" s="24"/>
      <c r="H457" s="24"/>
      <c r="I457" s="24"/>
      <c r="J457" s="24"/>
      <c r="K457" s="24"/>
      <c r="L457" s="24"/>
      <c r="M457" s="24"/>
    </row>
    <row r="458" spans="3:13" ht="15.75" customHeight="1" x14ac:dyDescent="0.3">
      <c r="C458" s="24"/>
      <c r="D458" s="24"/>
      <c r="F458" s="24"/>
      <c r="G458" s="24"/>
      <c r="H458" s="24"/>
      <c r="I458" s="24"/>
      <c r="J458" s="24"/>
      <c r="K458" s="24"/>
      <c r="L458" s="24"/>
      <c r="M458" s="24"/>
    </row>
    <row r="459" spans="3:13" ht="15.75" customHeight="1" x14ac:dyDescent="0.3">
      <c r="C459" s="24"/>
      <c r="D459" s="24"/>
      <c r="F459" s="24"/>
      <c r="G459" s="24"/>
      <c r="H459" s="24"/>
      <c r="I459" s="24"/>
      <c r="J459" s="24"/>
      <c r="K459" s="24"/>
      <c r="L459" s="24"/>
      <c r="M459" s="24"/>
    </row>
    <row r="460" spans="3:13" ht="15.75" customHeight="1" x14ac:dyDescent="0.3">
      <c r="C460" s="24"/>
      <c r="D460" s="24"/>
      <c r="F460" s="24"/>
      <c r="G460" s="24"/>
      <c r="H460" s="24"/>
      <c r="I460" s="24"/>
      <c r="J460" s="24"/>
      <c r="K460" s="24"/>
      <c r="L460" s="24"/>
      <c r="M460" s="24"/>
    </row>
    <row r="461" spans="3:13" ht="15.75" customHeight="1" x14ac:dyDescent="0.3">
      <c r="C461" s="24"/>
      <c r="D461" s="24"/>
      <c r="F461" s="24"/>
      <c r="G461" s="24"/>
      <c r="H461" s="24"/>
      <c r="I461" s="24"/>
      <c r="J461" s="24"/>
      <c r="K461" s="24"/>
      <c r="L461" s="24"/>
      <c r="M461" s="24"/>
    </row>
    <row r="462" spans="3:13" ht="15.75" customHeight="1" x14ac:dyDescent="0.3">
      <c r="C462" s="24"/>
      <c r="D462" s="24"/>
      <c r="F462" s="24"/>
      <c r="G462" s="24"/>
      <c r="H462" s="24"/>
      <c r="I462" s="24"/>
      <c r="J462" s="24"/>
      <c r="K462" s="24"/>
      <c r="L462" s="24"/>
      <c r="M462" s="24"/>
    </row>
    <row r="463" spans="3:13" ht="15.75" customHeight="1" x14ac:dyDescent="0.3">
      <c r="C463" s="24"/>
      <c r="D463" s="24"/>
      <c r="F463" s="24"/>
      <c r="G463" s="24"/>
      <c r="H463" s="24"/>
      <c r="I463" s="24"/>
      <c r="J463" s="24"/>
      <c r="K463" s="24"/>
      <c r="L463" s="24"/>
      <c r="M463" s="24"/>
    </row>
    <row r="464" spans="3:13" ht="15.75" customHeight="1" x14ac:dyDescent="0.3">
      <c r="C464" s="24"/>
      <c r="D464" s="24"/>
      <c r="F464" s="24"/>
      <c r="G464" s="24"/>
      <c r="H464" s="24"/>
      <c r="I464" s="24"/>
      <c r="J464" s="24"/>
      <c r="K464" s="24"/>
      <c r="L464" s="24"/>
      <c r="M464" s="24"/>
    </row>
    <row r="465" spans="3:13" ht="15.75" customHeight="1" x14ac:dyDescent="0.3">
      <c r="C465" s="24"/>
      <c r="D465" s="24"/>
      <c r="F465" s="24"/>
      <c r="G465" s="24"/>
      <c r="H465" s="24"/>
      <c r="I465" s="24"/>
      <c r="J465" s="24"/>
      <c r="K465" s="24"/>
      <c r="L465" s="24"/>
      <c r="M465" s="24"/>
    </row>
    <row r="466" spans="3:13" ht="15.75" customHeight="1" x14ac:dyDescent="0.3">
      <c r="C466" s="24"/>
      <c r="D466" s="24"/>
      <c r="F466" s="24"/>
      <c r="G466" s="24"/>
      <c r="H466" s="24"/>
      <c r="I466" s="24"/>
      <c r="J466" s="24"/>
      <c r="K466" s="24"/>
      <c r="L466" s="24"/>
      <c r="M466" s="24"/>
    </row>
    <row r="467" spans="3:13" ht="15.75" customHeight="1" x14ac:dyDescent="0.3">
      <c r="C467" s="24"/>
      <c r="D467" s="24"/>
      <c r="F467" s="24"/>
      <c r="G467" s="24"/>
      <c r="H467" s="24"/>
      <c r="I467" s="24"/>
      <c r="J467" s="24"/>
      <c r="K467" s="24"/>
      <c r="L467" s="24"/>
      <c r="M467" s="24"/>
    </row>
    <row r="468" spans="3:13" ht="15.75" customHeight="1" x14ac:dyDescent="0.3">
      <c r="C468" s="24"/>
      <c r="D468" s="24"/>
      <c r="F468" s="24"/>
      <c r="G468" s="24"/>
      <c r="H468" s="24"/>
      <c r="I468" s="24"/>
      <c r="J468" s="24"/>
      <c r="K468" s="24"/>
      <c r="L468" s="24"/>
      <c r="M468" s="24"/>
    </row>
    <row r="469" spans="3:13" ht="15.75" customHeight="1" x14ac:dyDescent="0.3">
      <c r="C469" s="24"/>
      <c r="D469" s="24"/>
      <c r="F469" s="24"/>
      <c r="G469" s="24"/>
      <c r="H469" s="24"/>
      <c r="I469" s="24"/>
      <c r="J469" s="24"/>
      <c r="K469" s="24"/>
      <c r="L469" s="24"/>
      <c r="M469" s="24"/>
    </row>
    <row r="470" spans="3:13" ht="15.75" customHeight="1" x14ac:dyDescent="0.3">
      <c r="C470" s="24"/>
      <c r="D470" s="24"/>
      <c r="F470" s="24"/>
      <c r="G470" s="24"/>
      <c r="H470" s="24"/>
      <c r="I470" s="24"/>
      <c r="J470" s="24"/>
      <c r="K470" s="24"/>
      <c r="L470" s="24"/>
      <c r="M470" s="24"/>
    </row>
    <row r="471" spans="3:13" ht="15.75" customHeight="1" x14ac:dyDescent="0.3">
      <c r="C471" s="24"/>
      <c r="D471" s="24"/>
      <c r="F471" s="24"/>
      <c r="G471" s="24"/>
      <c r="H471" s="24"/>
      <c r="I471" s="24"/>
      <c r="J471" s="24"/>
      <c r="K471" s="24"/>
      <c r="L471" s="24"/>
      <c r="M471" s="24"/>
    </row>
    <row r="472" spans="3:13" ht="15.75" customHeight="1" x14ac:dyDescent="0.3">
      <c r="C472" s="24"/>
      <c r="D472" s="24"/>
      <c r="F472" s="24"/>
      <c r="G472" s="24"/>
      <c r="H472" s="24"/>
      <c r="I472" s="24"/>
      <c r="J472" s="24"/>
      <c r="K472" s="24"/>
      <c r="L472" s="24"/>
      <c r="M472" s="24"/>
    </row>
    <row r="473" spans="3:13" ht="15.75" customHeight="1" x14ac:dyDescent="0.3">
      <c r="C473" s="24"/>
      <c r="D473" s="24"/>
      <c r="F473" s="24"/>
      <c r="G473" s="24"/>
      <c r="H473" s="24"/>
      <c r="I473" s="24"/>
      <c r="J473" s="24"/>
      <c r="K473" s="24"/>
      <c r="L473" s="24"/>
      <c r="M473" s="24"/>
    </row>
    <row r="474" spans="3:13" ht="15.75" customHeight="1" x14ac:dyDescent="0.3">
      <c r="C474" s="24"/>
      <c r="D474" s="24"/>
      <c r="F474" s="24"/>
      <c r="G474" s="24"/>
      <c r="H474" s="24"/>
      <c r="I474" s="24"/>
      <c r="J474" s="24"/>
      <c r="K474" s="24"/>
      <c r="L474" s="24"/>
      <c r="M474" s="24"/>
    </row>
    <row r="475" spans="3:13" ht="15.75" customHeight="1" x14ac:dyDescent="0.3">
      <c r="C475" s="24"/>
      <c r="D475" s="24"/>
      <c r="F475" s="24"/>
      <c r="G475" s="24"/>
      <c r="H475" s="24"/>
      <c r="I475" s="24"/>
      <c r="J475" s="24"/>
      <c r="K475" s="24"/>
      <c r="L475" s="24"/>
      <c r="M475" s="24"/>
    </row>
    <row r="476" spans="3:13" ht="15.75" customHeight="1" x14ac:dyDescent="0.3">
      <c r="C476" s="24"/>
      <c r="D476" s="24"/>
      <c r="F476" s="24"/>
      <c r="G476" s="24"/>
      <c r="H476" s="24"/>
      <c r="I476" s="24"/>
      <c r="J476" s="24"/>
      <c r="K476" s="24"/>
      <c r="L476" s="24"/>
      <c r="M476" s="24"/>
    </row>
    <row r="477" spans="3:13" ht="15.75" customHeight="1" x14ac:dyDescent="0.3">
      <c r="C477" s="24"/>
      <c r="D477" s="24"/>
      <c r="F477" s="24"/>
      <c r="G477" s="24"/>
      <c r="H477" s="24"/>
      <c r="I477" s="24"/>
      <c r="J477" s="24"/>
      <c r="K477" s="24"/>
      <c r="L477" s="24"/>
      <c r="M477" s="24"/>
    </row>
    <row r="478" spans="3:13" ht="15.75" customHeight="1" x14ac:dyDescent="0.3">
      <c r="C478" s="24"/>
      <c r="D478" s="24"/>
      <c r="F478" s="24"/>
      <c r="G478" s="24"/>
      <c r="H478" s="24"/>
      <c r="I478" s="24"/>
      <c r="J478" s="24"/>
      <c r="K478" s="24"/>
      <c r="L478" s="24"/>
      <c r="M478" s="24"/>
    </row>
    <row r="479" spans="3:13" ht="15.75" customHeight="1" x14ac:dyDescent="0.3">
      <c r="C479" s="24"/>
      <c r="D479" s="24"/>
      <c r="F479" s="24"/>
      <c r="G479" s="24"/>
      <c r="H479" s="24"/>
      <c r="I479" s="24"/>
      <c r="J479" s="24"/>
      <c r="K479" s="24"/>
      <c r="L479" s="24"/>
      <c r="M479" s="24"/>
    </row>
    <row r="480" spans="3:13" ht="15.75" customHeight="1" x14ac:dyDescent="0.3">
      <c r="C480" s="24"/>
      <c r="D480" s="24"/>
      <c r="F480" s="24"/>
      <c r="G480" s="24"/>
      <c r="H480" s="24"/>
      <c r="I480" s="24"/>
      <c r="J480" s="24"/>
      <c r="K480" s="24"/>
      <c r="L480" s="24"/>
      <c r="M480" s="24"/>
    </row>
    <row r="481" spans="3:13" ht="15.75" customHeight="1" x14ac:dyDescent="0.3">
      <c r="C481" s="24"/>
      <c r="D481" s="24"/>
      <c r="F481" s="24"/>
      <c r="G481" s="24"/>
      <c r="H481" s="24"/>
      <c r="I481" s="24"/>
      <c r="J481" s="24"/>
      <c r="K481" s="24"/>
      <c r="L481" s="24"/>
      <c r="M481" s="24"/>
    </row>
    <row r="482" spans="3:13" ht="15.75" customHeight="1" x14ac:dyDescent="0.3">
      <c r="C482" s="24"/>
      <c r="D482" s="24"/>
      <c r="F482" s="24"/>
      <c r="G482" s="24"/>
      <c r="H482" s="24"/>
      <c r="I482" s="24"/>
      <c r="J482" s="24"/>
      <c r="K482" s="24"/>
      <c r="L482" s="24"/>
      <c r="M482" s="24"/>
    </row>
    <row r="483" spans="3:13" ht="15.75" customHeight="1" x14ac:dyDescent="0.3">
      <c r="C483" s="24"/>
      <c r="D483" s="24"/>
      <c r="F483" s="24"/>
      <c r="G483" s="24"/>
      <c r="H483" s="24"/>
      <c r="I483" s="24"/>
      <c r="J483" s="24"/>
      <c r="K483" s="24"/>
      <c r="L483" s="24"/>
      <c r="M483" s="24"/>
    </row>
    <row r="484" spans="3:13" ht="15.75" customHeight="1" x14ac:dyDescent="0.3">
      <c r="C484" s="24"/>
      <c r="D484" s="24"/>
      <c r="F484" s="24"/>
      <c r="G484" s="24"/>
      <c r="H484" s="24"/>
      <c r="I484" s="24"/>
      <c r="J484" s="24"/>
      <c r="K484" s="24"/>
      <c r="L484" s="24"/>
      <c r="M484" s="24"/>
    </row>
    <row r="485" spans="3:13" ht="15.75" customHeight="1" x14ac:dyDescent="0.3">
      <c r="C485" s="24"/>
      <c r="D485" s="24"/>
      <c r="F485" s="24"/>
      <c r="G485" s="24"/>
      <c r="H485" s="24"/>
      <c r="I485" s="24"/>
      <c r="J485" s="24"/>
      <c r="K485" s="24"/>
      <c r="L485" s="24"/>
      <c r="M485" s="24"/>
    </row>
    <row r="486" spans="3:13" ht="15.75" customHeight="1" x14ac:dyDescent="0.3">
      <c r="C486" s="24"/>
      <c r="D486" s="24"/>
      <c r="F486" s="24"/>
      <c r="G486" s="24"/>
      <c r="H486" s="24"/>
      <c r="I486" s="24"/>
      <c r="J486" s="24"/>
      <c r="K486" s="24"/>
      <c r="L486" s="24"/>
      <c r="M486" s="24"/>
    </row>
    <row r="487" spans="3:13" ht="15.75" customHeight="1" x14ac:dyDescent="0.3">
      <c r="C487" s="24"/>
      <c r="D487" s="24"/>
      <c r="F487" s="24"/>
      <c r="G487" s="24"/>
      <c r="H487" s="24"/>
      <c r="I487" s="24"/>
      <c r="J487" s="24"/>
      <c r="K487" s="24"/>
      <c r="L487" s="24"/>
      <c r="M487" s="24"/>
    </row>
    <row r="488" spans="3:13" ht="15.75" customHeight="1" x14ac:dyDescent="0.3">
      <c r="C488" s="24"/>
      <c r="D488" s="24"/>
      <c r="F488" s="24"/>
      <c r="G488" s="24"/>
      <c r="H488" s="24"/>
      <c r="I488" s="24"/>
      <c r="J488" s="24"/>
      <c r="K488" s="24"/>
      <c r="L488" s="24"/>
      <c r="M488" s="24"/>
    </row>
    <row r="489" spans="3:13" ht="15.75" customHeight="1" x14ac:dyDescent="0.3">
      <c r="C489" s="24"/>
      <c r="D489" s="24"/>
      <c r="F489" s="24"/>
      <c r="G489" s="24"/>
      <c r="H489" s="24"/>
      <c r="I489" s="24"/>
      <c r="J489" s="24"/>
      <c r="K489" s="24"/>
      <c r="L489" s="24"/>
      <c r="M489" s="24"/>
    </row>
    <row r="490" spans="3:13" ht="15.75" customHeight="1" x14ac:dyDescent="0.3">
      <c r="C490" s="24"/>
      <c r="D490" s="24"/>
      <c r="F490" s="24"/>
      <c r="G490" s="24"/>
      <c r="H490" s="24"/>
      <c r="I490" s="24"/>
      <c r="J490" s="24"/>
      <c r="K490" s="24"/>
      <c r="L490" s="24"/>
      <c r="M490" s="24"/>
    </row>
    <row r="491" spans="3:13" ht="15.75" customHeight="1" x14ac:dyDescent="0.3">
      <c r="C491" s="24"/>
      <c r="D491" s="24"/>
      <c r="F491" s="24"/>
      <c r="G491" s="24"/>
      <c r="H491" s="24"/>
      <c r="I491" s="24"/>
      <c r="J491" s="24"/>
      <c r="K491" s="24"/>
      <c r="L491" s="24"/>
      <c r="M491" s="24"/>
    </row>
    <row r="492" spans="3:13" ht="15.75" customHeight="1" x14ac:dyDescent="0.3">
      <c r="C492" s="24"/>
      <c r="D492" s="24"/>
      <c r="F492" s="24"/>
      <c r="G492" s="24"/>
      <c r="H492" s="24"/>
      <c r="I492" s="24"/>
      <c r="J492" s="24"/>
      <c r="K492" s="24"/>
      <c r="L492" s="24"/>
      <c r="M492" s="24"/>
    </row>
    <row r="493" spans="3:13" ht="15.75" customHeight="1" x14ac:dyDescent="0.3">
      <c r="C493" s="24"/>
      <c r="D493" s="24"/>
      <c r="F493" s="24"/>
      <c r="G493" s="24"/>
      <c r="H493" s="24"/>
      <c r="I493" s="24"/>
      <c r="J493" s="24"/>
      <c r="K493" s="24"/>
      <c r="L493" s="24"/>
      <c r="M493" s="24"/>
    </row>
    <row r="494" spans="3:13" ht="15.75" customHeight="1" x14ac:dyDescent="0.3">
      <c r="C494" s="24"/>
      <c r="D494" s="24"/>
      <c r="F494" s="24"/>
      <c r="G494" s="24"/>
      <c r="H494" s="24"/>
      <c r="I494" s="24"/>
      <c r="J494" s="24"/>
      <c r="K494" s="24"/>
      <c r="L494" s="24"/>
      <c r="M494" s="24"/>
    </row>
    <row r="495" spans="3:13" ht="15.75" customHeight="1" x14ac:dyDescent="0.3">
      <c r="C495" s="24"/>
      <c r="D495" s="24"/>
      <c r="F495" s="24"/>
      <c r="G495" s="24"/>
      <c r="H495" s="24"/>
      <c r="I495" s="24"/>
      <c r="J495" s="24"/>
      <c r="K495" s="24"/>
      <c r="L495" s="24"/>
      <c r="M495" s="24"/>
    </row>
    <row r="496" spans="3:13" ht="15.75" customHeight="1" x14ac:dyDescent="0.3">
      <c r="C496" s="24"/>
      <c r="D496" s="24"/>
      <c r="F496" s="24"/>
      <c r="G496" s="24"/>
      <c r="H496" s="24"/>
      <c r="I496" s="24"/>
      <c r="J496" s="24"/>
      <c r="K496" s="24"/>
      <c r="L496" s="24"/>
      <c r="M496" s="24"/>
    </row>
    <row r="497" spans="3:13" ht="15.75" customHeight="1" x14ac:dyDescent="0.3">
      <c r="C497" s="24"/>
      <c r="D497" s="24"/>
      <c r="F497" s="24"/>
      <c r="G497" s="24"/>
      <c r="H497" s="24"/>
      <c r="I497" s="24"/>
      <c r="J497" s="24"/>
      <c r="K497" s="24"/>
      <c r="L497" s="24"/>
      <c r="M497" s="24"/>
    </row>
    <row r="498" spans="3:13" ht="15.75" customHeight="1" x14ac:dyDescent="0.3">
      <c r="C498" s="24"/>
      <c r="D498" s="24"/>
      <c r="F498" s="24"/>
      <c r="G498" s="24"/>
      <c r="H498" s="24"/>
      <c r="I498" s="24"/>
      <c r="J498" s="24"/>
      <c r="K498" s="24"/>
      <c r="L498" s="24"/>
      <c r="M498" s="24"/>
    </row>
    <row r="499" spans="3:13" ht="15.75" customHeight="1" x14ac:dyDescent="0.3">
      <c r="C499" s="24"/>
      <c r="D499" s="24"/>
      <c r="F499" s="24"/>
      <c r="G499" s="24"/>
      <c r="H499" s="24"/>
      <c r="I499" s="24"/>
      <c r="J499" s="24"/>
      <c r="K499" s="24"/>
      <c r="L499" s="24"/>
      <c r="M499" s="24"/>
    </row>
    <row r="500" spans="3:13" ht="15.75" customHeight="1" x14ac:dyDescent="0.3">
      <c r="C500" s="24"/>
      <c r="D500" s="24"/>
      <c r="F500" s="24"/>
      <c r="G500" s="24"/>
      <c r="H500" s="24"/>
      <c r="I500" s="24"/>
      <c r="J500" s="24"/>
      <c r="K500" s="24"/>
      <c r="L500" s="24"/>
      <c r="M500" s="24"/>
    </row>
    <row r="501" spans="3:13" ht="15.75" customHeight="1" x14ac:dyDescent="0.3">
      <c r="C501" s="24"/>
      <c r="D501" s="24"/>
      <c r="F501" s="24"/>
      <c r="G501" s="24"/>
      <c r="H501" s="24"/>
      <c r="I501" s="24"/>
      <c r="J501" s="24"/>
      <c r="K501" s="24"/>
      <c r="L501" s="24"/>
      <c r="M501" s="24"/>
    </row>
    <row r="502" spans="3:13" ht="15.75" customHeight="1" x14ac:dyDescent="0.3">
      <c r="C502" s="24"/>
      <c r="D502" s="24"/>
      <c r="F502" s="24"/>
      <c r="G502" s="24"/>
      <c r="H502" s="24"/>
      <c r="I502" s="24"/>
      <c r="J502" s="24"/>
      <c r="K502" s="24"/>
      <c r="L502" s="24"/>
      <c r="M502" s="24"/>
    </row>
    <row r="503" spans="3:13" ht="15.75" customHeight="1" x14ac:dyDescent="0.3">
      <c r="C503" s="24"/>
      <c r="D503" s="24"/>
      <c r="F503" s="24"/>
      <c r="G503" s="24"/>
      <c r="H503" s="24"/>
      <c r="I503" s="24"/>
      <c r="J503" s="24"/>
      <c r="K503" s="24"/>
      <c r="L503" s="24"/>
      <c r="M503" s="24"/>
    </row>
    <row r="504" spans="3:13" ht="15.75" customHeight="1" x14ac:dyDescent="0.3">
      <c r="C504" s="24"/>
      <c r="D504" s="24"/>
      <c r="F504" s="24"/>
      <c r="G504" s="24"/>
      <c r="H504" s="24"/>
      <c r="I504" s="24"/>
      <c r="J504" s="24"/>
      <c r="K504" s="24"/>
      <c r="L504" s="24"/>
      <c r="M504" s="24"/>
    </row>
    <row r="505" spans="3:13" ht="15.75" customHeight="1" x14ac:dyDescent="0.3">
      <c r="C505" s="24"/>
      <c r="D505" s="24"/>
      <c r="F505" s="24"/>
      <c r="G505" s="24"/>
      <c r="H505" s="24"/>
      <c r="I505" s="24"/>
      <c r="J505" s="24"/>
      <c r="K505" s="24"/>
      <c r="L505" s="24"/>
      <c r="M505" s="24"/>
    </row>
    <row r="506" spans="3:13" ht="15.75" customHeight="1" x14ac:dyDescent="0.3">
      <c r="C506" s="24"/>
      <c r="D506" s="24"/>
      <c r="F506" s="24"/>
      <c r="G506" s="24"/>
      <c r="H506" s="24"/>
      <c r="I506" s="24"/>
      <c r="J506" s="24"/>
      <c r="K506" s="24"/>
      <c r="L506" s="24"/>
      <c r="M506" s="24"/>
    </row>
    <row r="507" spans="3:13" ht="15.75" customHeight="1" x14ac:dyDescent="0.3">
      <c r="C507" s="24"/>
      <c r="D507" s="24"/>
      <c r="F507" s="24"/>
      <c r="G507" s="24"/>
      <c r="H507" s="24"/>
      <c r="I507" s="24"/>
      <c r="J507" s="24"/>
      <c r="K507" s="24"/>
      <c r="L507" s="24"/>
      <c r="M507" s="24"/>
    </row>
    <row r="508" spans="3:13" ht="15.75" customHeight="1" x14ac:dyDescent="0.3">
      <c r="C508" s="24"/>
      <c r="D508" s="24"/>
      <c r="F508" s="24"/>
      <c r="G508" s="24"/>
      <c r="H508" s="24"/>
      <c r="I508" s="24"/>
      <c r="J508" s="24"/>
      <c r="K508" s="24"/>
      <c r="L508" s="24"/>
      <c r="M508" s="24"/>
    </row>
    <row r="509" spans="3:13" ht="15.75" customHeight="1" x14ac:dyDescent="0.3">
      <c r="C509" s="24"/>
      <c r="D509" s="24"/>
      <c r="F509" s="24"/>
      <c r="G509" s="24"/>
      <c r="H509" s="24"/>
      <c r="I509" s="24"/>
      <c r="J509" s="24"/>
      <c r="K509" s="24"/>
      <c r="L509" s="24"/>
      <c r="M509" s="24"/>
    </row>
    <row r="510" spans="3:13" ht="15.75" customHeight="1" x14ac:dyDescent="0.3">
      <c r="C510" s="24"/>
      <c r="D510" s="24"/>
      <c r="F510" s="24"/>
      <c r="G510" s="24"/>
      <c r="H510" s="24"/>
      <c r="I510" s="24"/>
      <c r="J510" s="24"/>
      <c r="K510" s="24"/>
      <c r="L510" s="24"/>
      <c r="M510" s="24"/>
    </row>
    <row r="511" spans="3:13" ht="15.75" customHeight="1" x14ac:dyDescent="0.3">
      <c r="C511" s="24"/>
      <c r="D511" s="24"/>
      <c r="F511" s="24"/>
      <c r="G511" s="24"/>
      <c r="H511" s="24"/>
      <c r="I511" s="24"/>
      <c r="J511" s="24"/>
      <c r="K511" s="24"/>
      <c r="L511" s="24"/>
      <c r="M511" s="24"/>
    </row>
    <row r="512" spans="3:13" ht="15.75" customHeight="1" x14ac:dyDescent="0.3">
      <c r="C512" s="24"/>
      <c r="D512" s="24"/>
      <c r="F512" s="24"/>
      <c r="G512" s="24"/>
      <c r="H512" s="24"/>
      <c r="I512" s="24"/>
      <c r="J512" s="24"/>
      <c r="K512" s="24"/>
      <c r="L512" s="24"/>
      <c r="M512" s="24"/>
    </row>
    <row r="513" spans="3:13" ht="15.75" customHeight="1" x14ac:dyDescent="0.3">
      <c r="C513" s="24"/>
      <c r="D513" s="24"/>
      <c r="F513" s="24"/>
      <c r="G513" s="24"/>
      <c r="H513" s="24"/>
      <c r="I513" s="24"/>
      <c r="J513" s="24"/>
      <c r="K513" s="24"/>
      <c r="L513" s="24"/>
      <c r="M513" s="24"/>
    </row>
    <row r="514" spans="3:13" ht="15.75" customHeight="1" x14ac:dyDescent="0.3">
      <c r="C514" s="24"/>
      <c r="D514" s="24"/>
      <c r="F514" s="24"/>
      <c r="G514" s="24"/>
      <c r="H514" s="24"/>
      <c r="I514" s="24"/>
      <c r="J514" s="24"/>
      <c r="K514" s="24"/>
      <c r="L514" s="24"/>
      <c r="M514" s="24"/>
    </row>
    <row r="515" spans="3:13" ht="15.75" customHeight="1" x14ac:dyDescent="0.3">
      <c r="C515" s="24"/>
      <c r="D515" s="24"/>
      <c r="F515" s="24"/>
      <c r="G515" s="24"/>
      <c r="H515" s="24"/>
      <c r="I515" s="24"/>
      <c r="J515" s="24"/>
      <c r="K515" s="24"/>
      <c r="L515" s="24"/>
      <c r="M515" s="24"/>
    </row>
    <row r="516" spans="3:13" ht="15.75" customHeight="1" x14ac:dyDescent="0.3">
      <c r="C516" s="24"/>
      <c r="D516" s="24"/>
      <c r="F516" s="24"/>
      <c r="G516" s="24"/>
      <c r="H516" s="24"/>
      <c r="I516" s="24"/>
      <c r="J516" s="24"/>
      <c r="K516" s="24"/>
      <c r="L516" s="24"/>
      <c r="M516" s="24"/>
    </row>
    <row r="517" spans="3:13" ht="15.75" customHeight="1" x14ac:dyDescent="0.3">
      <c r="C517" s="24"/>
      <c r="D517" s="24"/>
      <c r="F517" s="24"/>
      <c r="G517" s="24"/>
      <c r="H517" s="24"/>
      <c r="I517" s="24"/>
      <c r="J517" s="24"/>
      <c r="K517" s="24"/>
      <c r="L517" s="24"/>
      <c r="M517" s="24"/>
    </row>
    <row r="518" spans="3:13" ht="15.75" customHeight="1" x14ac:dyDescent="0.3">
      <c r="C518" s="24"/>
      <c r="D518" s="24"/>
      <c r="F518" s="24"/>
      <c r="G518" s="24"/>
      <c r="H518" s="24"/>
      <c r="I518" s="24"/>
      <c r="J518" s="24"/>
      <c r="K518" s="24"/>
      <c r="L518" s="24"/>
      <c r="M518" s="24"/>
    </row>
    <row r="519" spans="3:13" ht="15.75" customHeight="1" x14ac:dyDescent="0.3">
      <c r="C519" s="24"/>
      <c r="D519" s="24"/>
      <c r="F519" s="24"/>
      <c r="G519" s="24"/>
      <c r="H519" s="24"/>
      <c r="I519" s="24"/>
      <c r="J519" s="24"/>
      <c r="K519" s="24"/>
      <c r="L519" s="24"/>
      <c r="M519" s="24"/>
    </row>
    <row r="520" spans="3:13" ht="15.75" customHeight="1" x14ac:dyDescent="0.3">
      <c r="C520" s="24"/>
      <c r="D520" s="24"/>
      <c r="F520" s="24"/>
      <c r="G520" s="24"/>
      <c r="H520" s="24"/>
      <c r="I520" s="24"/>
      <c r="J520" s="24"/>
      <c r="K520" s="24"/>
      <c r="L520" s="24"/>
      <c r="M520" s="24"/>
    </row>
    <row r="521" spans="3:13" ht="15.75" customHeight="1" x14ac:dyDescent="0.3">
      <c r="C521" s="24"/>
      <c r="D521" s="24"/>
      <c r="F521" s="24"/>
      <c r="G521" s="24"/>
      <c r="H521" s="24"/>
      <c r="I521" s="24"/>
      <c r="J521" s="24"/>
      <c r="K521" s="24"/>
      <c r="L521" s="24"/>
      <c r="M521" s="24"/>
    </row>
    <row r="522" spans="3:13" ht="15.75" customHeight="1" x14ac:dyDescent="0.3">
      <c r="C522" s="24"/>
      <c r="D522" s="24"/>
      <c r="F522" s="24"/>
      <c r="G522" s="24"/>
      <c r="H522" s="24"/>
      <c r="I522" s="24"/>
      <c r="J522" s="24"/>
      <c r="K522" s="24"/>
      <c r="L522" s="24"/>
      <c r="M522" s="24"/>
    </row>
    <row r="523" spans="3:13" ht="15.75" customHeight="1" x14ac:dyDescent="0.3">
      <c r="C523" s="24"/>
      <c r="D523" s="24"/>
      <c r="F523" s="24"/>
      <c r="G523" s="24"/>
      <c r="H523" s="24"/>
      <c r="I523" s="24"/>
      <c r="J523" s="24"/>
      <c r="K523" s="24"/>
      <c r="L523" s="24"/>
      <c r="M523" s="24"/>
    </row>
    <row r="524" spans="3:13" ht="15.75" customHeight="1" x14ac:dyDescent="0.3">
      <c r="C524" s="24"/>
      <c r="D524" s="24"/>
      <c r="F524" s="24"/>
      <c r="G524" s="24"/>
      <c r="H524" s="24"/>
      <c r="I524" s="24"/>
      <c r="J524" s="24"/>
      <c r="K524" s="24"/>
      <c r="L524" s="24"/>
      <c r="M524" s="24"/>
    </row>
    <row r="525" spans="3:13" ht="15.75" customHeight="1" x14ac:dyDescent="0.3">
      <c r="C525" s="24"/>
      <c r="D525" s="24"/>
      <c r="F525" s="24"/>
      <c r="G525" s="24"/>
      <c r="H525" s="24"/>
      <c r="I525" s="24"/>
      <c r="J525" s="24"/>
      <c r="K525" s="24"/>
      <c r="L525" s="24"/>
      <c r="M525" s="24"/>
    </row>
    <row r="526" spans="3:13" ht="15.75" customHeight="1" x14ac:dyDescent="0.3">
      <c r="C526" s="24"/>
      <c r="D526" s="24"/>
      <c r="F526" s="24"/>
      <c r="G526" s="24"/>
      <c r="H526" s="24"/>
      <c r="I526" s="24"/>
      <c r="J526" s="24"/>
      <c r="K526" s="24"/>
      <c r="L526" s="24"/>
      <c r="M526" s="24"/>
    </row>
    <row r="527" spans="3:13" ht="15.75" customHeight="1" x14ac:dyDescent="0.3">
      <c r="C527" s="24"/>
      <c r="D527" s="24"/>
      <c r="F527" s="24"/>
      <c r="G527" s="24"/>
      <c r="H527" s="24"/>
      <c r="I527" s="24"/>
      <c r="J527" s="24"/>
      <c r="K527" s="24"/>
      <c r="L527" s="24"/>
      <c r="M527" s="24"/>
    </row>
    <row r="528" spans="3:13" ht="15.75" customHeight="1" x14ac:dyDescent="0.3">
      <c r="C528" s="24"/>
      <c r="D528" s="24"/>
      <c r="F528" s="24"/>
      <c r="G528" s="24"/>
      <c r="H528" s="24"/>
      <c r="I528" s="24"/>
      <c r="J528" s="24"/>
      <c r="K528" s="24"/>
      <c r="L528" s="24"/>
      <c r="M528" s="24"/>
    </row>
    <row r="529" spans="3:13" ht="15.75" customHeight="1" x14ac:dyDescent="0.3">
      <c r="C529" s="24"/>
      <c r="D529" s="24"/>
      <c r="F529" s="24"/>
      <c r="G529" s="24"/>
      <c r="H529" s="24"/>
      <c r="I529" s="24"/>
      <c r="J529" s="24"/>
      <c r="K529" s="24"/>
      <c r="L529" s="24"/>
      <c r="M529" s="24"/>
    </row>
    <row r="530" spans="3:13" ht="15.75" customHeight="1" x14ac:dyDescent="0.3">
      <c r="C530" s="24"/>
      <c r="D530" s="24"/>
      <c r="F530" s="24"/>
      <c r="G530" s="24"/>
      <c r="H530" s="24"/>
      <c r="I530" s="24"/>
      <c r="J530" s="24"/>
      <c r="K530" s="24"/>
      <c r="L530" s="24"/>
      <c r="M530" s="24"/>
    </row>
    <row r="531" spans="3:13" ht="15.75" customHeight="1" x14ac:dyDescent="0.3">
      <c r="C531" s="24"/>
      <c r="D531" s="24"/>
      <c r="F531" s="24"/>
      <c r="G531" s="24"/>
      <c r="H531" s="24"/>
      <c r="I531" s="24"/>
      <c r="J531" s="24"/>
      <c r="K531" s="24"/>
      <c r="L531" s="24"/>
      <c r="M531" s="24"/>
    </row>
    <row r="532" spans="3:13" ht="15.75" customHeight="1" x14ac:dyDescent="0.3">
      <c r="C532" s="24"/>
      <c r="D532" s="24"/>
      <c r="F532" s="24"/>
      <c r="G532" s="24"/>
      <c r="H532" s="24"/>
      <c r="I532" s="24"/>
      <c r="J532" s="24"/>
      <c r="K532" s="24"/>
      <c r="L532" s="24"/>
      <c r="M532" s="24"/>
    </row>
    <row r="533" spans="3:13" ht="15.75" customHeight="1" x14ac:dyDescent="0.3">
      <c r="C533" s="24"/>
      <c r="D533" s="24"/>
      <c r="F533" s="24"/>
      <c r="G533" s="24"/>
      <c r="H533" s="24"/>
      <c r="I533" s="24"/>
      <c r="J533" s="24"/>
      <c r="K533" s="24"/>
      <c r="L533" s="24"/>
      <c r="M533" s="24"/>
    </row>
    <row r="534" spans="3:13" ht="15.75" customHeight="1" x14ac:dyDescent="0.3">
      <c r="C534" s="24"/>
      <c r="D534" s="24"/>
      <c r="F534" s="24"/>
      <c r="G534" s="24"/>
      <c r="H534" s="24"/>
      <c r="I534" s="24"/>
      <c r="J534" s="24"/>
      <c r="K534" s="24"/>
      <c r="L534" s="24"/>
      <c r="M534" s="24"/>
    </row>
    <row r="535" spans="3:13" ht="15.75" customHeight="1" x14ac:dyDescent="0.3">
      <c r="C535" s="24"/>
      <c r="D535" s="24"/>
      <c r="F535" s="24"/>
      <c r="G535" s="24"/>
      <c r="H535" s="24"/>
      <c r="I535" s="24"/>
      <c r="J535" s="24"/>
      <c r="K535" s="24"/>
      <c r="L535" s="24"/>
      <c r="M535" s="24"/>
    </row>
    <row r="536" spans="3:13" ht="15.75" customHeight="1" x14ac:dyDescent="0.3">
      <c r="C536" s="24"/>
      <c r="D536" s="24"/>
      <c r="F536" s="24"/>
      <c r="G536" s="24"/>
      <c r="H536" s="24"/>
      <c r="I536" s="24"/>
      <c r="J536" s="24"/>
      <c r="K536" s="24"/>
      <c r="L536" s="24"/>
      <c r="M536" s="24"/>
    </row>
    <row r="537" spans="3:13" ht="15.75" customHeight="1" x14ac:dyDescent="0.3">
      <c r="C537" s="24"/>
      <c r="D537" s="24"/>
      <c r="F537" s="24"/>
      <c r="G537" s="24"/>
      <c r="H537" s="24"/>
      <c r="I537" s="24"/>
      <c r="J537" s="24"/>
      <c r="K537" s="24"/>
      <c r="L537" s="24"/>
      <c r="M537" s="24"/>
    </row>
    <row r="538" spans="3:13" ht="15.75" customHeight="1" x14ac:dyDescent="0.3">
      <c r="C538" s="24"/>
      <c r="D538" s="24"/>
      <c r="F538" s="24"/>
      <c r="G538" s="24"/>
      <c r="H538" s="24"/>
      <c r="I538" s="24"/>
      <c r="J538" s="24"/>
      <c r="K538" s="24"/>
      <c r="L538" s="24"/>
      <c r="M538" s="24"/>
    </row>
    <row r="539" spans="3:13" ht="15.75" customHeight="1" x14ac:dyDescent="0.3">
      <c r="C539" s="24"/>
      <c r="D539" s="24"/>
      <c r="F539" s="24"/>
      <c r="G539" s="24"/>
      <c r="H539" s="24"/>
      <c r="I539" s="24"/>
      <c r="J539" s="24"/>
      <c r="K539" s="24"/>
      <c r="L539" s="24"/>
      <c r="M539" s="24"/>
    </row>
    <row r="540" spans="3:13" ht="15.75" customHeight="1" x14ac:dyDescent="0.3">
      <c r="C540" s="24"/>
      <c r="D540" s="24"/>
      <c r="F540" s="24"/>
      <c r="G540" s="24"/>
      <c r="H540" s="24"/>
      <c r="I540" s="24"/>
      <c r="J540" s="24"/>
      <c r="K540" s="24"/>
      <c r="L540" s="24"/>
      <c r="M540" s="24"/>
    </row>
    <row r="541" spans="3:13" ht="15.75" customHeight="1" x14ac:dyDescent="0.3">
      <c r="C541" s="24"/>
      <c r="D541" s="24"/>
      <c r="F541" s="24"/>
      <c r="G541" s="24"/>
      <c r="H541" s="24"/>
      <c r="I541" s="24"/>
      <c r="J541" s="24"/>
      <c r="K541" s="24"/>
      <c r="L541" s="24"/>
      <c r="M541" s="24"/>
    </row>
    <row r="542" spans="3:13" ht="15.75" customHeight="1" x14ac:dyDescent="0.3">
      <c r="C542" s="24"/>
      <c r="D542" s="24"/>
      <c r="F542" s="24"/>
      <c r="G542" s="24"/>
      <c r="H542" s="24"/>
      <c r="I542" s="24"/>
      <c r="J542" s="24"/>
      <c r="K542" s="24"/>
      <c r="L542" s="24"/>
      <c r="M542" s="24"/>
    </row>
    <row r="543" spans="3:13" ht="15.75" customHeight="1" x14ac:dyDescent="0.3">
      <c r="C543" s="24"/>
      <c r="D543" s="24"/>
      <c r="F543" s="24"/>
      <c r="G543" s="24"/>
      <c r="H543" s="24"/>
      <c r="I543" s="24"/>
      <c r="J543" s="24"/>
      <c r="K543" s="24"/>
      <c r="L543" s="24"/>
      <c r="M543" s="24"/>
    </row>
    <row r="544" spans="3:13" ht="15.75" customHeight="1" x14ac:dyDescent="0.3">
      <c r="C544" s="24"/>
      <c r="D544" s="24"/>
      <c r="F544" s="24"/>
      <c r="G544" s="24"/>
      <c r="H544" s="24"/>
      <c r="I544" s="24"/>
      <c r="J544" s="24"/>
      <c r="K544" s="24"/>
      <c r="L544" s="24"/>
      <c r="M544" s="24"/>
    </row>
    <row r="545" spans="3:13" ht="15.75" customHeight="1" x14ac:dyDescent="0.3">
      <c r="C545" s="24"/>
      <c r="D545" s="24"/>
      <c r="F545" s="24"/>
      <c r="G545" s="24"/>
      <c r="H545" s="24"/>
      <c r="I545" s="24"/>
      <c r="J545" s="24"/>
      <c r="K545" s="24"/>
      <c r="L545" s="24"/>
      <c r="M545" s="24"/>
    </row>
    <row r="546" spans="3:13" ht="15.75" customHeight="1" x14ac:dyDescent="0.3">
      <c r="C546" s="24"/>
      <c r="D546" s="24"/>
      <c r="F546" s="24"/>
      <c r="G546" s="24"/>
      <c r="H546" s="24"/>
      <c r="I546" s="24"/>
      <c r="J546" s="24"/>
      <c r="K546" s="24"/>
      <c r="L546" s="24"/>
      <c r="M546" s="24"/>
    </row>
    <row r="547" spans="3:13" ht="15.75" customHeight="1" x14ac:dyDescent="0.3">
      <c r="C547" s="24"/>
      <c r="D547" s="24"/>
      <c r="F547" s="24"/>
      <c r="G547" s="24"/>
      <c r="H547" s="24"/>
      <c r="I547" s="24"/>
      <c r="J547" s="24"/>
      <c r="K547" s="24"/>
      <c r="L547" s="24"/>
      <c r="M547" s="24"/>
    </row>
    <row r="548" spans="3:13" ht="15.75" customHeight="1" x14ac:dyDescent="0.3">
      <c r="C548" s="24"/>
      <c r="D548" s="24"/>
      <c r="F548" s="24"/>
      <c r="G548" s="24"/>
      <c r="H548" s="24"/>
      <c r="I548" s="24"/>
      <c r="J548" s="24"/>
      <c r="K548" s="24"/>
      <c r="L548" s="24"/>
      <c r="M548" s="24"/>
    </row>
    <row r="549" spans="3:13" ht="15.75" customHeight="1" x14ac:dyDescent="0.3">
      <c r="C549" s="24"/>
      <c r="D549" s="24"/>
      <c r="F549" s="24"/>
      <c r="G549" s="24"/>
      <c r="H549" s="24"/>
      <c r="I549" s="24"/>
      <c r="J549" s="24"/>
      <c r="K549" s="24"/>
      <c r="L549" s="24"/>
      <c r="M549" s="24"/>
    </row>
    <row r="550" spans="3:13" ht="15.75" customHeight="1" x14ac:dyDescent="0.3">
      <c r="C550" s="24"/>
      <c r="D550" s="24"/>
      <c r="F550" s="24"/>
      <c r="G550" s="24"/>
      <c r="H550" s="24"/>
      <c r="I550" s="24"/>
      <c r="J550" s="24"/>
      <c r="K550" s="24"/>
      <c r="L550" s="24"/>
      <c r="M550" s="24"/>
    </row>
    <row r="551" spans="3:13" ht="15.75" customHeight="1" x14ac:dyDescent="0.3">
      <c r="C551" s="24"/>
      <c r="D551" s="24"/>
      <c r="F551" s="24"/>
      <c r="G551" s="24"/>
      <c r="H551" s="24"/>
      <c r="I551" s="24"/>
      <c r="J551" s="24"/>
      <c r="K551" s="24"/>
      <c r="L551" s="24"/>
      <c r="M551" s="24"/>
    </row>
    <row r="552" spans="3:13" ht="15.75" customHeight="1" x14ac:dyDescent="0.3">
      <c r="C552" s="24"/>
      <c r="D552" s="24"/>
      <c r="F552" s="24"/>
      <c r="G552" s="24"/>
      <c r="H552" s="24"/>
      <c r="I552" s="24"/>
      <c r="J552" s="24"/>
      <c r="K552" s="24"/>
      <c r="L552" s="24"/>
      <c r="M552" s="24"/>
    </row>
    <row r="553" spans="3:13" ht="15.75" customHeight="1" x14ac:dyDescent="0.3">
      <c r="C553" s="24"/>
      <c r="D553" s="24"/>
      <c r="F553" s="24"/>
      <c r="G553" s="24"/>
      <c r="H553" s="24"/>
      <c r="I553" s="24"/>
      <c r="J553" s="24"/>
      <c r="K553" s="24"/>
      <c r="L553" s="24"/>
      <c r="M553" s="24"/>
    </row>
    <row r="554" spans="3:13" ht="15.75" customHeight="1" x14ac:dyDescent="0.3">
      <c r="C554" s="24"/>
      <c r="D554" s="24"/>
      <c r="F554" s="24"/>
      <c r="G554" s="24"/>
      <c r="H554" s="24"/>
      <c r="I554" s="24"/>
      <c r="J554" s="24"/>
      <c r="K554" s="24"/>
      <c r="L554" s="24"/>
      <c r="M554" s="24"/>
    </row>
    <row r="555" spans="3:13" ht="15.75" customHeight="1" x14ac:dyDescent="0.3">
      <c r="C555" s="24"/>
      <c r="D555" s="24"/>
      <c r="F555" s="24"/>
      <c r="G555" s="24"/>
      <c r="H555" s="24"/>
      <c r="I555" s="24"/>
      <c r="J555" s="24"/>
      <c r="K555" s="24"/>
      <c r="L555" s="24"/>
      <c r="M555" s="24"/>
    </row>
    <row r="556" spans="3:13" ht="15.75" customHeight="1" x14ac:dyDescent="0.3">
      <c r="C556" s="24"/>
      <c r="D556" s="24"/>
      <c r="F556" s="24"/>
      <c r="G556" s="24"/>
      <c r="H556" s="24"/>
      <c r="I556" s="24"/>
      <c r="J556" s="24"/>
      <c r="K556" s="24"/>
      <c r="L556" s="24"/>
      <c r="M556" s="24"/>
    </row>
    <row r="557" spans="3:13" ht="15.75" customHeight="1" x14ac:dyDescent="0.3">
      <c r="C557" s="24"/>
      <c r="D557" s="24"/>
      <c r="F557" s="24"/>
      <c r="G557" s="24"/>
      <c r="H557" s="24"/>
      <c r="I557" s="24"/>
      <c r="J557" s="24"/>
      <c r="K557" s="24"/>
      <c r="L557" s="24"/>
      <c r="M557" s="24"/>
    </row>
    <row r="558" spans="3:13" ht="15.75" customHeight="1" x14ac:dyDescent="0.3">
      <c r="C558" s="24"/>
      <c r="D558" s="24"/>
      <c r="F558" s="24"/>
      <c r="G558" s="24"/>
      <c r="H558" s="24"/>
      <c r="I558" s="24"/>
      <c r="J558" s="24"/>
      <c r="K558" s="24"/>
      <c r="L558" s="24"/>
      <c r="M558" s="24"/>
    </row>
    <row r="559" spans="3:13" ht="15.75" customHeight="1" x14ac:dyDescent="0.3">
      <c r="C559" s="24"/>
      <c r="D559" s="24"/>
      <c r="F559" s="24"/>
      <c r="G559" s="24"/>
      <c r="H559" s="24"/>
      <c r="I559" s="24"/>
      <c r="J559" s="24"/>
      <c r="K559" s="24"/>
      <c r="L559" s="24"/>
      <c r="M559" s="24"/>
    </row>
    <row r="560" spans="3:13" ht="15.75" customHeight="1" x14ac:dyDescent="0.3">
      <c r="C560" s="24"/>
      <c r="D560" s="24"/>
      <c r="F560" s="24"/>
      <c r="G560" s="24"/>
      <c r="H560" s="24"/>
      <c r="I560" s="24"/>
      <c r="J560" s="24"/>
      <c r="K560" s="24"/>
      <c r="L560" s="24"/>
      <c r="M560" s="24"/>
    </row>
    <row r="561" spans="3:13" ht="15.75" customHeight="1" x14ac:dyDescent="0.3">
      <c r="C561" s="24"/>
      <c r="D561" s="24"/>
      <c r="F561" s="24"/>
      <c r="G561" s="24"/>
      <c r="H561" s="24"/>
      <c r="I561" s="24"/>
      <c r="J561" s="24"/>
      <c r="K561" s="24"/>
      <c r="L561" s="24"/>
      <c r="M561" s="24"/>
    </row>
    <row r="562" spans="3:13" ht="15.75" customHeight="1" x14ac:dyDescent="0.3">
      <c r="C562" s="24"/>
      <c r="D562" s="24"/>
      <c r="F562" s="24"/>
      <c r="G562" s="24"/>
      <c r="H562" s="24"/>
      <c r="I562" s="24"/>
      <c r="J562" s="24"/>
      <c r="K562" s="24"/>
      <c r="L562" s="24"/>
      <c r="M562" s="24"/>
    </row>
    <row r="563" spans="3:13" ht="15.75" customHeight="1" x14ac:dyDescent="0.3">
      <c r="C563" s="24"/>
      <c r="D563" s="24"/>
      <c r="F563" s="24"/>
      <c r="G563" s="24"/>
      <c r="H563" s="24"/>
      <c r="I563" s="24"/>
      <c r="J563" s="24"/>
      <c r="K563" s="24"/>
      <c r="L563" s="24"/>
      <c r="M563" s="24"/>
    </row>
    <row r="564" spans="3:13" ht="15.75" customHeight="1" x14ac:dyDescent="0.3">
      <c r="C564" s="24"/>
      <c r="D564" s="24"/>
      <c r="F564" s="24"/>
      <c r="G564" s="24"/>
      <c r="H564" s="24"/>
      <c r="I564" s="24"/>
      <c r="J564" s="24"/>
      <c r="K564" s="24"/>
      <c r="L564" s="24"/>
      <c r="M564" s="24"/>
    </row>
    <row r="565" spans="3:13" ht="15.75" customHeight="1" x14ac:dyDescent="0.3">
      <c r="C565" s="24"/>
      <c r="D565" s="24"/>
      <c r="F565" s="24"/>
      <c r="G565" s="24"/>
      <c r="H565" s="24"/>
      <c r="I565" s="24"/>
      <c r="J565" s="24"/>
      <c r="K565" s="24"/>
      <c r="L565" s="24"/>
      <c r="M565" s="24"/>
    </row>
    <row r="566" spans="3:13" ht="15.75" customHeight="1" x14ac:dyDescent="0.3">
      <c r="C566" s="24"/>
      <c r="D566" s="24"/>
      <c r="F566" s="24"/>
      <c r="G566" s="24"/>
      <c r="H566" s="24"/>
      <c r="I566" s="24"/>
      <c r="J566" s="24"/>
      <c r="K566" s="24"/>
      <c r="L566" s="24"/>
      <c r="M566" s="24"/>
    </row>
    <row r="567" spans="3:13" ht="15.75" customHeight="1" x14ac:dyDescent="0.3">
      <c r="C567" s="24"/>
      <c r="D567" s="24"/>
      <c r="F567" s="24"/>
      <c r="G567" s="24"/>
      <c r="H567" s="24"/>
      <c r="I567" s="24"/>
      <c r="J567" s="24"/>
      <c r="K567" s="24"/>
      <c r="L567" s="24"/>
      <c r="M567" s="24"/>
    </row>
    <row r="568" spans="3:13" ht="15.75" customHeight="1" x14ac:dyDescent="0.3">
      <c r="C568" s="24"/>
      <c r="D568" s="24"/>
      <c r="F568" s="24"/>
      <c r="G568" s="24"/>
      <c r="H568" s="24"/>
      <c r="I568" s="24"/>
      <c r="J568" s="24"/>
      <c r="K568" s="24"/>
      <c r="L568" s="24"/>
      <c r="M568" s="24"/>
    </row>
    <row r="569" spans="3:13" ht="15.75" customHeight="1" x14ac:dyDescent="0.3">
      <c r="C569" s="24"/>
      <c r="D569" s="24"/>
      <c r="F569" s="24"/>
      <c r="G569" s="24"/>
      <c r="H569" s="24"/>
      <c r="I569" s="24"/>
      <c r="J569" s="24"/>
      <c r="K569" s="24"/>
      <c r="L569" s="24"/>
      <c r="M569" s="24"/>
    </row>
    <row r="570" spans="3:13" ht="15.75" customHeight="1" x14ac:dyDescent="0.3">
      <c r="C570" s="24"/>
      <c r="D570" s="24"/>
      <c r="F570" s="24"/>
      <c r="G570" s="24"/>
      <c r="H570" s="24"/>
      <c r="I570" s="24"/>
      <c r="J570" s="24"/>
      <c r="K570" s="24"/>
      <c r="L570" s="24"/>
      <c r="M570" s="24"/>
    </row>
    <row r="571" spans="3:13" ht="15.75" customHeight="1" x14ac:dyDescent="0.3">
      <c r="C571" s="24"/>
      <c r="D571" s="24"/>
      <c r="F571" s="24"/>
      <c r="G571" s="24"/>
      <c r="H571" s="24"/>
      <c r="I571" s="24"/>
      <c r="J571" s="24"/>
      <c r="K571" s="24"/>
      <c r="L571" s="24"/>
      <c r="M571" s="24"/>
    </row>
    <row r="572" spans="3:13" ht="15.75" customHeight="1" x14ac:dyDescent="0.3">
      <c r="C572" s="24"/>
      <c r="D572" s="24"/>
      <c r="F572" s="24"/>
      <c r="G572" s="24"/>
      <c r="H572" s="24"/>
      <c r="I572" s="24"/>
      <c r="J572" s="24"/>
      <c r="K572" s="24"/>
      <c r="L572" s="24"/>
      <c r="M572" s="24"/>
    </row>
    <row r="573" spans="3:13" ht="15.75" customHeight="1" x14ac:dyDescent="0.3">
      <c r="C573" s="24"/>
      <c r="D573" s="24"/>
      <c r="F573" s="24"/>
      <c r="G573" s="24"/>
      <c r="H573" s="24"/>
      <c r="I573" s="24"/>
      <c r="J573" s="24"/>
      <c r="K573" s="24"/>
      <c r="L573" s="24"/>
      <c r="M573" s="24"/>
    </row>
    <row r="574" spans="3:13" ht="15.75" customHeight="1" x14ac:dyDescent="0.3">
      <c r="C574" s="24"/>
      <c r="D574" s="24"/>
      <c r="F574" s="24"/>
      <c r="G574" s="24"/>
      <c r="H574" s="24"/>
      <c r="I574" s="24"/>
      <c r="J574" s="24"/>
      <c r="K574" s="24"/>
      <c r="L574" s="24"/>
      <c r="M574" s="24"/>
    </row>
    <row r="575" spans="3:13" ht="15.75" customHeight="1" x14ac:dyDescent="0.3">
      <c r="C575" s="24"/>
      <c r="D575" s="24"/>
      <c r="F575" s="24"/>
      <c r="G575" s="24"/>
      <c r="H575" s="24"/>
      <c r="I575" s="24"/>
      <c r="J575" s="24"/>
      <c r="K575" s="24"/>
      <c r="L575" s="24"/>
      <c r="M575" s="24"/>
    </row>
    <row r="576" spans="3:13" ht="15.75" customHeight="1" x14ac:dyDescent="0.3">
      <c r="C576" s="24"/>
      <c r="D576" s="24"/>
      <c r="F576" s="24"/>
      <c r="G576" s="24"/>
      <c r="H576" s="24"/>
      <c r="I576" s="24"/>
      <c r="J576" s="24"/>
      <c r="K576" s="24"/>
      <c r="L576" s="24"/>
      <c r="M576" s="24"/>
    </row>
    <row r="577" spans="3:13" ht="15.75" customHeight="1" x14ac:dyDescent="0.3">
      <c r="C577" s="24"/>
      <c r="D577" s="24"/>
      <c r="F577" s="24"/>
      <c r="G577" s="24"/>
      <c r="H577" s="24"/>
      <c r="I577" s="24"/>
      <c r="J577" s="24"/>
      <c r="K577" s="24"/>
      <c r="L577" s="24"/>
      <c r="M577" s="24"/>
    </row>
    <row r="578" spans="3:13" ht="15.75" customHeight="1" x14ac:dyDescent="0.3">
      <c r="C578" s="24"/>
      <c r="D578" s="24"/>
      <c r="F578" s="24"/>
      <c r="G578" s="24"/>
      <c r="H578" s="24"/>
      <c r="I578" s="24"/>
      <c r="J578" s="24"/>
      <c r="K578" s="24"/>
      <c r="L578" s="24"/>
      <c r="M578" s="24"/>
    </row>
    <row r="579" spans="3:13" ht="15.75" customHeight="1" x14ac:dyDescent="0.3">
      <c r="C579" s="24"/>
      <c r="D579" s="24"/>
      <c r="F579" s="24"/>
      <c r="G579" s="24"/>
      <c r="H579" s="24"/>
      <c r="I579" s="24"/>
      <c r="J579" s="24"/>
      <c r="K579" s="24"/>
      <c r="L579" s="24"/>
      <c r="M579" s="24"/>
    </row>
    <row r="580" spans="3:13" ht="15.75" customHeight="1" x14ac:dyDescent="0.3">
      <c r="C580" s="24"/>
      <c r="D580" s="24"/>
      <c r="F580" s="24"/>
      <c r="G580" s="24"/>
      <c r="H580" s="24"/>
      <c r="I580" s="24"/>
      <c r="J580" s="24"/>
      <c r="K580" s="24"/>
      <c r="L580" s="24"/>
      <c r="M580" s="24"/>
    </row>
    <row r="581" spans="3:13" ht="15.75" customHeight="1" x14ac:dyDescent="0.3">
      <c r="C581" s="24"/>
      <c r="D581" s="24"/>
      <c r="F581" s="24"/>
      <c r="G581" s="24"/>
      <c r="H581" s="24"/>
      <c r="I581" s="24"/>
      <c r="J581" s="24"/>
      <c r="K581" s="24"/>
      <c r="L581" s="24"/>
      <c r="M581" s="24"/>
    </row>
    <row r="582" spans="3:13" ht="15.75" customHeight="1" x14ac:dyDescent="0.3">
      <c r="C582" s="24"/>
      <c r="D582" s="24"/>
      <c r="F582" s="24"/>
      <c r="G582" s="24"/>
      <c r="H582" s="24"/>
      <c r="I582" s="24"/>
      <c r="J582" s="24"/>
      <c r="K582" s="24"/>
      <c r="L582" s="24"/>
      <c r="M582" s="24"/>
    </row>
    <row r="583" spans="3:13" ht="15.75" customHeight="1" x14ac:dyDescent="0.3">
      <c r="C583" s="24"/>
      <c r="D583" s="24"/>
      <c r="F583" s="24"/>
      <c r="G583" s="24"/>
      <c r="H583" s="24"/>
      <c r="I583" s="24"/>
      <c r="J583" s="24"/>
      <c r="K583" s="24"/>
      <c r="L583" s="24"/>
      <c r="M583" s="24"/>
    </row>
    <row r="584" spans="3:13" ht="15.75" customHeight="1" x14ac:dyDescent="0.3">
      <c r="C584" s="24"/>
      <c r="D584" s="24"/>
      <c r="F584" s="24"/>
      <c r="G584" s="24"/>
      <c r="H584" s="24"/>
      <c r="I584" s="24"/>
      <c r="J584" s="24"/>
      <c r="K584" s="24"/>
      <c r="L584" s="24"/>
      <c r="M584" s="24"/>
    </row>
    <row r="585" spans="3:13" ht="15.75" customHeight="1" x14ac:dyDescent="0.3">
      <c r="C585" s="24"/>
      <c r="D585" s="24"/>
      <c r="F585" s="24"/>
      <c r="G585" s="24"/>
      <c r="H585" s="24"/>
      <c r="I585" s="24"/>
      <c r="J585" s="24"/>
      <c r="K585" s="24"/>
      <c r="L585" s="24"/>
      <c r="M585" s="24"/>
    </row>
    <row r="586" spans="3:13" ht="15.75" customHeight="1" x14ac:dyDescent="0.3">
      <c r="C586" s="24"/>
      <c r="D586" s="24"/>
      <c r="F586" s="24"/>
      <c r="G586" s="24"/>
      <c r="H586" s="24"/>
      <c r="I586" s="24"/>
      <c r="J586" s="24"/>
      <c r="K586" s="24"/>
      <c r="L586" s="24"/>
      <c r="M586" s="24"/>
    </row>
    <row r="587" spans="3:13" ht="15.75" customHeight="1" x14ac:dyDescent="0.3">
      <c r="C587" s="24"/>
      <c r="D587" s="24"/>
      <c r="F587" s="24"/>
      <c r="G587" s="24"/>
      <c r="H587" s="24"/>
      <c r="I587" s="24"/>
      <c r="J587" s="24"/>
      <c r="K587" s="24"/>
      <c r="L587" s="24"/>
      <c r="M587" s="24"/>
    </row>
    <row r="588" spans="3:13" ht="15.75" customHeight="1" x14ac:dyDescent="0.3">
      <c r="C588" s="24"/>
      <c r="D588" s="24"/>
      <c r="F588" s="24"/>
      <c r="G588" s="24"/>
      <c r="H588" s="24"/>
      <c r="I588" s="24"/>
      <c r="J588" s="24"/>
      <c r="K588" s="24"/>
      <c r="L588" s="24"/>
      <c r="M588" s="24"/>
    </row>
    <row r="589" spans="3:13" ht="15.75" customHeight="1" x14ac:dyDescent="0.3">
      <c r="C589" s="24"/>
      <c r="D589" s="24"/>
      <c r="F589" s="24"/>
      <c r="G589" s="24"/>
      <c r="H589" s="24"/>
      <c r="I589" s="24"/>
      <c r="J589" s="24"/>
      <c r="K589" s="24"/>
      <c r="L589" s="24"/>
      <c r="M589" s="24"/>
    </row>
    <row r="590" spans="3:13" ht="15.75" customHeight="1" x14ac:dyDescent="0.3">
      <c r="C590" s="24"/>
      <c r="D590" s="24"/>
      <c r="F590" s="24"/>
      <c r="G590" s="24"/>
      <c r="H590" s="24"/>
      <c r="I590" s="24"/>
      <c r="J590" s="24"/>
      <c r="K590" s="24"/>
      <c r="L590" s="24"/>
      <c r="M590" s="24"/>
    </row>
    <row r="591" spans="3:13" ht="15.75" customHeight="1" x14ac:dyDescent="0.3">
      <c r="C591" s="24"/>
      <c r="D591" s="24"/>
      <c r="F591" s="24"/>
      <c r="G591" s="24"/>
      <c r="H591" s="24"/>
      <c r="I591" s="24"/>
      <c r="J591" s="24"/>
      <c r="K591" s="24"/>
      <c r="L591" s="24"/>
      <c r="M591" s="24"/>
    </row>
    <row r="592" spans="3:13" ht="15.75" customHeight="1" x14ac:dyDescent="0.3">
      <c r="C592" s="24"/>
      <c r="D592" s="24"/>
      <c r="F592" s="24"/>
      <c r="G592" s="24"/>
      <c r="H592" s="24"/>
      <c r="I592" s="24"/>
      <c r="J592" s="24"/>
      <c r="K592" s="24"/>
      <c r="L592" s="24"/>
      <c r="M592" s="24"/>
    </row>
    <row r="593" spans="3:13" ht="15.75" customHeight="1" x14ac:dyDescent="0.3">
      <c r="C593" s="24"/>
      <c r="D593" s="24"/>
      <c r="F593" s="24"/>
      <c r="G593" s="24"/>
      <c r="H593" s="24"/>
      <c r="I593" s="24"/>
      <c r="J593" s="24"/>
      <c r="K593" s="24"/>
      <c r="L593" s="24"/>
      <c r="M593" s="24"/>
    </row>
    <row r="594" spans="3:13" ht="15.75" customHeight="1" x14ac:dyDescent="0.3">
      <c r="C594" s="24"/>
      <c r="D594" s="24"/>
      <c r="F594" s="24"/>
      <c r="G594" s="24"/>
      <c r="H594" s="24"/>
      <c r="I594" s="24"/>
      <c r="J594" s="24"/>
      <c r="K594" s="24"/>
      <c r="L594" s="24"/>
      <c r="M594" s="24"/>
    </row>
    <row r="595" spans="3:13" ht="15.75" customHeight="1" x14ac:dyDescent="0.3">
      <c r="C595" s="24"/>
      <c r="D595" s="24"/>
      <c r="F595" s="24"/>
      <c r="G595" s="24"/>
      <c r="H595" s="24"/>
      <c r="I595" s="24"/>
      <c r="J595" s="24"/>
      <c r="K595" s="24"/>
      <c r="L595" s="24"/>
      <c r="M595" s="24"/>
    </row>
    <row r="596" spans="3:13" ht="15.75" customHeight="1" x14ac:dyDescent="0.3">
      <c r="C596" s="24"/>
      <c r="D596" s="24"/>
      <c r="F596" s="24"/>
      <c r="G596" s="24"/>
      <c r="H596" s="24"/>
      <c r="I596" s="24"/>
      <c r="J596" s="24"/>
      <c r="K596" s="24"/>
      <c r="L596" s="24"/>
      <c r="M596" s="24"/>
    </row>
    <row r="597" spans="3:13" ht="15.75" customHeight="1" x14ac:dyDescent="0.3">
      <c r="C597" s="24"/>
      <c r="D597" s="24"/>
      <c r="F597" s="24"/>
      <c r="G597" s="24"/>
      <c r="H597" s="24"/>
      <c r="I597" s="24"/>
      <c r="J597" s="24"/>
      <c r="K597" s="24"/>
      <c r="L597" s="24"/>
      <c r="M597" s="24"/>
    </row>
    <row r="598" spans="3:13" ht="15.75" customHeight="1" x14ac:dyDescent="0.3">
      <c r="C598" s="24"/>
      <c r="D598" s="24"/>
      <c r="F598" s="24"/>
      <c r="G598" s="24"/>
      <c r="H598" s="24"/>
      <c r="I598" s="24"/>
      <c r="J598" s="24"/>
      <c r="K598" s="24"/>
      <c r="L598" s="24"/>
      <c r="M598" s="24"/>
    </row>
    <row r="599" spans="3:13" ht="15.75" customHeight="1" x14ac:dyDescent="0.3">
      <c r="C599" s="24"/>
      <c r="D599" s="24"/>
      <c r="F599" s="24"/>
      <c r="G599" s="24"/>
      <c r="H599" s="24"/>
      <c r="I599" s="24"/>
      <c r="J599" s="24"/>
      <c r="K599" s="24"/>
      <c r="L599" s="24"/>
      <c r="M599" s="24"/>
    </row>
    <row r="600" spans="3:13" ht="15.75" customHeight="1" x14ac:dyDescent="0.3">
      <c r="C600" s="24"/>
      <c r="D600" s="24"/>
      <c r="F600" s="24"/>
      <c r="G600" s="24"/>
      <c r="H600" s="24"/>
      <c r="I600" s="24"/>
      <c r="J600" s="24"/>
      <c r="K600" s="24"/>
      <c r="L600" s="24"/>
      <c r="M600" s="24"/>
    </row>
    <row r="601" spans="3:13" ht="15.75" customHeight="1" x14ac:dyDescent="0.3">
      <c r="C601" s="24"/>
      <c r="D601" s="24"/>
      <c r="F601" s="24"/>
      <c r="G601" s="24"/>
      <c r="H601" s="24"/>
      <c r="I601" s="24"/>
      <c r="J601" s="24"/>
      <c r="K601" s="24"/>
      <c r="L601" s="24"/>
      <c r="M601" s="24"/>
    </row>
    <row r="602" spans="3:13" ht="15.75" customHeight="1" x14ac:dyDescent="0.3">
      <c r="C602" s="24"/>
      <c r="D602" s="24"/>
      <c r="F602" s="24"/>
      <c r="G602" s="24"/>
      <c r="H602" s="24"/>
      <c r="I602" s="24"/>
      <c r="J602" s="24"/>
      <c r="K602" s="24"/>
      <c r="L602" s="24"/>
      <c r="M602" s="24"/>
    </row>
    <row r="603" spans="3:13" ht="15.75" customHeight="1" x14ac:dyDescent="0.3">
      <c r="C603" s="24"/>
      <c r="D603" s="24"/>
      <c r="F603" s="24"/>
      <c r="G603" s="24"/>
      <c r="H603" s="24"/>
      <c r="I603" s="24"/>
      <c r="J603" s="24"/>
      <c r="K603" s="24"/>
      <c r="L603" s="24"/>
      <c r="M603" s="24"/>
    </row>
    <row r="604" spans="3:13" ht="15.75" customHeight="1" x14ac:dyDescent="0.3">
      <c r="C604" s="24"/>
      <c r="D604" s="24"/>
      <c r="F604" s="24"/>
      <c r="G604" s="24"/>
      <c r="H604" s="24"/>
      <c r="I604" s="24"/>
      <c r="J604" s="24"/>
      <c r="K604" s="24"/>
      <c r="L604" s="24"/>
      <c r="M604" s="24"/>
    </row>
    <row r="605" spans="3:13" ht="15.75" customHeight="1" x14ac:dyDescent="0.3">
      <c r="C605" s="24"/>
      <c r="D605" s="24"/>
      <c r="F605" s="24"/>
      <c r="G605" s="24"/>
      <c r="H605" s="24"/>
      <c r="I605" s="24"/>
      <c r="J605" s="24"/>
      <c r="K605" s="24"/>
      <c r="L605" s="24"/>
      <c r="M605" s="24"/>
    </row>
    <row r="606" spans="3:13" ht="15.75" customHeight="1" x14ac:dyDescent="0.3">
      <c r="C606" s="24"/>
      <c r="D606" s="24"/>
      <c r="F606" s="24"/>
      <c r="G606" s="24"/>
      <c r="H606" s="24"/>
      <c r="I606" s="24"/>
      <c r="J606" s="24"/>
      <c r="K606" s="24"/>
      <c r="L606" s="24"/>
      <c r="M606" s="24"/>
    </row>
    <row r="607" spans="3:13" ht="15.75" customHeight="1" x14ac:dyDescent="0.3">
      <c r="C607" s="24"/>
      <c r="D607" s="24"/>
      <c r="F607" s="24"/>
      <c r="G607" s="24"/>
      <c r="H607" s="24"/>
      <c r="I607" s="24"/>
      <c r="J607" s="24"/>
      <c r="K607" s="24"/>
      <c r="L607" s="24"/>
      <c r="M607" s="24"/>
    </row>
    <row r="608" spans="3:13" ht="15.75" customHeight="1" x14ac:dyDescent="0.3">
      <c r="C608" s="24"/>
      <c r="D608" s="24"/>
      <c r="F608" s="24"/>
      <c r="G608" s="24"/>
      <c r="H608" s="24"/>
      <c r="I608" s="24"/>
      <c r="J608" s="24"/>
      <c r="K608" s="24"/>
      <c r="L608" s="24"/>
      <c r="M608" s="24"/>
    </row>
    <row r="609" spans="3:13" ht="15.75" customHeight="1" x14ac:dyDescent="0.3">
      <c r="C609" s="24"/>
      <c r="D609" s="24"/>
      <c r="F609" s="24"/>
      <c r="G609" s="24"/>
      <c r="H609" s="24"/>
      <c r="I609" s="24"/>
      <c r="J609" s="24"/>
      <c r="K609" s="24"/>
      <c r="L609" s="24"/>
      <c r="M609" s="24"/>
    </row>
    <row r="610" spans="3:13" ht="15.75" customHeight="1" x14ac:dyDescent="0.3">
      <c r="C610" s="24"/>
      <c r="D610" s="24"/>
      <c r="F610" s="24"/>
      <c r="G610" s="24"/>
      <c r="H610" s="24"/>
      <c r="I610" s="24"/>
      <c r="J610" s="24"/>
      <c r="K610" s="24"/>
      <c r="L610" s="24"/>
      <c r="M610" s="24"/>
    </row>
    <row r="611" spans="3:13" ht="15.75" customHeight="1" x14ac:dyDescent="0.3">
      <c r="C611" s="24"/>
      <c r="D611" s="24"/>
      <c r="F611" s="24"/>
      <c r="G611" s="24"/>
      <c r="H611" s="24"/>
      <c r="I611" s="24"/>
      <c r="J611" s="24"/>
      <c r="K611" s="24"/>
      <c r="L611" s="24"/>
      <c r="M611" s="24"/>
    </row>
    <row r="612" spans="3:13" ht="15.75" customHeight="1" x14ac:dyDescent="0.3">
      <c r="C612" s="24"/>
      <c r="D612" s="24"/>
      <c r="F612" s="24"/>
      <c r="G612" s="24"/>
      <c r="H612" s="24"/>
      <c r="I612" s="24"/>
      <c r="J612" s="24"/>
      <c r="K612" s="24"/>
      <c r="L612" s="24"/>
      <c r="M612" s="24"/>
    </row>
    <row r="613" spans="3:13" ht="15.75" customHeight="1" x14ac:dyDescent="0.3">
      <c r="C613" s="24"/>
      <c r="D613" s="24"/>
      <c r="F613" s="24"/>
      <c r="G613" s="24"/>
      <c r="H613" s="24"/>
      <c r="I613" s="24"/>
      <c r="J613" s="24"/>
      <c r="K613" s="24"/>
      <c r="L613" s="24"/>
      <c r="M613" s="24"/>
    </row>
    <row r="614" spans="3:13" ht="15.75" customHeight="1" x14ac:dyDescent="0.3">
      <c r="C614" s="24"/>
      <c r="D614" s="24"/>
      <c r="F614" s="24"/>
      <c r="G614" s="24"/>
      <c r="H614" s="24"/>
      <c r="I614" s="24"/>
      <c r="J614" s="24"/>
      <c r="K614" s="24"/>
      <c r="L614" s="24"/>
      <c r="M614" s="24"/>
    </row>
    <row r="615" spans="3:13" ht="15.75" customHeight="1" x14ac:dyDescent="0.3">
      <c r="C615" s="24"/>
      <c r="D615" s="24"/>
      <c r="F615" s="24"/>
      <c r="G615" s="24"/>
      <c r="H615" s="24"/>
      <c r="I615" s="24"/>
      <c r="J615" s="24"/>
      <c r="K615" s="24"/>
      <c r="L615" s="24"/>
      <c r="M615" s="24"/>
    </row>
    <row r="616" spans="3:13" ht="15.75" customHeight="1" x14ac:dyDescent="0.3">
      <c r="C616" s="24"/>
      <c r="D616" s="24"/>
      <c r="F616" s="24"/>
      <c r="G616" s="24"/>
      <c r="H616" s="24"/>
      <c r="I616" s="24"/>
      <c r="J616" s="24"/>
      <c r="K616" s="24"/>
      <c r="L616" s="24"/>
      <c r="M616" s="24"/>
    </row>
    <row r="617" spans="3:13" ht="15.75" customHeight="1" x14ac:dyDescent="0.3">
      <c r="C617" s="24"/>
      <c r="D617" s="24"/>
      <c r="F617" s="24"/>
      <c r="G617" s="24"/>
      <c r="H617" s="24"/>
      <c r="I617" s="24"/>
      <c r="J617" s="24"/>
      <c r="K617" s="24"/>
      <c r="L617" s="24"/>
      <c r="M617" s="24"/>
    </row>
    <row r="618" spans="3:13" ht="15.75" customHeight="1" x14ac:dyDescent="0.3">
      <c r="C618" s="24"/>
      <c r="D618" s="24"/>
      <c r="F618" s="24"/>
      <c r="G618" s="24"/>
      <c r="H618" s="24"/>
      <c r="I618" s="24"/>
      <c r="J618" s="24"/>
      <c r="K618" s="24"/>
      <c r="L618" s="24"/>
      <c r="M618" s="24"/>
    </row>
    <row r="619" spans="3:13" ht="15.75" customHeight="1" x14ac:dyDescent="0.3">
      <c r="C619" s="24"/>
      <c r="D619" s="24"/>
      <c r="F619" s="24"/>
      <c r="G619" s="24"/>
      <c r="H619" s="24"/>
      <c r="I619" s="24"/>
      <c r="J619" s="24"/>
      <c r="K619" s="24"/>
      <c r="L619" s="24"/>
      <c r="M619" s="24"/>
    </row>
    <row r="620" spans="3:13" ht="15.75" customHeight="1" x14ac:dyDescent="0.3">
      <c r="C620" s="24"/>
      <c r="D620" s="24"/>
      <c r="F620" s="24"/>
      <c r="G620" s="24"/>
      <c r="H620" s="24"/>
      <c r="I620" s="24"/>
      <c r="J620" s="24"/>
      <c r="K620" s="24"/>
      <c r="L620" s="24"/>
      <c r="M620" s="24"/>
    </row>
    <row r="621" spans="3:13" ht="15.75" customHeight="1" x14ac:dyDescent="0.3">
      <c r="C621" s="24"/>
      <c r="D621" s="24"/>
      <c r="F621" s="24"/>
      <c r="G621" s="24"/>
      <c r="H621" s="24"/>
      <c r="I621" s="24"/>
      <c r="J621" s="24"/>
      <c r="K621" s="24"/>
      <c r="L621" s="24"/>
      <c r="M621" s="24"/>
    </row>
    <row r="622" spans="3:13" ht="15.75" customHeight="1" x14ac:dyDescent="0.3">
      <c r="C622" s="24"/>
      <c r="D622" s="24"/>
      <c r="F622" s="24"/>
      <c r="G622" s="24"/>
      <c r="H622" s="24"/>
      <c r="I622" s="24"/>
      <c r="J622" s="24"/>
      <c r="K622" s="24"/>
      <c r="L622" s="24"/>
      <c r="M622" s="24"/>
    </row>
    <row r="623" spans="3:13" ht="15.75" customHeight="1" x14ac:dyDescent="0.3">
      <c r="C623" s="24"/>
      <c r="D623" s="24"/>
      <c r="F623" s="24"/>
      <c r="G623" s="24"/>
      <c r="H623" s="24"/>
      <c r="I623" s="24"/>
      <c r="J623" s="24"/>
      <c r="K623" s="24"/>
      <c r="L623" s="24"/>
      <c r="M623" s="24"/>
    </row>
    <row r="624" spans="3:13" ht="15.75" customHeight="1" x14ac:dyDescent="0.3">
      <c r="C624" s="24"/>
      <c r="D624" s="24"/>
      <c r="F624" s="24"/>
      <c r="G624" s="24"/>
      <c r="H624" s="24"/>
      <c r="I624" s="24"/>
      <c r="J624" s="24"/>
      <c r="K624" s="24"/>
      <c r="L624" s="24"/>
      <c r="M624" s="24"/>
    </row>
    <row r="625" spans="3:13" ht="15.75" customHeight="1" x14ac:dyDescent="0.3">
      <c r="C625" s="24"/>
      <c r="D625" s="24"/>
      <c r="F625" s="24"/>
      <c r="G625" s="24"/>
      <c r="H625" s="24"/>
      <c r="I625" s="24"/>
      <c r="J625" s="24"/>
      <c r="K625" s="24"/>
      <c r="L625" s="24"/>
      <c r="M625" s="24"/>
    </row>
    <row r="626" spans="3:13" ht="15.75" customHeight="1" x14ac:dyDescent="0.3">
      <c r="C626" s="24"/>
      <c r="D626" s="24"/>
      <c r="F626" s="24"/>
      <c r="G626" s="24"/>
      <c r="H626" s="24"/>
      <c r="I626" s="24"/>
      <c r="J626" s="24"/>
      <c r="K626" s="24"/>
      <c r="L626" s="24"/>
      <c r="M626" s="24"/>
    </row>
    <row r="627" spans="3:13" ht="15.75" customHeight="1" x14ac:dyDescent="0.3">
      <c r="C627" s="24"/>
      <c r="D627" s="24"/>
      <c r="F627" s="24"/>
      <c r="G627" s="24"/>
      <c r="H627" s="24"/>
      <c r="I627" s="24"/>
      <c r="J627" s="24"/>
      <c r="K627" s="24"/>
      <c r="L627" s="24"/>
      <c r="M627" s="24"/>
    </row>
    <row r="628" spans="3:13" ht="15.75" customHeight="1" x14ac:dyDescent="0.3">
      <c r="C628" s="24"/>
      <c r="D628" s="24"/>
      <c r="F628" s="24"/>
      <c r="G628" s="24"/>
      <c r="H628" s="24"/>
      <c r="I628" s="24"/>
      <c r="J628" s="24"/>
      <c r="K628" s="24"/>
      <c r="L628" s="24"/>
      <c r="M628" s="24"/>
    </row>
    <row r="629" spans="3:13" ht="15.75" customHeight="1" x14ac:dyDescent="0.3">
      <c r="C629" s="24"/>
      <c r="D629" s="24"/>
      <c r="F629" s="24"/>
      <c r="G629" s="24"/>
      <c r="H629" s="24"/>
      <c r="I629" s="24"/>
      <c r="J629" s="24"/>
      <c r="K629" s="24"/>
      <c r="L629" s="24"/>
      <c r="M629" s="24"/>
    </row>
    <row r="630" spans="3:13" ht="15.75" customHeight="1" x14ac:dyDescent="0.3">
      <c r="C630" s="24"/>
      <c r="D630" s="24"/>
      <c r="F630" s="24"/>
      <c r="G630" s="24"/>
      <c r="H630" s="24"/>
      <c r="I630" s="24"/>
      <c r="J630" s="24"/>
      <c r="K630" s="24"/>
      <c r="L630" s="24"/>
      <c r="M630" s="24"/>
    </row>
    <row r="631" spans="3:13" ht="15.75" customHeight="1" x14ac:dyDescent="0.3">
      <c r="C631" s="24"/>
      <c r="D631" s="24"/>
      <c r="F631" s="24"/>
      <c r="G631" s="24"/>
      <c r="H631" s="24"/>
      <c r="I631" s="24"/>
      <c r="J631" s="24"/>
      <c r="K631" s="24"/>
      <c r="L631" s="24"/>
      <c r="M631" s="24"/>
    </row>
    <row r="632" spans="3:13" ht="15.75" customHeight="1" x14ac:dyDescent="0.3">
      <c r="C632" s="24"/>
      <c r="D632" s="24"/>
      <c r="F632" s="24"/>
      <c r="G632" s="24"/>
      <c r="H632" s="24"/>
      <c r="I632" s="24"/>
      <c r="J632" s="24"/>
      <c r="K632" s="24"/>
      <c r="L632" s="24"/>
      <c r="M632" s="24"/>
    </row>
    <row r="633" spans="3:13" ht="15.75" customHeight="1" x14ac:dyDescent="0.3">
      <c r="C633" s="24"/>
      <c r="D633" s="24"/>
      <c r="F633" s="24"/>
      <c r="G633" s="24"/>
      <c r="H633" s="24"/>
      <c r="I633" s="24"/>
      <c r="J633" s="24"/>
      <c r="K633" s="24"/>
      <c r="L633" s="24"/>
      <c r="M633" s="24"/>
    </row>
    <row r="634" spans="3:13" ht="15.75" customHeight="1" x14ac:dyDescent="0.3">
      <c r="C634" s="24"/>
      <c r="D634" s="24"/>
      <c r="F634" s="24"/>
      <c r="G634" s="24"/>
      <c r="H634" s="24"/>
      <c r="I634" s="24"/>
      <c r="J634" s="24"/>
      <c r="K634" s="24"/>
      <c r="L634" s="24"/>
      <c r="M634" s="24"/>
    </row>
    <row r="635" spans="3:13" ht="15.75" customHeight="1" x14ac:dyDescent="0.3">
      <c r="C635" s="24"/>
      <c r="D635" s="24"/>
      <c r="F635" s="24"/>
      <c r="G635" s="24"/>
      <c r="H635" s="24"/>
      <c r="I635" s="24"/>
      <c r="J635" s="24"/>
      <c r="K635" s="24"/>
      <c r="L635" s="24"/>
      <c r="M635" s="24"/>
    </row>
    <row r="636" spans="3:13" ht="15.75" customHeight="1" x14ac:dyDescent="0.3">
      <c r="C636" s="24"/>
      <c r="D636" s="24"/>
      <c r="F636" s="24"/>
      <c r="G636" s="24"/>
      <c r="H636" s="24"/>
      <c r="I636" s="24"/>
      <c r="J636" s="24"/>
      <c r="K636" s="24"/>
      <c r="L636" s="24"/>
      <c r="M636" s="24"/>
    </row>
    <row r="637" spans="3:13" ht="15.75" customHeight="1" x14ac:dyDescent="0.3">
      <c r="C637" s="24"/>
      <c r="D637" s="24"/>
      <c r="F637" s="24"/>
      <c r="G637" s="24"/>
      <c r="H637" s="24"/>
      <c r="I637" s="24"/>
      <c r="J637" s="24"/>
      <c r="K637" s="24"/>
      <c r="L637" s="24"/>
      <c r="M637" s="24"/>
    </row>
    <row r="638" spans="3:13" ht="15.75" customHeight="1" x14ac:dyDescent="0.3">
      <c r="C638" s="24"/>
      <c r="D638" s="24"/>
      <c r="F638" s="24"/>
      <c r="G638" s="24"/>
      <c r="H638" s="24"/>
      <c r="I638" s="24"/>
      <c r="J638" s="24"/>
      <c r="K638" s="24"/>
      <c r="L638" s="24"/>
      <c r="M638" s="24"/>
    </row>
    <row r="639" spans="3:13" ht="15.75" customHeight="1" x14ac:dyDescent="0.3">
      <c r="C639" s="24"/>
      <c r="D639" s="24"/>
      <c r="F639" s="24"/>
      <c r="G639" s="24"/>
      <c r="H639" s="24"/>
      <c r="I639" s="24"/>
      <c r="J639" s="24"/>
      <c r="K639" s="24"/>
      <c r="L639" s="24"/>
      <c r="M639" s="24"/>
    </row>
    <row r="640" spans="3:13" ht="15.75" customHeight="1" x14ac:dyDescent="0.3">
      <c r="C640" s="24"/>
      <c r="D640" s="24"/>
      <c r="F640" s="24"/>
      <c r="G640" s="24"/>
      <c r="H640" s="24"/>
      <c r="I640" s="24"/>
      <c r="J640" s="24"/>
      <c r="K640" s="24"/>
      <c r="L640" s="24"/>
      <c r="M640" s="24"/>
    </row>
    <row r="641" spans="3:13" ht="15.75" customHeight="1" x14ac:dyDescent="0.3">
      <c r="C641" s="24"/>
      <c r="D641" s="24"/>
      <c r="F641" s="24"/>
      <c r="G641" s="24"/>
      <c r="H641" s="24"/>
      <c r="I641" s="24"/>
      <c r="J641" s="24"/>
      <c r="K641" s="24"/>
      <c r="L641" s="24"/>
      <c r="M641" s="24"/>
    </row>
    <row r="642" spans="3:13" ht="15.75" customHeight="1" x14ac:dyDescent="0.3">
      <c r="C642" s="24"/>
      <c r="D642" s="24"/>
      <c r="F642" s="24"/>
      <c r="G642" s="24"/>
      <c r="H642" s="24"/>
      <c r="I642" s="24"/>
      <c r="J642" s="24"/>
      <c r="K642" s="24"/>
      <c r="L642" s="24"/>
      <c r="M642" s="24"/>
    </row>
    <row r="643" spans="3:13" ht="15.75" customHeight="1" x14ac:dyDescent="0.3">
      <c r="C643" s="24"/>
      <c r="D643" s="24"/>
      <c r="F643" s="24"/>
      <c r="G643" s="24"/>
      <c r="H643" s="24"/>
      <c r="I643" s="24"/>
      <c r="J643" s="24"/>
      <c r="K643" s="24"/>
      <c r="L643" s="24"/>
      <c r="M643" s="24"/>
    </row>
    <row r="644" spans="3:13" ht="15.75" customHeight="1" x14ac:dyDescent="0.3">
      <c r="C644" s="24"/>
      <c r="D644" s="24"/>
      <c r="F644" s="24"/>
      <c r="G644" s="24"/>
      <c r="H644" s="24"/>
      <c r="I644" s="24"/>
      <c r="J644" s="24"/>
      <c r="K644" s="24"/>
      <c r="L644" s="24"/>
      <c r="M644" s="24"/>
    </row>
    <row r="645" spans="3:13" ht="15.75" customHeight="1" x14ac:dyDescent="0.3">
      <c r="C645" s="24"/>
      <c r="D645" s="24"/>
      <c r="F645" s="24"/>
      <c r="G645" s="24"/>
      <c r="H645" s="24"/>
      <c r="I645" s="24"/>
      <c r="J645" s="24"/>
      <c r="K645" s="24"/>
      <c r="L645" s="24"/>
      <c r="M645" s="24"/>
    </row>
    <row r="646" spans="3:13" ht="15.75" customHeight="1" x14ac:dyDescent="0.3">
      <c r="C646" s="24"/>
      <c r="D646" s="24"/>
      <c r="F646" s="24"/>
      <c r="G646" s="24"/>
      <c r="H646" s="24"/>
      <c r="I646" s="24"/>
      <c r="J646" s="24"/>
      <c r="K646" s="24"/>
      <c r="L646" s="24"/>
      <c r="M646" s="24"/>
    </row>
    <row r="647" spans="3:13" ht="15.75" customHeight="1" x14ac:dyDescent="0.3">
      <c r="C647" s="24"/>
      <c r="D647" s="24"/>
      <c r="F647" s="24"/>
      <c r="G647" s="24"/>
      <c r="H647" s="24"/>
      <c r="I647" s="24"/>
      <c r="J647" s="24"/>
      <c r="K647" s="24"/>
      <c r="L647" s="24"/>
      <c r="M647" s="24"/>
    </row>
    <row r="648" spans="3:13" ht="15.75" customHeight="1" x14ac:dyDescent="0.3">
      <c r="C648" s="24"/>
      <c r="D648" s="24"/>
      <c r="F648" s="24"/>
      <c r="G648" s="24"/>
      <c r="H648" s="24"/>
      <c r="I648" s="24"/>
      <c r="J648" s="24"/>
      <c r="K648" s="24"/>
      <c r="L648" s="24"/>
      <c r="M648" s="24"/>
    </row>
    <row r="649" spans="3:13" ht="15.75" customHeight="1" x14ac:dyDescent="0.3">
      <c r="C649" s="24"/>
      <c r="D649" s="24"/>
      <c r="F649" s="24"/>
      <c r="G649" s="24"/>
      <c r="H649" s="24"/>
      <c r="I649" s="24"/>
      <c r="J649" s="24"/>
      <c r="K649" s="24"/>
      <c r="L649" s="24"/>
      <c r="M649" s="24"/>
    </row>
    <row r="650" spans="3:13" ht="15.75" customHeight="1" x14ac:dyDescent="0.3">
      <c r="C650" s="24"/>
      <c r="D650" s="24"/>
      <c r="F650" s="24"/>
      <c r="G650" s="24"/>
      <c r="H650" s="24"/>
      <c r="I650" s="24"/>
      <c r="J650" s="24"/>
      <c r="K650" s="24"/>
      <c r="L650" s="24"/>
      <c r="M650" s="24"/>
    </row>
    <row r="651" spans="3:13" ht="15.75" customHeight="1" x14ac:dyDescent="0.3">
      <c r="C651" s="24"/>
      <c r="D651" s="24"/>
      <c r="F651" s="24"/>
      <c r="G651" s="24"/>
      <c r="H651" s="24"/>
      <c r="I651" s="24"/>
      <c r="J651" s="24"/>
      <c r="K651" s="24"/>
      <c r="L651" s="24"/>
      <c r="M651" s="24"/>
    </row>
    <row r="652" spans="3:13" ht="15.75" customHeight="1" x14ac:dyDescent="0.3">
      <c r="C652" s="24"/>
      <c r="D652" s="24"/>
      <c r="F652" s="24"/>
      <c r="G652" s="24"/>
      <c r="H652" s="24"/>
      <c r="I652" s="24"/>
      <c r="J652" s="24"/>
      <c r="K652" s="24"/>
      <c r="L652" s="24"/>
      <c r="M652" s="24"/>
    </row>
    <row r="653" spans="3:13" ht="15.75" customHeight="1" x14ac:dyDescent="0.3">
      <c r="C653" s="24"/>
      <c r="D653" s="24"/>
      <c r="F653" s="24"/>
      <c r="G653" s="24"/>
      <c r="H653" s="24"/>
      <c r="I653" s="24"/>
      <c r="J653" s="24"/>
      <c r="K653" s="24"/>
      <c r="L653" s="24"/>
      <c r="M653" s="24"/>
    </row>
    <row r="654" spans="3:13" ht="15.75" customHeight="1" x14ac:dyDescent="0.3">
      <c r="C654" s="24"/>
      <c r="D654" s="24"/>
      <c r="F654" s="24"/>
      <c r="G654" s="24"/>
      <c r="H654" s="24"/>
      <c r="I654" s="24"/>
      <c r="J654" s="24"/>
      <c r="K654" s="24"/>
      <c r="L654" s="24"/>
      <c r="M654" s="24"/>
    </row>
    <row r="655" spans="3:13" ht="15.75" customHeight="1" x14ac:dyDescent="0.3">
      <c r="C655" s="24"/>
      <c r="D655" s="24"/>
      <c r="F655" s="24"/>
      <c r="G655" s="24"/>
      <c r="H655" s="24"/>
      <c r="I655" s="24"/>
      <c r="J655" s="24"/>
      <c r="K655" s="24"/>
      <c r="L655" s="24"/>
      <c r="M655" s="24"/>
    </row>
    <row r="656" spans="3:13" ht="15.75" customHeight="1" x14ac:dyDescent="0.3">
      <c r="C656" s="24"/>
      <c r="D656" s="24"/>
      <c r="F656" s="24"/>
      <c r="G656" s="24"/>
      <c r="H656" s="24"/>
      <c r="I656" s="24"/>
      <c r="J656" s="24"/>
      <c r="K656" s="24"/>
      <c r="L656" s="24"/>
      <c r="M656" s="24"/>
    </row>
    <row r="657" spans="3:13" ht="15.75" customHeight="1" x14ac:dyDescent="0.3">
      <c r="C657" s="24"/>
      <c r="D657" s="24"/>
      <c r="F657" s="24"/>
      <c r="G657" s="24"/>
      <c r="H657" s="24"/>
      <c r="I657" s="24"/>
      <c r="J657" s="24"/>
      <c r="K657" s="24"/>
      <c r="L657" s="24"/>
      <c r="M657" s="24"/>
    </row>
    <row r="658" spans="3:13" ht="15.75" customHeight="1" x14ac:dyDescent="0.3">
      <c r="C658" s="24"/>
      <c r="D658" s="24"/>
      <c r="F658" s="24"/>
      <c r="G658" s="24"/>
      <c r="H658" s="24"/>
      <c r="I658" s="24"/>
      <c r="J658" s="24"/>
      <c r="K658" s="24"/>
      <c r="L658" s="24"/>
      <c r="M658" s="24"/>
    </row>
    <row r="659" spans="3:13" ht="15.75" customHeight="1" x14ac:dyDescent="0.3">
      <c r="C659" s="24"/>
      <c r="D659" s="24"/>
      <c r="F659" s="24"/>
      <c r="G659" s="24"/>
      <c r="H659" s="24"/>
      <c r="I659" s="24"/>
      <c r="J659" s="24"/>
      <c r="K659" s="24"/>
      <c r="L659" s="24"/>
      <c r="M659" s="24"/>
    </row>
    <row r="660" spans="3:13" ht="15.75" customHeight="1" x14ac:dyDescent="0.3">
      <c r="C660" s="24"/>
      <c r="D660" s="24"/>
      <c r="F660" s="24"/>
      <c r="G660" s="24"/>
      <c r="H660" s="24"/>
      <c r="I660" s="24"/>
      <c r="J660" s="24"/>
      <c r="K660" s="24"/>
      <c r="L660" s="24"/>
      <c r="M660" s="24"/>
    </row>
    <row r="661" spans="3:13" ht="15.75" customHeight="1" x14ac:dyDescent="0.3">
      <c r="C661" s="24"/>
      <c r="D661" s="24"/>
      <c r="F661" s="24"/>
      <c r="G661" s="24"/>
      <c r="H661" s="24"/>
      <c r="I661" s="24"/>
      <c r="J661" s="24"/>
      <c r="K661" s="24"/>
      <c r="L661" s="24"/>
      <c r="M661" s="24"/>
    </row>
    <row r="662" spans="3:13" ht="15.75" customHeight="1" x14ac:dyDescent="0.3">
      <c r="C662" s="24"/>
      <c r="D662" s="24"/>
      <c r="F662" s="24"/>
      <c r="G662" s="24"/>
      <c r="H662" s="24"/>
      <c r="I662" s="24"/>
      <c r="J662" s="24"/>
      <c r="K662" s="24"/>
      <c r="L662" s="24"/>
      <c r="M662" s="24"/>
    </row>
    <row r="663" spans="3:13" ht="15.75" customHeight="1" x14ac:dyDescent="0.3">
      <c r="C663" s="24"/>
      <c r="D663" s="24"/>
      <c r="F663" s="24"/>
      <c r="G663" s="24"/>
      <c r="H663" s="24"/>
      <c r="I663" s="24"/>
      <c r="J663" s="24"/>
      <c r="K663" s="24"/>
      <c r="L663" s="24"/>
      <c r="M663" s="24"/>
    </row>
    <row r="664" spans="3:13" ht="15.75" customHeight="1" x14ac:dyDescent="0.3">
      <c r="C664" s="24"/>
      <c r="D664" s="24"/>
      <c r="F664" s="24"/>
      <c r="G664" s="24"/>
      <c r="H664" s="24"/>
      <c r="I664" s="24"/>
      <c r="J664" s="24"/>
      <c r="K664" s="24"/>
      <c r="L664" s="24"/>
      <c r="M664" s="24"/>
    </row>
    <row r="665" spans="3:13" ht="15.75" customHeight="1" x14ac:dyDescent="0.3">
      <c r="C665" s="24"/>
      <c r="D665" s="24"/>
      <c r="F665" s="24"/>
      <c r="G665" s="24"/>
      <c r="H665" s="24"/>
      <c r="I665" s="24"/>
      <c r="J665" s="24"/>
      <c r="K665" s="24"/>
      <c r="L665" s="24"/>
      <c r="M665" s="24"/>
    </row>
    <row r="666" spans="3:13" ht="15.75" customHeight="1" x14ac:dyDescent="0.3">
      <c r="C666" s="24"/>
      <c r="D666" s="24"/>
      <c r="F666" s="24"/>
      <c r="G666" s="24"/>
      <c r="H666" s="24"/>
      <c r="I666" s="24"/>
      <c r="J666" s="24"/>
      <c r="K666" s="24"/>
      <c r="L666" s="24"/>
      <c r="M666" s="24"/>
    </row>
    <row r="667" spans="3:13" ht="15.75" customHeight="1" x14ac:dyDescent="0.3">
      <c r="C667" s="24"/>
      <c r="D667" s="24"/>
      <c r="F667" s="24"/>
      <c r="G667" s="24"/>
      <c r="H667" s="24"/>
      <c r="I667" s="24"/>
      <c r="J667" s="24"/>
      <c r="K667" s="24"/>
      <c r="L667" s="24"/>
      <c r="M667" s="24"/>
    </row>
    <row r="668" spans="3:13" ht="15.75" customHeight="1" x14ac:dyDescent="0.3">
      <c r="C668" s="24"/>
      <c r="D668" s="24"/>
      <c r="F668" s="24"/>
      <c r="G668" s="24"/>
      <c r="H668" s="24"/>
      <c r="I668" s="24"/>
      <c r="J668" s="24"/>
      <c r="K668" s="24"/>
      <c r="L668" s="24"/>
      <c r="M668" s="24"/>
    </row>
    <row r="669" spans="3:13" ht="15.75" customHeight="1" x14ac:dyDescent="0.3">
      <c r="C669" s="24"/>
      <c r="D669" s="24"/>
      <c r="F669" s="24"/>
      <c r="G669" s="24"/>
      <c r="H669" s="24"/>
      <c r="I669" s="24"/>
      <c r="J669" s="24"/>
      <c r="K669" s="24"/>
      <c r="L669" s="24"/>
      <c r="M669" s="24"/>
    </row>
    <row r="670" spans="3:13" ht="15.75" customHeight="1" x14ac:dyDescent="0.3">
      <c r="C670" s="24"/>
      <c r="D670" s="24"/>
      <c r="F670" s="24"/>
      <c r="G670" s="24"/>
      <c r="H670" s="24"/>
      <c r="I670" s="24"/>
      <c r="J670" s="24"/>
      <c r="K670" s="24"/>
      <c r="L670" s="24"/>
      <c r="M670" s="24"/>
    </row>
    <row r="671" spans="3:13" ht="15.75" customHeight="1" x14ac:dyDescent="0.3">
      <c r="C671" s="24"/>
      <c r="D671" s="24"/>
      <c r="F671" s="24"/>
      <c r="G671" s="24"/>
      <c r="H671" s="24"/>
      <c r="I671" s="24"/>
      <c r="J671" s="24"/>
      <c r="K671" s="24"/>
      <c r="L671" s="24"/>
      <c r="M671" s="24"/>
    </row>
    <row r="672" spans="3:13" ht="15.75" customHeight="1" x14ac:dyDescent="0.3">
      <c r="C672" s="24"/>
      <c r="D672" s="24"/>
      <c r="F672" s="24"/>
      <c r="G672" s="24"/>
      <c r="H672" s="24"/>
      <c r="I672" s="24"/>
      <c r="J672" s="24"/>
      <c r="K672" s="24"/>
      <c r="L672" s="24"/>
      <c r="M672" s="24"/>
    </row>
    <row r="673" spans="3:13" ht="15.75" customHeight="1" x14ac:dyDescent="0.3">
      <c r="C673" s="24"/>
      <c r="D673" s="24"/>
      <c r="F673" s="24"/>
      <c r="G673" s="24"/>
      <c r="H673" s="24"/>
      <c r="I673" s="24"/>
      <c r="J673" s="24"/>
      <c r="K673" s="24"/>
      <c r="L673" s="24"/>
      <c r="M673" s="24"/>
    </row>
    <row r="674" spans="3:13" ht="15.75" customHeight="1" x14ac:dyDescent="0.3">
      <c r="C674" s="24"/>
      <c r="D674" s="24"/>
      <c r="F674" s="24"/>
      <c r="G674" s="24"/>
      <c r="H674" s="24"/>
      <c r="I674" s="24"/>
      <c r="J674" s="24"/>
      <c r="K674" s="24"/>
      <c r="L674" s="24"/>
      <c r="M674" s="24"/>
    </row>
    <row r="675" spans="3:13" ht="15.75" customHeight="1" x14ac:dyDescent="0.3">
      <c r="C675" s="24"/>
      <c r="D675" s="24"/>
      <c r="F675" s="24"/>
      <c r="G675" s="24"/>
      <c r="H675" s="24"/>
      <c r="I675" s="24"/>
      <c r="J675" s="24"/>
      <c r="K675" s="24"/>
      <c r="L675" s="24"/>
      <c r="M675" s="24"/>
    </row>
    <row r="676" spans="3:13" ht="15.75" customHeight="1" x14ac:dyDescent="0.3">
      <c r="C676" s="24"/>
      <c r="D676" s="24"/>
      <c r="F676" s="24"/>
      <c r="G676" s="24"/>
      <c r="H676" s="24"/>
      <c r="I676" s="24"/>
      <c r="J676" s="24"/>
      <c r="K676" s="24"/>
      <c r="L676" s="24"/>
      <c r="M676" s="24"/>
    </row>
    <row r="677" spans="3:13" ht="15.75" customHeight="1" x14ac:dyDescent="0.3">
      <c r="C677" s="24"/>
      <c r="D677" s="24"/>
      <c r="F677" s="24"/>
      <c r="G677" s="24"/>
      <c r="H677" s="24"/>
      <c r="I677" s="24"/>
      <c r="J677" s="24"/>
      <c r="K677" s="24"/>
      <c r="L677" s="24"/>
      <c r="M677" s="24"/>
    </row>
    <row r="678" spans="3:13" ht="15.75" customHeight="1" x14ac:dyDescent="0.3">
      <c r="C678" s="24"/>
      <c r="D678" s="24"/>
      <c r="F678" s="24"/>
      <c r="G678" s="24"/>
      <c r="H678" s="24"/>
      <c r="I678" s="24"/>
      <c r="J678" s="24"/>
      <c r="K678" s="24"/>
      <c r="L678" s="24"/>
      <c r="M678" s="24"/>
    </row>
    <row r="679" spans="3:13" ht="15.75" customHeight="1" x14ac:dyDescent="0.3">
      <c r="C679" s="24"/>
      <c r="D679" s="24"/>
      <c r="F679" s="24"/>
      <c r="G679" s="24"/>
      <c r="H679" s="24"/>
      <c r="I679" s="24"/>
      <c r="J679" s="24"/>
      <c r="K679" s="24"/>
      <c r="L679" s="24"/>
      <c r="M679" s="24"/>
    </row>
    <row r="680" spans="3:13" ht="15.75" customHeight="1" x14ac:dyDescent="0.3">
      <c r="C680" s="24"/>
      <c r="D680" s="24"/>
      <c r="F680" s="24"/>
      <c r="G680" s="24"/>
      <c r="H680" s="24"/>
      <c r="I680" s="24"/>
      <c r="J680" s="24"/>
      <c r="K680" s="24"/>
      <c r="L680" s="24"/>
      <c r="M680" s="24"/>
    </row>
    <row r="681" spans="3:13" ht="15.75" customHeight="1" x14ac:dyDescent="0.3">
      <c r="C681" s="24"/>
      <c r="D681" s="24"/>
      <c r="F681" s="24"/>
      <c r="G681" s="24"/>
      <c r="H681" s="24"/>
      <c r="I681" s="24"/>
      <c r="J681" s="24"/>
      <c r="K681" s="24"/>
      <c r="L681" s="24"/>
      <c r="M681" s="24"/>
    </row>
    <row r="682" spans="3:13" ht="15.75" customHeight="1" x14ac:dyDescent="0.3">
      <c r="C682" s="24"/>
      <c r="D682" s="24"/>
      <c r="F682" s="24"/>
      <c r="G682" s="24"/>
      <c r="H682" s="24"/>
      <c r="I682" s="24"/>
      <c r="J682" s="24"/>
      <c r="K682" s="24"/>
      <c r="L682" s="24"/>
      <c r="M682" s="24"/>
    </row>
    <row r="683" spans="3:13" ht="15.75" customHeight="1" x14ac:dyDescent="0.3">
      <c r="C683" s="24"/>
      <c r="D683" s="24"/>
      <c r="F683" s="24"/>
      <c r="G683" s="24"/>
      <c r="H683" s="24"/>
      <c r="I683" s="24"/>
      <c r="J683" s="24"/>
      <c r="K683" s="24"/>
      <c r="L683" s="24"/>
      <c r="M683" s="24"/>
    </row>
    <row r="684" spans="3:13" ht="15.75" customHeight="1" x14ac:dyDescent="0.3">
      <c r="C684" s="24"/>
      <c r="D684" s="24"/>
      <c r="F684" s="24"/>
      <c r="G684" s="24"/>
      <c r="H684" s="24"/>
      <c r="I684" s="24"/>
      <c r="J684" s="24"/>
      <c r="K684" s="24"/>
      <c r="L684" s="24"/>
      <c r="M684" s="24"/>
    </row>
    <row r="685" spans="3:13" ht="15.75" customHeight="1" x14ac:dyDescent="0.3">
      <c r="C685" s="24"/>
      <c r="D685" s="24"/>
      <c r="F685" s="24"/>
      <c r="G685" s="24"/>
      <c r="H685" s="24"/>
      <c r="I685" s="24"/>
      <c r="J685" s="24"/>
      <c r="K685" s="24"/>
      <c r="L685" s="24"/>
      <c r="M685" s="24"/>
    </row>
    <row r="686" spans="3:13" ht="15.75" customHeight="1" x14ac:dyDescent="0.3">
      <c r="C686" s="24"/>
      <c r="D686" s="24"/>
      <c r="F686" s="24"/>
      <c r="G686" s="24"/>
      <c r="H686" s="24"/>
      <c r="I686" s="24"/>
      <c r="J686" s="24"/>
      <c r="K686" s="24"/>
      <c r="L686" s="24"/>
      <c r="M686" s="24"/>
    </row>
    <row r="687" spans="3:13" ht="15.75" customHeight="1" x14ac:dyDescent="0.3">
      <c r="C687" s="24"/>
      <c r="D687" s="24"/>
      <c r="F687" s="24"/>
      <c r="G687" s="24"/>
      <c r="H687" s="24"/>
      <c r="I687" s="24"/>
      <c r="J687" s="24"/>
      <c r="K687" s="24"/>
      <c r="L687" s="24"/>
      <c r="M687" s="24"/>
    </row>
    <row r="688" spans="3:13" ht="15.75" customHeight="1" x14ac:dyDescent="0.3">
      <c r="C688" s="24"/>
      <c r="D688" s="24"/>
      <c r="F688" s="24"/>
      <c r="G688" s="24"/>
      <c r="H688" s="24"/>
      <c r="I688" s="24"/>
      <c r="J688" s="24"/>
      <c r="K688" s="24"/>
      <c r="L688" s="24"/>
      <c r="M688" s="24"/>
    </row>
    <row r="689" spans="3:13" ht="15.75" customHeight="1" x14ac:dyDescent="0.3">
      <c r="C689" s="24"/>
      <c r="D689" s="24"/>
      <c r="F689" s="24"/>
      <c r="G689" s="24"/>
      <c r="H689" s="24"/>
      <c r="I689" s="24"/>
      <c r="J689" s="24"/>
      <c r="K689" s="24"/>
      <c r="L689" s="24"/>
      <c r="M689" s="24"/>
    </row>
    <row r="690" spans="3:13" ht="15.75" customHeight="1" x14ac:dyDescent="0.3">
      <c r="C690" s="24"/>
      <c r="D690" s="24"/>
      <c r="F690" s="24"/>
      <c r="G690" s="24"/>
      <c r="H690" s="24"/>
      <c r="I690" s="24"/>
      <c r="J690" s="24"/>
      <c r="K690" s="24"/>
      <c r="L690" s="24"/>
      <c r="M690" s="24"/>
    </row>
    <row r="691" spans="3:13" ht="15.75" customHeight="1" x14ac:dyDescent="0.3">
      <c r="C691" s="24"/>
      <c r="D691" s="24"/>
      <c r="F691" s="24"/>
      <c r="G691" s="24"/>
      <c r="H691" s="24"/>
      <c r="I691" s="24"/>
      <c r="J691" s="24"/>
      <c r="K691" s="24"/>
      <c r="L691" s="24"/>
      <c r="M691" s="24"/>
    </row>
    <row r="692" spans="3:13" ht="15.75" customHeight="1" x14ac:dyDescent="0.3">
      <c r="C692" s="24"/>
      <c r="D692" s="24"/>
      <c r="F692" s="24"/>
      <c r="G692" s="24"/>
      <c r="H692" s="24"/>
      <c r="I692" s="24"/>
      <c r="J692" s="24"/>
      <c r="K692" s="24"/>
      <c r="L692" s="24"/>
      <c r="M692" s="24"/>
    </row>
    <row r="693" spans="3:13" ht="15.75" customHeight="1" x14ac:dyDescent="0.3">
      <c r="C693" s="24"/>
      <c r="D693" s="24"/>
      <c r="F693" s="24"/>
      <c r="G693" s="24"/>
      <c r="H693" s="24"/>
      <c r="I693" s="24"/>
      <c r="J693" s="24"/>
      <c r="K693" s="24"/>
      <c r="L693" s="24"/>
      <c r="M693" s="24"/>
    </row>
    <row r="694" spans="3:13" ht="15.75" customHeight="1" x14ac:dyDescent="0.3">
      <c r="C694" s="24"/>
      <c r="D694" s="24"/>
      <c r="F694" s="24"/>
      <c r="G694" s="24"/>
      <c r="H694" s="24"/>
      <c r="I694" s="24"/>
      <c r="J694" s="24"/>
      <c r="K694" s="24"/>
      <c r="L694" s="24"/>
      <c r="M694" s="24"/>
    </row>
    <row r="695" spans="3:13" ht="15.75" customHeight="1" x14ac:dyDescent="0.3">
      <c r="C695" s="24"/>
      <c r="D695" s="24"/>
      <c r="F695" s="24"/>
      <c r="G695" s="24"/>
      <c r="H695" s="24"/>
      <c r="I695" s="24"/>
      <c r="J695" s="24"/>
      <c r="K695" s="24"/>
      <c r="L695" s="24"/>
      <c r="M695" s="24"/>
    </row>
    <row r="696" spans="3:13" ht="15.75" customHeight="1" x14ac:dyDescent="0.3">
      <c r="C696" s="24"/>
      <c r="D696" s="24"/>
      <c r="F696" s="24"/>
      <c r="G696" s="24"/>
      <c r="H696" s="24"/>
      <c r="I696" s="24"/>
      <c r="J696" s="24"/>
      <c r="K696" s="24"/>
      <c r="L696" s="24"/>
      <c r="M696" s="24"/>
    </row>
    <row r="697" spans="3:13" ht="15.75" customHeight="1" x14ac:dyDescent="0.3">
      <c r="C697" s="24"/>
      <c r="D697" s="24"/>
      <c r="F697" s="24"/>
      <c r="G697" s="24"/>
      <c r="H697" s="24"/>
      <c r="I697" s="24"/>
      <c r="J697" s="24"/>
      <c r="K697" s="24"/>
      <c r="L697" s="24"/>
      <c r="M697" s="24"/>
    </row>
    <row r="698" spans="3:13" ht="15.75" customHeight="1" x14ac:dyDescent="0.3">
      <c r="C698" s="24"/>
      <c r="D698" s="24"/>
      <c r="F698" s="24"/>
      <c r="G698" s="24"/>
      <c r="H698" s="24"/>
      <c r="I698" s="24"/>
      <c r="J698" s="24"/>
      <c r="K698" s="24"/>
      <c r="L698" s="24"/>
      <c r="M698" s="24"/>
    </row>
    <row r="699" spans="3:13" ht="15.75" customHeight="1" x14ac:dyDescent="0.3">
      <c r="C699" s="24"/>
      <c r="D699" s="24"/>
      <c r="F699" s="24"/>
      <c r="G699" s="24"/>
      <c r="H699" s="24"/>
      <c r="I699" s="24"/>
      <c r="J699" s="24"/>
      <c r="K699" s="24"/>
      <c r="L699" s="24"/>
      <c r="M699" s="24"/>
    </row>
    <row r="700" spans="3:13" ht="15.75" customHeight="1" x14ac:dyDescent="0.3">
      <c r="C700" s="24"/>
      <c r="D700" s="24"/>
      <c r="F700" s="24"/>
      <c r="G700" s="24"/>
      <c r="H700" s="24"/>
      <c r="I700" s="24"/>
      <c r="J700" s="24"/>
      <c r="K700" s="24"/>
      <c r="L700" s="24"/>
      <c r="M700" s="24"/>
    </row>
    <row r="701" spans="3:13" ht="15.75" customHeight="1" x14ac:dyDescent="0.3">
      <c r="C701" s="24"/>
      <c r="D701" s="24"/>
      <c r="F701" s="24"/>
      <c r="G701" s="24"/>
      <c r="H701" s="24"/>
      <c r="I701" s="24"/>
      <c r="J701" s="24"/>
      <c r="K701" s="24"/>
      <c r="L701" s="24"/>
      <c r="M701" s="24"/>
    </row>
    <row r="702" spans="3:13" ht="15.75" customHeight="1" x14ac:dyDescent="0.3">
      <c r="C702" s="24"/>
      <c r="D702" s="24"/>
      <c r="F702" s="24"/>
      <c r="G702" s="24"/>
      <c r="H702" s="24"/>
      <c r="I702" s="24"/>
      <c r="J702" s="24"/>
      <c r="K702" s="24"/>
      <c r="L702" s="24"/>
      <c r="M702" s="24"/>
    </row>
    <row r="703" spans="3:13" ht="15.75" customHeight="1" x14ac:dyDescent="0.3">
      <c r="C703" s="24"/>
      <c r="D703" s="24"/>
      <c r="F703" s="24"/>
      <c r="G703" s="24"/>
      <c r="H703" s="24"/>
      <c r="I703" s="24"/>
      <c r="J703" s="24"/>
      <c r="K703" s="24"/>
      <c r="L703" s="24"/>
      <c r="M703" s="24"/>
    </row>
    <row r="704" spans="3:13" ht="15.75" customHeight="1" x14ac:dyDescent="0.3">
      <c r="C704" s="24"/>
      <c r="D704" s="24"/>
      <c r="F704" s="24"/>
      <c r="G704" s="24"/>
      <c r="H704" s="24"/>
      <c r="I704" s="24"/>
      <c r="J704" s="24"/>
      <c r="K704" s="24"/>
      <c r="L704" s="24"/>
      <c r="M704" s="24"/>
    </row>
    <row r="705" spans="3:13" ht="15.75" customHeight="1" x14ac:dyDescent="0.3">
      <c r="C705" s="24"/>
      <c r="D705" s="24"/>
      <c r="F705" s="24"/>
      <c r="G705" s="24"/>
      <c r="H705" s="24"/>
      <c r="I705" s="24"/>
      <c r="J705" s="24"/>
      <c r="K705" s="24"/>
      <c r="L705" s="24"/>
      <c r="M705" s="24"/>
    </row>
    <row r="706" spans="3:13" ht="15.75" customHeight="1" x14ac:dyDescent="0.3">
      <c r="C706" s="24"/>
      <c r="D706" s="24"/>
      <c r="F706" s="24"/>
      <c r="G706" s="24"/>
      <c r="H706" s="24"/>
      <c r="I706" s="24"/>
      <c r="J706" s="24"/>
      <c r="K706" s="24"/>
      <c r="L706" s="24"/>
      <c r="M706" s="24"/>
    </row>
    <row r="707" spans="3:13" ht="15.75" customHeight="1" x14ac:dyDescent="0.3">
      <c r="C707" s="24"/>
      <c r="D707" s="24"/>
      <c r="F707" s="24"/>
      <c r="G707" s="24"/>
      <c r="H707" s="24"/>
      <c r="I707" s="24"/>
      <c r="J707" s="24"/>
      <c r="K707" s="24"/>
      <c r="L707" s="24"/>
      <c r="M707" s="24"/>
    </row>
    <row r="708" spans="3:13" ht="15.75" customHeight="1" x14ac:dyDescent="0.3">
      <c r="C708" s="24"/>
      <c r="D708" s="24"/>
      <c r="F708" s="24"/>
      <c r="G708" s="24"/>
      <c r="H708" s="24"/>
      <c r="I708" s="24"/>
      <c r="J708" s="24"/>
      <c r="K708" s="24"/>
      <c r="L708" s="24"/>
      <c r="M708" s="24"/>
    </row>
    <row r="709" spans="3:13" ht="15.75" customHeight="1" x14ac:dyDescent="0.3">
      <c r="C709" s="24"/>
      <c r="D709" s="24"/>
      <c r="F709" s="24"/>
      <c r="G709" s="24"/>
      <c r="H709" s="24"/>
      <c r="I709" s="24"/>
      <c r="J709" s="24"/>
      <c r="K709" s="24"/>
      <c r="L709" s="24"/>
      <c r="M709" s="24"/>
    </row>
    <row r="710" spans="3:13" ht="15.75" customHeight="1" x14ac:dyDescent="0.3">
      <c r="C710" s="24"/>
      <c r="D710" s="24"/>
      <c r="F710" s="24"/>
      <c r="G710" s="24"/>
      <c r="H710" s="24"/>
      <c r="I710" s="24"/>
      <c r="J710" s="24"/>
      <c r="K710" s="24"/>
      <c r="L710" s="24"/>
      <c r="M710" s="24"/>
    </row>
    <row r="711" spans="3:13" ht="15.75" customHeight="1" x14ac:dyDescent="0.3">
      <c r="C711" s="24"/>
      <c r="D711" s="24"/>
      <c r="F711" s="24"/>
      <c r="G711" s="24"/>
      <c r="H711" s="24"/>
      <c r="I711" s="24"/>
      <c r="J711" s="24"/>
      <c r="K711" s="24"/>
      <c r="L711" s="24"/>
      <c r="M711" s="24"/>
    </row>
    <row r="712" spans="3:13" ht="15.75" customHeight="1" x14ac:dyDescent="0.3">
      <c r="C712" s="24"/>
      <c r="D712" s="24"/>
      <c r="F712" s="24"/>
      <c r="G712" s="24"/>
      <c r="H712" s="24"/>
      <c r="I712" s="24"/>
      <c r="J712" s="24"/>
      <c r="K712" s="24"/>
      <c r="L712" s="24"/>
      <c r="M712" s="24"/>
    </row>
    <row r="713" spans="3:13" ht="15.75" customHeight="1" x14ac:dyDescent="0.3">
      <c r="C713" s="24"/>
      <c r="D713" s="24"/>
      <c r="F713" s="24"/>
      <c r="G713" s="24"/>
      <c r="H713" s="24"/>
      <c r="I713" s="24"/>
      <c r="J713" s="24"/>
      <c r="K713" s="24"/>
      <c r="L713" s="24"/>
      <c r="M713" s="24"/>
    </row>
    <row r="714" spans="3:13" ht="15.75" customHeight="1" x14ac:dyDescent="0.3">
      <c r="C714" s="24"/>
      <c r="D714" s="24"/>
      <c r="F714" s="24"/>
      <c r="G714" s="24"/>
      <c r="H714" s="24"/>
      <c r="I714" s="24"/>
      <c r="J714" s="24"/>
      <c r="K714" s="24"/>
      <c r="L714" s="24"/>
      <c r="M714" s="24"/>
    </row>
    <row r="715" spans="3:13" ht="15.75" customHeight="1" x14ac:dyDescent="0.3">
      <c r="C715" s="24"/>
      <c r="D715" s="24"/>
      <c r="F715" s="24"/>
      <c r="G715" s="24"/>
      <c r="H715" s="24"/>
      <c r="I715" s="24"/>
      <c r="J715" s="24"/>
      <c r="K715" s="24"/>
      <c r="L715" s="24"/>
      <c r="M715" s="24"/>
    </row>
    <row r="716" spans="3:13" ht="15.75" customHeight="1" x14ac:dyDescent="0.3">
      <c r="C716" s="24"/>
      <c r="D716" s="24"/>
      <c r="F716" s="24"/>
      <c r="G716" s="24"/>
      <c r="H716" s="24"/>
      <c r="I716" s="24"/>
      <c r="J716" s="24"/>
      <c r="K716" s="24"/>
      <c r="L716" s="24"/>
      <c r="M716" s="24"/>
    </row>
    <row r="717" spans="3:13" ht="15.75" customHeight="1" x14ac:dyDescent="0.3">
      <c r="C717" s="24"/>
      <c r="D717" s="24"/>
      <c r="F717" s="24"/>
      <c r="G717" s="24"/>
      <c r="H717" s="24"/>
      <c r="I717" s="24"/>
      <c r="J717" s="24"/>
      <c r="K717" s="24"/>
      <c r="L717" s="24"/>
      <c r="M717" s="24"/>
    </row>
    <row r="718" spans="3:13" ht="15.75" customHeight="1" x14ac:dyDescent="0.3">
      <c r="C718" s="24"/>
      <c r="D718" s="24"/>
      <c r="F718" s="24"/>
      <c r="G718" s="24"/>
      <c r="H718" s="24"/>
      <c r="I718" s="24"/>
      <c r="J718" s="24"/>
      <c r="K718" s="24"/>
      <c r="L718" s="24"/>
      <c r="M718" s="24"/>
    </row>
    <row r="719" spans="3:13" ht="15.75" customHeight="1" x14ac:dyDescent="0.3">
      <c r="C719" s="24"/>
      <c r="D719" s="24"/>
      <c r="F719" s="24"/>
      <c r="G719" s="24"/>
      <c r="H719" s="24"/>
      <c r="I719" s="24"/>
      <c r="J719" s="24"/>
      <c r="K719" s="24"/>
      <c r="L719" s="24"/>
      <c r="M719" s="24"/>
    </row>
    <row r="720" spans="3:13" ht="15.75" customHeight="1" x14ac:dyDescent="0.3">
      <c r="C720" s="24"/>
      <c r="D720" s="24"/>
      <c r="F720" s="24"/>
      <c r="G720" s="24"/>
      <c r="H720" s="24"/>
      <c r="I720" s="24"/>
      <c r="J720" s="24"/>
      <c r="K720" s="24"/>
      <c r="L720" s="24"/>
      <c r="M720" s="24"/>
    </row>
    <row r="721" spans="3:13" ht="15.75" customHeight="1" x14ac:dyDescent="0.3">
      <c r="C721" s="24"/>
      <c r="D721" s="24"/>
      <c r="F721" s="24"/>
      <c r="G721" s="24"/>
      <c r="H721" s="24"/>
      <c r="I721" s="24"/>
      <c r="J721" s="24"/>
      <c r="K721" s="24"/>
      <c r="L721" s="24"/>
      <c r="M721" s="24"/>
    </row>
    <row r="722" spans="3:13" ht="15.75" customHeight="1" x14ac:dyDescent="0.3">
      <c r="C722" s="24"/>
      <c r="D722" s="24"/>
      <c r="F722" s="24"/>
      <c r="G722" s="24"/>
      <c r="H722" s="24"/>
      <c r="I722" s="24"/>
      <c r="J722" s="24"/>
      <c r="K722" s="24"/>
      <c r="L722" s="24"/>
      <c r="M722" s="24"/>
    </row>
    <row r="723" spans="3:13" ht="15.75" customHeight="1" x14ac:dyDescent="0.3">
      <c r="C723" s="24"/>
      <c r="D723" s="24"/>
      <c r="F723" s="24"/>
      <c r="G723" s="24"/>
      <c r="H723" s="24"/>
      <c r="I723" s="24"/>
      <c r="J723" s="24"/>
      <c r="K723" s="24"/>
      <c r="L723" s="24"/>
      <c r="M723" s="24"/>
    </row>
    <row r="724" spans="3:13" ht="15.75" customHeight="1" x14ac:dyDescent="0.3">
      <c r="C724" s="24"/>
      <c r="D724" s="24"/>
      <c r="F724" s="24"/>
      <c r="G724" s="24"/>
      <c r="H724" s="24"/>
      <c r="I724" s="24"/>
      <c r="J724" s="24"/>
      <c r="K724" s="24"/>
      <c r="L724" s="24"/>
      <c r="M724" s="24"/>
    </row>
    <row r="725" spans="3:13" ht="15.75" customHeight="1" x14ac:dyDescent="0.3">
      <c r="C725" s="24"/>
      <c r="D725" s="24"/>
      <c r="F725" s="24"/>
      <c r="G725" s="24"/>
      <c r="H725" s="24"/>
      <c r="I725" s="24"/>
      <c r="J725" s="24"/>
      <c r="K725" s="24"/>
      <c r="L725" s="24"/>
      <c r="M725" s="24"/>
    </row>
    <row r="726" spans="3:13" ht="15.75" customHeight="1" x14ac:dyDescent="0.3">
      <c r="C726" s="24"/>
      <c r="D726" s="24"/>
      <c r="F726" s="24"/>
      <c r="G726" s="24"/>
      <c r="H726" s="24"/>
      <c r="I726" s="24"/>
      <c r="J726" s="24"/>
      <c r="K726" s="24"/>
      <c r="L726" s="24"/>
      <c r="M726" s="24"/>
    </row>
    <row r="727" spans="3:13" ht="15.75" customHeight="1" x14ac:dyDescent="0.3">
      <c r="C727" s="24"/>
      <c r="D727" s="24"/>
      <c r="F727" s="24"/>
      <c r="G727" s="24"/>
      <c r="H727" s="24"/>
      <c r="I727" s="24"/>
      <c r="J727" s="24"/>
      <c r="K727" s="24"/>
      <c r="L727" s="24"/>
      <c r="M727" s="24"/>
    </row>
    <row r="728" spans="3:13" ht="15.75" customHeight="1" x14ac:dyDescent="0.3">
      <c r="C728" s="24"/>
      <c r="D728" s="24"/>
      <c r="F728" s="24"/>
      <c r="G728" s="24"/>
      <c r="H728" s="24"/>
      <c r="I728" s="24"/>
      <c r="J728" s="24"/>
      <c r="K728" s="24"/>
      <c r="L728" s="24"/>
      <c r="M728" s="24"/>
    </row>
    <row r="729" spans="3:13" ht="15.75" customHeight="1" x14ac:dyDescent="0.3">
      <c r="C729" s="24"/>
      <c r="D729" s="24"/>
      <c r="F729" s="24"/>
      <c r="G729" s="24"/>
      <c r="H729" s="24"/>
      <c r="I729" s="24"/>
      <c r="J729" s="24"/>
      <c r="K729" s="24"/>
      <c r="L729" s="24"/>
      <c r="M729" s="24"/>
    </row>
    <row r="730" spans="3:13" ht="15.75" customHeight="1" x14ac:dyDescent="0.3">
      <c r="C730" s="24"/>
      <c r="D730" s="24"/>
      <c r="F730" s="24"/>
      <c r="G730" s="24"/>
      <c r="H730" s="24"/>
      <c r="I730" s="24"/>
      <c r="J730" s="24"/>
      <c r="K730" s="24"/>
      <c r="L730" s="24"/>
      <c r="M730" s="24"/>
    </row>
    <row r="731" spans="3:13" ht="15.75" customHeight="1" x14ac:dyDescent="0.3">
      <c r="C731" s="24"/>
      <c r="D731" s="24"/>
      <c r="F731" s="24"/>
      <c r="G731" s="24"/>
      <c r="H731" s="24"/>
      <c r="I731" s="24"/>
      <c r="J731" s="24"/>
      <c r="K731" s="24"/>
      <c r="L731" s="24"/>
      <c r="M731" s="24"/>
    </row>
    <row r="732" spans="3:13" ht="15.75" customHeight="1" x14ac:dyDescent="0.3">
      <c r="C732" s="24"/>
      <c r="D732" s="24"/>
      <c r="F732" s="24"/>
      <c r="G732" s="24"/>
      <c r="H732" s="24"/>
      <c r="I732" s="24"/>
      <c r="J732" s="24"/>
      <c r="K732" s="24"/>
      <c r="L732" s="24"/>
      <c r="M732" s="24"/>
    </row>
    <row r="733" spans="3:13" ht="15.75" customHeight="1" x14ac:dyDescent="0.3">
      <c r="C733" s="24"/>
      <c r="D733" s="24"/>
      <c r="F733" s="24"/>
      <c r="G733" s="24"/>
      <c r="H733" s="24"/>
      <c r="I733" s="24"/>
      <c r="J733" s="24"/>
      <c r="K733" s="24"/>
      <c r="L733" s="24"/>
      <c r="M733" s="24"/>
    </row>
    <row r="734" spans="3:13" ht="15.75" customHeight="1" x14ac:dyDescent="0.3">
      <c r="C734" s="24"/>
      <c r="D734" s="24"/>
      <c r="F734" s="24"/>
      <c r="G734" s="24"/>
      <c r="H734" s="24"/>
      <c r="I734" s="24"/>
      <c r="J734" s="24"/>
      <c r="K734" s="24"/>
      <c r="L734" s="24"/>
      <c r="M734" s="24"/>
    </row>
    <row r="735" spans="3:13" ht="15.75" customHeight="1" x14ac:dyDescent="0.3">
      <c r="C735" s="24"/>
      <c r="D735" s="24"/>
      <c r="F735" s="24"/>
      <c r="G735" s="24"/>
      <c r="H735" s="24"/>
      <c r="I735" s="24"/>
      <c r="J735" s="24"/>
      <c r="K735" s="24"/>
      <c r="L735" s="24"/>
      <c r="M735" s="24"/>
    </row>
    <row r="736" spans="3:13" ht="15.75" customHeight="1" x14ac:dyDescent="0.3">
      <c r="C736" s="24"/>
      <c r="D736" s="24"/>
      <c r="F736" s="24"/>
      <c r="G736" s="24"/>
      <c r="H736" s="24"/>
      <c r="I736" s="24"/>
      <c r="J736" s="24"/>
      <c r="K736" s="24"/>
      <c r="L736" s="24"/>
      <c r="M736" s="24"/>
    </row>
    <row r="737" spans="3:13" ht="15.75" customHeight="1" x14ac:dyDescent="0.3">
      <c r="C737" s="24"/>
      <c r="D737" s="24"/>
      <c r="F737" s="24"/>
      <c r="G737" s="24"/>
      <c r="H737" s="24"/>
      <c r="I737" s="24"/>
      <c r="J737" s="24"/>
      <c r="K737" s="24"/>
      <c r="L737" s="24"/>
      <c r="M737" s="24"/>
    </row>
    <row r="738" spans="3:13" ht="15.75" customHeight="1" x14ac:dyDescent="0.3">
      <c r="C738" s="24"/>
      <c r="D738" s="24"/>
      <c r="F738" s="24"/>
      <c r="G738" s="24"/>
      <c r="H738" s="24"/>
      <c r="I738" s="24"/>
      <c r="J738" s="24"/>
      <c r="K738" s="24"/>
      <c r="L738" s="24"/>
      <c r="M738" s="24"/>
    </row>
    <row r="739" spans="3:13" ht="15.75" customHeight="1" x14ac:dyDescent="0.3">
      <c r="C739" s="24"/>
      <c r="D739" s="24"/>
      <c r="F739" s="24"/>
      <c r="G739" s="24"/>
      <c r="H739" s="24"/>
      <c r="I739" s="24"/>
      <c r="J739" s="24"/>
      <c r="K739" s="24"/>
      <c r="L739" s="24"/>
      <c r="M739" s="24"/>
    </row>
    <row r="740" spans="3:13" ht="15.75" customHeight="1" x14ac:dyDescent="0.3">
      <c r="C740" s="24"/>
      <c r="D740" s="24"/>
      <c r="F740" s="24"/>
      <c r="G740" s="24"/>
      <c r="H740" s="24"/>
      <c r="I740" s="24"/>
      <c r="J740" s="24"/>
      <c r="K740" s="24"/>
      <c r="L740" s="24"/>
      <c r="M740" s="24"/>
    </row>
    <row r="741" spans="3:13" ht="15.75" customHeight="1" x14ac:dyDescent="0.3">
      <c r="C741" s="24"/>
      <c r="D741" s="24"/>
      <c r="F741" s="24"/>
      <c r="G741" s="24"/>
      <c r="H741" s="24"/>
      <c r="I741" s="24"/>
      <c r="J741" s="24"/>
      <c r="K741" s="24"/>
      <c r="L741" s="24"/>
      <c r="M741" s="24"/>
    </row>
    <row r="742" spans="3:13" ht="15.75" customHeight="1" x14ac:dyDescent="0.3">
      <c r="C742" s="24"/>
      <c r="D742" s="24"/>
      <c r="F742" s="24"/>
      <c r="G742" s="24"/>
      <c r="H742" s="24"/>
      <c r="I742" s="24"/>
      <c r="J742" s="24"/>
      <c r="K742" s="24"/>
      <c r="L742" s="24"/>
      <c r="M742" s="24"/>
    </row>
    <row r="743" spans="3:13" ht="15.75" customHeight="1" x14ac:dyDescent="0.3">
      <c r="C743" s="24"/>
      <c r="D743" s="24"/>
      <c r="F743" s="24"/>
      <c r="G743" s="24"/>
      <c r="H743" s="24"/>
      <c r="I743" s="24"/>
      <c r="J743" s="24"/>
      <c r="K743" s="24"/>
      <c r="L743" s="24"/>
      <c r="M743" s="24"/>
    </row>
    <row r="744" spans="3:13" ht="15.75" customHeight="1" x14ac:dyDescent="0.3">
      <c r="C744" s="24"/>
      <c r="D744" s="24"/>
      <c r="F744" s="24"/>
      <c r="G744" s="24"/>
      <c r="H744" s="24"/>
      <c r="I744" s="24"/>
      <c r="J744" s="24"/>
      <c r="K744" s="24"/>
      <c r="L744" s="24"/>
      <c r="M744" s="24"/>
    </row>
    <row r="745" spans="3:13" ht="15.75" customHeight="1" x14ac:dyDescent="0.3">
      <c r="C745" s="24"/>
      <c r="D745" s="24"/>
      <c r="F745" s="24"/>
      <c r="G745" s="24"/>
      <c r="H745" s="24"/>
      <c r="I745" s="24"/>
      <c r="J745" s="24"/>
      <c r="K745" s="24"/>
      <c r="L745" s="24"/>
      <c r="M745" s="24"/>
    </row>
    <row r="746" spans="3:13" ht="15.75" customHeight="1" x14ac:dyDescent="0.3">
      <c r="C746" s="24"/>
      <c r="D746" s="24"/>
      <c r="F746" s="24"/>
      <c r="G746" s="24"/>
      <c r="H746" s="24"/>
      <c r="I746" s="24"/>
      <c r="J746" s="24"/>
      <c r="K746" s="24"/>
      <c r="L746" s="24"/>
      <c r="M746" s="24"/>
    </row>
    <row r="747" spans="3:13" ht="15.75" customHeight="1" x14ac:dyDescent="0.3">
      <c r="C747" s="24"/>
      <c r="D747" s="24"/>
      <c r="F747" s="24"/>
      <c r="G747" s="24"/>
      <c r="H747" s="24"/>
      <c r="I747" s="24"/>
      <c r="J747" s="24"/>
      <c r="K747" s="24"/>
      <c r="L747" s="24"/>
      <c r="M747" s="24"/>
    </row>
    <row r="748" spans="3:13" ht="15.75" customHeight="1" x14ac:dyDescent="0.3">
      <c r="C748" s="24"/>
      <c r="D748" s="24"/>
      <c r="F748" s="24"/>
      <c r="G748" s="24"/>
      <c r="H748" s="24"/>
      <c r="I748" s="24"/>
      <c r="J748" s="24"/>
      <c r="K748" s="24"/>
      <c r="L748" s="24"/>
      <c r="M748" s="24"/>
    </row>
    <row r="749" spans="3:13" ht="15.75" customHeight="1" x14ac:dyDescent="0.3">
      <c r="C749" s="24"/>
      <c r="D749" s="24"/>
      <c r="F749" s="24"/>
      <c r="G749" s="24"/>
      <c r="H749" s="24"/>
      <c r="I749" s="24"/>
      <c r="J749" s="24"/>
      <c r="K749" s="24"/>
      <c r="L749" s="24"/>
      <c r="M749" s="24"/>
    </row>
    <row r="750" spans="3:13" ht="15.75" customHeight="1" x14ac:dyDescent="0.3">
      <c r="C750" s="24"/>
      <c r="D750" s="24"/>
      <c r="F750" s="24"/>
      <c r="G750" s="24"/>
      <c r="H750" s="24"/>
      <c r="I750" s="24"/>
      <c r="J750" s="24"/>
      <c r="K750" s="24"/>
      <c r="L750" s="24"/>
      <c r="M750" s="24"/>
    </row>
    <row r="751" spans="3:13" ht="15.75" customHeight="1" x14ac:dyDescent="0.3">
      <c r="C751" s="24"/>
      <c r="D751" s="24"/>
      <c r="F751" s="24"/>
      <c r="G751" s="24"/>
      <c r="H751" s="24"/>
      <c r="I751" s="24"/>
      <c r="J751" s="24"/>
      <c r="K751" s="24"/>
      <c r="L751" s="24"/>
      <c r="M751" s="24"/>
    </row>
    <row r="752" spans="3:13" ht="15.75" customHeight="1" x14ac:dyDescent="0.3">
      <c r="C752" s="24"/>
      <c r="D752" s="24"/>
      <c r="F752" s="24"/>
      <c r="G752" s="24"/>
      <c r="H752" s="24"/>
      <c r="I752" s="24"/>
      <c r="J752" s="24"/>
      <c r="K752" s="24"/>
      <c r="L752" s="24"/>
      <c r="M752" s="24"/>
    </row>
    <row r="753" spans="3:13" ht="15.75" customHeight="1" x14ac:dyDescent="0.3">
      <c r="C753" s="24"/>
      <c r="D753" s="24"/>
      <c r="F753" s="24"/>
      <c r="G753" s="24"/>
      <c r="H753" s="24"/>
      <c r="I753" s="24"/>
      <c r="J753" s="24"/>
      <c r="K753" s="24"/>
      <c r="L753" s="24"/>
      <c r="M753" s="24"/>
    </row>
    <row r="754" spans="3:13" ht="15.75" customHeight="1" x14ac:dyDescent="0.3">
      <c r="C754" s="24"/>
      <c r="D754" s="24"/>
      <c r="F754" s="24"/>
      <c r="G754" s="24"/>
      <c r="H754" s="24"/>
      <c r="I754" s="24"/>
      <c r="J754" s="24"/>
      <c r="K754" s="24"/>
      <c r="L754" s="24"/>
      <c r="M754" s="24"/>
    </row>
    <row r="755" spans="3:13" ht="15.75" customHeight="1" x14ac:dyDescent="0.3">
      <c r="C755" s="24"/>
      <c r="D755" s="24"/>
      <c r="F755" s="24"/>
      <c r="G755" s="24"/>
      <c r="H755" s="24"/>
      <c r="I755" s="24"/>
      <c r="J755" s="24"/>
      <c r="K755" s="24"/>
      <c r="L755" s="24"/>
      <c r="M755" s="24"/>
    </row>
    <row r="756" spans="3:13" ht="15.75" customHeight="1" x14ac:dyDescent="0.3">
      <c r="C756" s="24"/>
      <c r="D756" s="24"/>
      <c r="F756" s="24"/>
      <c r="G756" s="24"/>
      <c r="H756" s="24"/>
      <c r="I756" s="24"/>
      <c r="J756" s="24"/>
      <c r="K756" s="24"/>
      <c r="L756" s="24"/>
      <c r="M756" s="24"/>
    </row>
    <row r="757" spans="3:13" ht="15.75" customHeight="1" x14ac:dyDescent="0.3">
      <c r="C757" s="24"/>
      <c r="D757" s="24"/>
      <c r="F757" s="24"/>
      <c r="G757" s="24"/>
      <c r="H757" s="24"/>
      <c r="I757" s="24"/>
      <c r="J757" s="24"/>
      <c r="K757" s="24"/>
      <c r="L757" s="24"/>
      <c r="M757" s="24"/>
    </row>
    <row r="758" spans="3:13" ht="15.75" customHeight="1" x14ac:dyDescent="0.3">
      <c r="C758" s="24"/>
      <c r="D758" s="24"/>
      <c r="F758" s="24"/>
      <c r="G758" s="24"/>
      <c r="H758" s="24"/>
      <c r="I758" s="24"/>
      <c r="J758" s="24"/>
      <c r="K758" s="24"/>
      <c r="L758" s="24"/>
      <c r="M758" s="24"/>
    </row>
    <row r="759" spans="3:13" ht="15.75" customHeight="1" x14ac:dyDescent="0.3">
      <c r="C759" s="24"/>
      <c r="D759" s="24"/>
      <c r="F759" s="24"/>
      <c r="G759" s="24"/>
      <c r="H759" s="24"/>
      <c r="I759" s="24"/>
      <c r="J759" s="24"/>
      <c r="K759" s="24"/>
      <c r="L759" s="24"/>
      <c r="M759" s="24"/>
    </row>
    <row r="760" spans="3:13" ht="15.75" customHeight="1" x14ac:dyDescent="0.3">
      <c r="C760" s="24"/>
      <c r="D760" s="24"/>
      <c r="F760" s="24"/>
      <c r="G760" s="24"/>
      <c r="H760" s="24"/>
      <c r="I760" s="24"/>
      <c r="J760" s="24"/>
      <c r="K760" s="24"/>
      <c r="L760" s="24"/>
      <c r="M760" s="24"/>
    </row>
    <row r="761" spans="3:13" ht="15.75" customHeight="1" x14ac:dyDescent="0.3">
      <c r="C761" s="24"/>
      <c r="D761" s="24"/>
      <c r="F761" s="24"/>
      <c r="G761" s="24"/>
      <c r="H761" s="24"/>
      <c r="I761" s="24"/>
      <c r="J761" s="24"/>
      <c r="K761" s="24"/>
      <c r="L761" s="24"/>
      <c r="M761" s="24"/>
    </row>
    <row r="762" spans="3:13" ht="15.75" customHeight="1" x14ac:dyDescent="0.3">
      <c r="C762" s="24"/>
      <c r="D762" s="24"/>
      <c r="F762" s="24"/>
      <c r="G762" s="24"/>
      <c r="H762" s="24"/>
      <c r="I762" s="24"/>
      <c r="J762" s="24"/>
      <c r="K762" s="24"/>
      <c r="L762" s="24"/>
      <c r="M762" s="24"/>
    </row>
    <row r="763" spans="3:13" ht="15.75" customHeight="1" x14ac:dyDescent="0.3">
      <c r="C763" s="24"/>
      <c r="D763" s="24"/>
      <c r="F763" s="24"/>
      <c r="G763" s="24"/>
      <c r="H763" s="24"/>
      <c r="I763" s="24"/>
      <c r="J763" s="24"/>
      <c r="K763" s="24"/>
      <c r="L763" s="24"/>
      <c r="M763" s="24"/>
    </row>
    <row r="764" spans="3:13" ht="15.75" customHeight="1" x14ac:dyDescent="0.3">
      <c r="C764" s="24"/>
      <c r="D764" s="24"/>
      <c r="F764" s="24"/>
      <c r="G764" s="24"/>
      <c r="H764" s="24"/>
      <c r="I764" s="24"/>
      <c r="J764" s="24"/>
      <c r="K764" s="24"/>
      <c r="L764" s="24"/>
      <c r="M764" s="24"/>
    </row>
    <row r="765" spans="3:13" ht="15.75" customHeight="1" x14ac:dyDescent="0.3">
      <c r="C765" s="24"/>
      <c r="D765" s="24"/>
      <c r="F765" s="24"/>
      <c r="G765" s="24"/>
      <c r="H765" s="24"/>
      <c r="I765" s="24"/>
      <c r="J765" s="24"/>
      <c r="K765" s="24"/>
      <c r="L765" s="24"/>
      <c r="M765" s="24"/>
    </row>
    <row r="766" spans="3:13" ht="15.75" customHeight="1" x14ac:dyDescent="0.3">
      <c r="C766" s="24"/>
      <c r="D766" s="24"/>
      <c r="F766" s="24"/>
      <c r="G766" s="24"/>
      <c r="H766" s="24"/>
      <c r="I766" s="24"/>
      <c r="J766" s="24"/>
      <c r="K766" s="24"/>
      <c r="L766" s="24"/>
      <c r="M766" s="24"/>
    </row>
    <row r="767" spans="3:13" ht="15.75" customHeight="1" x14ac:dyDescent="0.3">
      <c r="C767" s="24"/>
      <c r="D767" s="24"/>
      <c r="F767" s="24"/>
      <c r="G767" s="24"/>
      <c r="H767" s="24"/>
      <c r="I767" s="24"/>
      <c r="J767" s="24"/>
      <c r="K767" s="24"/>
      <c r="L767" s="24"/>
      <c r="M767" s="24"/>
    </row>
    <row r="768" spans="3:13" ht="15.75" customHeight="1" x14ac:dyDescent="0.3">
      <c r="C768" s="24"/>
      <c r="D768" s="24"/>
      <c r="F768" s="24"/>
      <c r="G768" s="24"/>
      <c r="H768" s="24"/>
      <c r="I768" s="24"/>
      <c r="J768" s="24"/>
      <c r="K768" s="24"/>
      <c r="L768" s="24"/>
      <c r="M768" s="24"/>
    </row>
    <row r="769" spans="3:13" ht="15.75" customHeight="1" x14ac:dyDescent="0.3">
      <c r="C769" s="24"/>
      <c r="D769" s="24"/>
      <c r="F769" s="24"/>
      <c r="G769" s="24"/>
      <c r="H769" s="24"/>
      <c r="I769" s="24"/>
      <c r="J769" s="24"/>
      <c r="K769" s="24"/>
      <c r="L769" s="24"/>
      <c r="M769" s="24"/>
    </row>
    <row r="770" spans="3:13" ht="15.75" customHeight="1" x14ac:dyDescent="0.3">
      <c r="C770" s="24"/>
      <c r="D770" s="24"/>
      <c r="F770" s="24"/>
      <c r="G770" s="24"/>
      <c r="H770" s="24"/>
      <c r="I770" s="24"/>
      <c r="J770" s="24"/>
      <c r="K770" s="24"/>
      <c r="L770" s="24"/>
      <c r="M770" s="24"/>
    </row>
    <row r="771" spans="3:13" ht="15.75" customHeight="1" x14ac:dyDescent="0.3">
      <c r="C771" s="24"/>
      <c r="D771" s="24"/>
      <c r="F771" s="24"/>
      <c r="G771" s="24"/>
      <c r="H771" s="24"/>
      <c r="I771" s="24"/>
      <c r="J771" s="24"/>
      <c r="K771" s="24"/>
      <c r="L771" s="24"/>
      <c r="M771" s="24"/>
    </row>
    <row r="772" spans="3:13" ht="15.75" customHeight="1" x14ac:dyDescent="0.3">
      <c r="C772" s="24"/>
      <c r="D772" s="24"/>
      <c r="F772" s="24"/>
      <c r="G772" s="24"/>
      <c r="H772" s="24"/>
      <c r="I772" s="24"/>
      <c r="J772" s="24"/>
      <c r="K772" s="24"/>
      <c r="L772" s="24"/>
      <c r="M772" s="24"/>
    </row>
    <row r="773" spans="3:13" ht="15.75" customHeight="1" x14ac:dyDescent="0.3">
      <c r="C773" s="24"/>
      <c r="D773" s="24"/>
      <c r="F773" s="24"/>
      <c r="G773" s="24"/>
      <c r="H773" s="24"/>
      <c r="I773" s="24"/>
      <c r="J773" s="24"/>
      <c r="K773" s="24"/>
      <c r="L773" s="24"/>
      <c r="M773" s="24"/>
    </row>
    <row r="774" spans="3:13" ht="15.75" customHeight="1" x14ac:dyDescent="0.3">
      <c r="C774" s="24"/>
      <c r="D774" s="24"/>
      <c r="F774" s="24"/>
      <c r="G774" s="24"/>
      <c r="H774" s="24"/>
      <c r="I774" s="24"/>
      <c r="J774" s="24"/>
      <c r="K774" s="24"/>
      <c r="L774" s="24"/>
      <c r="M774" s="24"/>
    </row>
    <row r="775" spans="3:13" ht="15.75" customHeight="1" x14ac:dyDescent="0.3">
      <c r="C775" s="24"/>
      <c r="D775" s="24"/>
      <c r="F775" s="24"/>
      <c r="G775" s="24"/>
      <c r="H775" s="24"/>
      <c r="I775" s="24"/>
      <c r="J775" s="24"/>
      <c r="K775" s="24"/>
      <c r="L775" s="24"/>
      <c r="M775" s="24"/>
    </row>
    <row r="776" spans="3:13" ht="15.75" customHeight="1" x14ac:dyDescent="0.3">
      <c r="C776" s="24"/>
      <c r="D776" s="24"/>
      <c r="F776" s="24"/>
      <c r="G776" s="24"/>
      <c r="H776" s="24"/>
      <c r="I776" s="24"/>
      <c r="J776" s="24"/>
      <c r="K776" s="24"/>
      <c r="L776" s="24"/>
      <c r="M776" s="24"/>
    </row>
    <row r="777" spans="3:13" ht="15.75" customHeight="1" x14ac:dyDescent="0.3">
      <c r="C777" s="24"/>
      <c r="D777" s="24"/>
      <c r="F777" s="24"/>
      <c r="G777" s="24"/>
      <c r="H777" s="24"/>
      <c r="I777" s="24"/>
      <c r="J777" s="24"/>
      <c r="K777" s="24"/>
      <c r="L777" s="24"/>
      <c r="M777" s="24"/>
    </row>
    <row r="778" spans="3:13" ht="15.75" customHeight="1" x14ac:dyDescent="0.3">
      <c r="C778" s="24"/>
      <c r="D778" s="24"/>
      <c r="F778" s="24"/>
      <c r="G778" s="24"/>
      <c r="H778" s="24"/>
      <c r="I778" s="24"/>
      <c r="J778" s="24"/>
      <c r="K778" s="24"/>
      <c r="L778" s="24"/>
      <c r="M778" s="24"/>
    </row>
    <row r="779" spans="3:13" ht="15.75" customHeight="1" x14ac:dyDescent="0.3">
      <c r="C779" s="24"/>
      <c r="D779" s="24"/>
      <c r="F779" s="24"/>
      <c r="G779" s="24"/>
      <c r="H779" s="24"/>
      <c r="I779" s="24"/>
      <c r="J779" s="24"/>
      <c r="K779" s="24"/>
      <c r="L779" s="24"/>
      <c r="M779" s="24"/>
    </row>
    <row r="780" spans="3:13" ht="15.75" customHeight="1" x14ac:dyDescent="0.3">
      <c r="C780" s="24"/>
      <c r="D780" s="24"/>
      <c r="F780" s="24"/>
      <c r="G780" s="24"/>
      <c r="H780" s="24"/>
      <c r="I780" s="24"/>
      <c r="J780" s="24"/>
      <c r="K780" s="24"/>
      <c r="L780" s="24"/>
      <c r="M780" s="24"/>
    </row>
    <row r="781" spans="3:13" ht="15.75" customHeight="1" x14ac:dyDescent="0.3">
      <c r="C781" s="24"/>
      <c r="D781" s="24"/>
      <c r="F781" s="24"/>
      <c r="G781" s="24"/>
      <c r="H781" s="24"/>
      <c r="I781" s="24"/>
      <c r="J781" s="24"/>
      <c r="K781" s="24"/>
      <c r="L781" s="24"/>
      <c r="M781" s="24"/>
    </row>
    <row r="782" spans="3:13" ht="15.75" customHeight="1" x14ac:dyDescent="0.3">
      <c r="C782" s="24"/>
      <c r="D782" s="24"/>
      <c r="F782" s="24"/>
      <c r="G782" s="24"/>
      <c r="H782" s="24"/>
      <c r="I782" s="24"/>
      <c r="J782" s="24"/>
      <c r="K782" s="24"/>
      <c r="L782" s="24"/>
      <c r="M782" s="24"/>
    </row>
    <row r="783" spans="3:13" ht="15.75" customHeight="1" x14ac:dyDescent="0.3">
      <c r="C783" s="24"/>
      <c r="D783" s="24"/>
      <c r="F783" s="24"/>
      <c r="G783" s="24"/>
      <c r="H783" s="24"/>
      <c r="I783" s="24"/>
      <c r="J783" s="24"/>
      <c r="K783" s="24"/>
      <c r="L783" s="24"/>
      <c r="M783" s="24"/>
    </row>
    <row r="784" spans="3:13" ht="15.75" customHeight="1" x14ac:dyDescent="0.3">
      <c r="C784" s="24"/>
      <c r="D784" s="24"/>
      <c r="F784" s="24"/>
      <c r="G784" s="24"/>
      <c r="H784" s="24"/>
      <c r="I784" s="24"/>
      <c r="J784" s="24"/>
      <c r="K784" s="24"/>
      <c r="L784" s="24"/>
      <c r="M784" s="24"/>
    </row>
    <row r="785" spans="3:13" ht="15.75" customHeight="1" x14ac:dyDescent="0.3">
      <c r="C785" s="24"/>
      <c r="D785" s="24"/>
      <c r="F785" s="24"/>
      <c r="G785" s="24"/>
      <c r="H785" s="24"/>
      <c r="I785" s="24"/>
      <c r="J785" s="24"/>
      <c r="K785" s="24"/>
      <c r="L785" s="24"/>
      <c r="M785" s="24"/>
    </row>
    <row r="786" spans="3:13" ht="15.75" customHeight="1" x14ac:dyDescent="0.3">
      <c r="C786" s="24"/>
      <c r="D786" s="24"/>
      <c r="F786" s="24"/>
      <c r="G786" s="24"/>
      <c r="H786" s="24"/>
      <c r="I786" s="24"/>
      <c r="J786" s="24"/>
      <c r="K786" s="24"/>
      <c r="L786" s="24"/>
      <c r="M786" s="24"/>
    </row>
    <row r="787" spans="3:13" ht="15.75" customHeight="1" x14ac:dyDescent="0.3">
      <c r="C787" s="24"/>
      <c r="D787" s="24"/>
      <c r="F787" s="24"/>
      <c r="G787" s="24"/>
      <c r="H787" s="24"/>
      <c r="I787" s="24"/>
      <c r="J787" s="24"/>
      <c r="K787" s="24"/>
      <c r="L787" s="24"/>
      <c r="M787" s="24"/>
    </row>
    <row r="788" spans="3:13" ht="15.75" customHeight="1" x14ac:dyDescent="0.3">
      <c r="C788" s="24"/>
      <c r="D788" s="24"/>
      <c r="F788" s="24"/>
      <c r="G788" s="24"/>
      <c r="H788" s="24"/>
      <c r="I788" s="24"/>
      <c r="J788" s="24"/>
      <c r="K788" s="24"/>
      <c r="L788" s="24"/>
      <c r="M788" s="24"/>
    </row>
    <row r="789" spans="3:13" ht="15.75" customHeight="1" x14ac:dyDescent="0.3">
      <c r="C789" s="24"/>
      <c r="D789" s="24"/>
      <c r="F789" s="24"/>
      <c r="G789" s="24"/>
      <c r="H789" s="24"/>
      <c r="I789" s="24"/>
      <c r="J789" s="24"/>
      <c r="K789" s="24"/>
      <c r="L789" s="24"/>
      <c r="M789" s="24"/>
    </row>
    <row r="790" spans="3:13" ht="15.75" customHeight="1" x14ac:dyDescent="0.3">
      <c r="C790" s="24"/>
      <c r="D790" s="24"/>
      <c r="F790" s="24"/>
      <c r="G790" s="24"/>
      <c r="H790" s="24"/>
      <c r="I790" s="24"/>
      <c r="J790" s="24"/>
      <c r="K790" s="24"/>
      <c r="L790" s="24"/>
      <c r="M790" s="24"/>
    </row>
    <row r="791" spans="3:13" ht="15.75" customHeight="1" x14ac:dyDescent="0.3">
      <c r="C791" s="24"/>
      <c r="D791" s="24"/>
      <c r="F791" s="24"/>
      <c r="G791" s="24"/>
      <c r="H791" s="24"/>
      <c r="I791" s="24"/>
      <c r="J791" s="24"/>
      <c r="K791" s="24"/>
      <c r="L791" s="24"/>
      <c r="M791" s="24"/>
    </row>
    <row r="792" spans="3:13" ht="15.75" customHeight="1" x14ac:dyDescent="0.3">
      <c r="C792" s="24"/>
      <c r="D792" s="24"/>
      <c r="F792" s="24"/>
      <c r="G792" s="24"/>
      <c r="H792" s="24"/>
      <c r="I792" s="24"/>
      <c r="J792" s="24"/>
      <c r="K792" s="24"/>
      <c r="L792" s="24"/>
      <c r="M792" s="24"/>
    </row>
    <row r="793" spans="3:13" ht="15.75" customHeight="1" x14ac:dyDescent="0.3">
      <c r="C793" s="24"/>
      <c r="D793" s="24"/>
      <c r="F793" s="24"/>
      <c r="G793" s="24"/>
      <c r="H793" s="24"/>
      <c r="I793" s="24"/>
      <c r="J793" s="24"/>
      <c r="K793" s="24"/>
      <c r="L793" s="24"/>
      <c r="M793" s="24"/>
    </row>
    <row r="794" spans="3:13" ht="15.75" customHeight="1" x14ac:dyDescent="0.3">
      <c r="C794" s="24"/>
      <c r="D794" s="24"/>
      <c r="F794" s="24"/>
      <c r="G794" s="24"/>
      <c r="H794" s="24"/>
      <c r="I794" s="24"/>
      <c r="J794" s="24"/>
      <c r="K794" s="24"/>
      <c r="L794" s="24"/>
      <c r="M794" s="24"/>
    </row>
    <row r="795" spans="3:13" ht="15.75" customHeight="1" x14ac:dyDescent="0.3">
      <c r="C795" s="24"/>
      <c r="D795" s="24"/>
      <c r="F795" s="24"/>
      <c r="G795" s="24"/>
      <c r="H795" s="24"/>
      <c r="I795" s="24"/>
      <c r="J795" s="24"/>
      <c r="K795" s="24"/>
      <c r="L795" s="24"/>
      <c r="M795" s="24"/>
    </row>
    <row r="796" spans="3:13" ht="15.75" customHeight="1" x14ac:dyDescent="0.3">
      <c r="C796" s="24"/>
      <c r="D796" s="24"/>
      <c r="F796" s="24"/>
      <c r="G796" s="24"/>
      <c r="H796" s="24"/>
      <c r="I796" s="24"/>
      <c r="J796" s="24"/>
      <c r="K796" s="24"/>
      <c r="L796" s="24"/>
      <c r="M796" s="24"/>
    </row>
    <row r="797" spans="3:13" ht="15.75" customHeight="1" x14ac:dyDescent="0.3">
      <c r="C797" s="24"/>
      <c r="D797" s="24"/>
      <c r="F797" s="24"/>
      <c r="G797" s="24"/>
      <c r="H797" s="24"/>
      <c r="I797" s="24"/>
      <c r="J797" s="24"/>
      <c r="K797" s="24"/>
      <c r="L797" s="24"/>
      <c r="M797" s="24"/>
    </row>
    <row r="798" spans="3:13" ht="15.75" customHeight="1" x14ac:dyDescent="0.3">
      <c r="C798" s="24"/>
      <c r="D798" s="24"/>
      <c r="F798" s="24"/>
      <c r="G798" s="24"/>
      <c r="H798" s="24"/>
      <c r="I798" s="24"/>
      <c r="J798" s="24"/>
      <c r="K798" s="24"/>
      <c r="L798" s="24"/>
      <c r="M798" s="24"/>
    </row>
    <row r="799" spans="3:13" ht="15.75" customHeight="1" x14ac:dyDescent="0.3">
      <c r="C799" s="24"/>
      <c r="D799" s="24"/>
      <c r="F799" s="24"/>
      <c r="G799" s="24"/>
      <c r="H799" s="24"/>
      <c r="I799" s="24"/>
      <c r="J799" s="24"/>
      <c r="K799" s="24"/>
      <c r="L799" s="24"/>
      <c r="M799" s="24"/>
    </row>
    <row r="800" spans="3:13" ht="15.75" customHeight="1" x14ac:dyDescent="0.3">
      <c r="C800" s="24"/>
      <c r="D800" s="24"/>
      <c r="F800" s="24"/>
      <c r="G800" s="24"/>
      <c r="H800" s="24"/>
      <c r="I800" s="24"/>
      <c r="J800" s="24"/>
      <c r="K800" s="24"/>
      <c r="L800" s="24"/>
      <c r="M800" s="24"/>
    </row>
    <row r="801" spans="3:13" ht="15.75" customHeight="1" x14ac:dyDescent="0.3">
      <c r="C801" s="24"/>
      <c r="D801" s="24"/>
      <c r="F801" s="24"/>
      <c r="G801" s="24"/>
      <c r="H801" s="24"/>
      <c r="I801" s="24"/>
      <c r="J801" s="24"/>
      <c r="K801" s="24"/>
      <c r="L801" s="24"/>
      <c r="M801" s="24"/>
    </row>
    <row r="802" spans="3:13" ht="15.75" customHeight="1" x14ac:dyDescent="0.3">
      <c r="C802" s="24"/>
      <c r="D802" s="24"/>
      <c r="F802" s="24"/>
      <c r="G802" s="24"/>
      <c r="H802" s="24"/>
      <c r="I802" s="24"/>
      <c r="J802" s="24"/>
      <c r="K802" s="24"/>
      <c r="L802" s="24"/>
      <c r="M802" s="24"/>
    </row>
    <row r="803" spans="3:13" ht="15.75" customHeight="1" x14ac:dyDescent="0.3">
      <c r="C803" s="24"/>
      <c r="D803" s="24"/>
      <c r="F803" s="24"/>
      <c r="G803" s="24"/>
      <c r="H803" s="24"/>
      <c r="I803" s="24"/>
      <c r="J803" s="24"/>
      <c r="K803" s="24"/>
      <c r="L803" s="24"/>
      <c r="M803" s="24"/>
    </row>
    <row r="804" spans="3:13" ht="15.75" customHeight="1" x14ac:dyDescent="0.3">
      <c r="C804" s="24"/>
      <c r="D804" s="24"/>
      <c r="F804" s="24"/>
      <c r="G804" s="24"/>
      <c r="H804" s="24"/>
      <c r="I804" s="24"/>
      <c r="J804" s="24"/>
      <c r="K804" s="24"/>
      <c r="L804" s="24"/>
      <c r="M804" s="24"/>
    </row>
    <row r="805" spans="3:13" ht="15.75" customHeight="1" x14ac:dyDescent="0.3">
      <c r="C805" s="24"/>
      <c r="D805" s="24"/>
      <c r="F805" s="24"/>
      <c r="G805" s="24"/>
      <c r="H805" s="24"/>
      <c r="I805" s="24"/>
      <c r="J805" s="24"/>
      <c r="K805" s="24"/>
      <c r="L805" s="24"/>
      <c r="M805" s="24"/>
    </row>
    <row r="806" spans="3:13" ht="15.75" customHeight="1" x14ac:dyDescent="0.3">
      <c r="C806" s="24"/>
      <c r="D806" s="24"/>
      <c r="F806" s="24"/>
      <c r="G806" s="24"/>
      <c r="H806" s="24"/>
      <c r="I806" s="24"/>
      <c r="J806" s="24"/>
      <c r="K806" s="24"/>
      <c r="L806" s="24"/>
      <c r="M806" s="24"/>
    </row>
    <row r="807" spans="3:13" ht="15.75" customHeight="1" x14ac:dyDescent="0.3">
      <c r="C807" s="24"/>
      <c r="D807" s="24"/>
      <c r="F807" s="24"/>
      <c r="G807" s="24"/>
      <c r="H807" s="24"/>
      <c r="I807" s="24"/>
      <c r="J807" s="24"/>
      <c r="K807" s="24"/>
      <c r="L807" s="24"/>
      <c r="M807" s="24"/>
    </row>
    <row r="808" spans="3:13" ht="15.75" customHeight="1" x14ac:dyDescent="0.3">
      <c r="C808" s="24"/>
      <c r="D808" s="24"/>
      <c r="F808" s="24"/>
      <c r="G808" s="24"/>
      <c r="H808" s="24"/>
      <c r="I808" s="24"/>
      <c r="J808" s="24"/>
      <c r="K808" s="24"/>
      <c r="L808" s="24"/>
      <c r="M808" s="24"/>
    </row>
    <row r="809" spans="3:13" ht="15.75" customHeight="1" x14ac:dyDescent="0.3">
      <c r="C809" s="24"/>
      <c r="D809" s="24"/>
      <c r="F809" s="24"/>
      <c r="G809" s="24"/>
      <c r="H809" s="24"/>
      <c r="I809" s="24"/>
      <c r="J809" s="24"/>
      <c r="K809" s="24"/>
      <c r="L809" s="24"/>
      <c r="M809" s="24"/>
    </row>
    <row r="810" spans="3:13" ht="15.75" customHeight="1" x14ac:dyDescent="0.3">
      <c r="C810" s="24"/>
      <c r="D810" s="24"/>
      <c r="F810" s="24"/>
      <c r="G810" s="24"/>
      <c r="H810" s="24"/>
      <c r="I810" s="24"/>
      <c r="J810" s="24"/>
      <c r="K810" s="24"/>
      <c r="L810" s="24"/>
      <c r="M810" s="24"/>
    </row>
    <row r="811" spans="3:13" ht="15.75" customHeight="1" x14ac:dyDescent="0.3">
      <c r="C811" s="24"/>
      <c r="D811" s="24"/>
      <c r="F811" s="24"/>
      <c r="G811" s="24"/>
      <c r="H811" s="24"/>
      <c r="I811" s="24"/>
      <c r="J811" s="24"/>
      <c r="K811" s="24"/>
      <c r="L811" s="24"/>
      <c r="M811" s="24"/>
    </row>
    <row r="812" spans="3:13" ht="15.75" customHeight="1" x14ac:dyDescent="0.3">
      <c r="C812" s="24"/>
      <c r="D812" s="24"/>
      <c r="F812" s="24"/>
      <c r="G812" s="24"/>
      <c r="H812" s="24"/>
      <c r="I812" s="24"/>
      <c r="J812" s="24"/>
      <c r="K812" s="24"/>
      <c r="L812" s="24"/>
      <c r="M812" s="24"/>
    </row>
    <row r="813" spans="3:13" ht="15.75" customHeight="1" x14ac:dyDescent="0.3">
      <c r="C813" s="24"/>
      <c r="D813" s="24"/>
      <c r="F813" s="24"/>
      <c r="G813" s="24"/>
      <c r="H813" s="24"/>
      <c r="I813" s="24"/>
      <c r="J813" s="24"/>
      <c r="K813" s="24"/>
      <c r="L813" s="24"/>
      <c r="M813" s="24"/>
    </row>
    <row r="814" spans="3:13" ht="15.75" customHeight="1" x14ac:dyDescent="0.3">
      <c r="C814" s="24"/>
      <c r="D814" s="24"/>
      <c r="F814" s="24"/>
      <c r="G814" s="24"/>
      <c r="H814" s="24"/>
      <c r="I814" s="24"/>
      <c r="J814" s="24"/>
      <c r="K814" s="24"/>
      <c r="L814" s="24"/>
      <c r="M814" s="24"/>
    </row>
    <row r="815" spans="3:13" ht="15.75" customHeight="1" x14ac:dyDescent="0.3">
      <c r="C815" s="24"/>
      <c r="D815" s="24"/>
      <c r="F815" s="24"/>
      <c r="G815" s="24"/>
      <c r="H815" s="24"/>
      <c r="I815" s="24"/>
      <c r="J815" s="24"/>
      <c r="K815" s="24"/>
      <c r="L815" s="24"/>
      <c r="M815" s="24"/>
    </row>
    <row r="816" spans="3:13" ht="15.75" customHeight="1" x14ac:dyDescent="0.3">
      <c r="C816" s="24"/>
      <c r="D816" s="24"/>
      <c r="F816" s="24"/>
      <c r="G816" s="24"/>
      <c r="H816" s="24"/>
      <c r="I816" s="24"/>
      <c r="J816" s="24"/>
      <c r="K816" s="24"/>
      <c r="L816" s="24"/>
      <c r="M816" s="24"/>
    </row>
    <row r="817" spans="3:13" ht="15.75" customHeight="1" x14ac:dyDescent="0.3">
      <c r="C817" s="24"/>
      <c r="D817" s="24"/>
      <c r="F817" s="24"/>
      <c r="G817" s="24"/>
      <c r="H817" s="24"/>
      <c r="I817" s="24"/>
      <c r="J817" s="24"/>
      <c r="K817" s="24"/>
      <c r="L817" s="24"/>
      <c r="M817" s="24"/>
    </row>
    <row r="818" spans="3:13" ht="15.75" customHeight="1" x14ac:dyDescent="0.3">
      <c r="C818" s="24"/>
      <c r="D818" s="24"/>
      <c r="F818" s="24"/>
      <c r="G818" s="24"/>
      <c r="H818" s="24"/>
      <c r="I818" s="24"/>
      <c r="J818" s="24"/>
      <c r="K818" s="24"/>
      <c r="L818" s="24"/>
      <c r="M818" s="24"/>
    </row>
    <row r="819" spans="3:13" ht="15.75" customHeight="1" x14ac:dyDescent="0.3">
      <c r="C819" s="24"/>
      <c r="D819" s="24"/>
      <c r="F819" s="24"/>
      <c r="G819" s="24"/>
      <c r="H819" s="24"/>
      <c r="I819" s="24"/>
      <c r="J819" s="24"/>
      <c r="K819" s="24"/>
      <c r="L819" s="24"/>
      <c r="M819" s="24"/>
    </row>
    <row r="820" spans="3:13" ht="15.75" customHeight="1" x14ac:dyDescent="0.3">
      <c r="C820" s="24"/>
      <c r="D820" s="24"/>
      <c r="F820" s="24"/>
      <c r="G820" s="24"/>
      <c r="H820" s="24"/>
      <c r="I820" s="24"/>
      <c r="J820" s="24"/>
      <c r="K820" s="24"/>
      <c r="L820" s="24"/>
      <c r="M820" s="24"/>
    </row>
    <row r="821" spans="3:13" ht="15.75" customHeight="1" x14ac:dyDescent="0.3">
      <c r="C821" s="24"/>
      <c r="D821" s="24"/>
      <c r="F821" s="24"/>
      <c r="G821" s="24"/>
      <c r="H821" s="24"/>
      <c r="I821" s="24"/>
      <c r="J821" s="24"/>
      <c r="K821" s="24"/>
      <c r="L821" s="24"/>
      <c r="M821" s="24"/>
    </row>
    <row r="822" spans="3:13" ht="15.75" customHeight="1" x14ac:dyDescent="0.3">
      <c r="C822" s="24"/>
      <c r="D822" s="24"/>
      <c r="F822" s="24"/>
      <c r="G822" s="24"/>
      <c r="H822" s="24"/>
      <c r="I822" s="24"/>
      <c r="J822" s="24"/>
      <c r="K822" s="24"/>
      <c r="L822" s="24"/>
      <c r="M822" s="24"/>
    </row>
    <row r="823" spans="3:13" ht="15.75" customHeight="1" x14ac:dyDescent="0.3">
      <c r="C823" s="24"/>
      <c r="D823" s="24"/>
      <c r="F823" s="24"/>
      <c r="G823" s="24"/>
      <c r="H823" s="24"/>
      <c r="I823" s="24"/>
      <c r="J823" s="24"/>
      <c r="K823" s="24"/>
      <c r="L823" s="24"/>
      <c r="M823" s="24"/>
    </row>
    <row r="824" spans="3:13" ht="15.75" customHeight="1" x14ac:dyDescent="0.3">
      <c r="C824" s="24"/>
      <c r="D824" s="24"/>
      <c r="F824" s="24"/>
      <c r="G824" s="24"/>
      <c r="H824" s="24"/>
      <c r="I824" s="24"/>
      <c r="J824" s="24"/>
      <c r="K824" s="24"/>
      <c r="L824" s="24"/>
      <c r="M824" s="24"/>
    </row>
    <row r="825" spans="3:13" ht="15.75" customHeight="1" x14ac:dyDescent="0.3">
      <c r="C825" s="24"/>
      <c r="D825" s="24"/>
      <c r="F825" s="24"/>
      <c r="G825" s="24"/>
      <c r="H825" s="24"/>
      <c r="I825" s="24"/>
      <c r="J825" s="24"/>
      <c r="K825" s="24"/>
      <c r="L825" s="24"/>
      <c r="M825" s="24"/>
    </row>
    <row r="826" spans="3:13" ht="15.75" customHeight="1" x14ac:dyDescent="0.3">
      <c r="C826" s="24"/>
      <c r="D826" s="24"/>
      <c r="F826" s="24"/>
      <c r="G826" s="24"/>
      <c r="H826" s="24"/>
      <c r="I826" s="24"/>
      <c r="J826" s="24"/>
      <c r="K826" s="24"/>
      <c r="L826" s="24"/>
      <c r="M826" s="24"/>
    </row>
    <row r="827" spans="3:13" ht="15.75" customHeight="1" x14ac:dyDescent="0.3">
      <c r="C827" s="24"/>
      <c r="D827" s="24"/>
      <c r="F827" s="24"/>
      <c r="G827" s="24"/>
      <c r="H827" s="24"/>
      <c r="I827" s="24"/>
      <c r="J827" s="24"/>
      <c r="K827" s="24"/>
      <c r="L827" s="24"/>
      <c r="M827" s="24"/>
    </row>
    <row r="828" spans="3:13" ht="15.75" customHeight="1" x14ac:dyDescent="0.3">
      <c r="C828" s="24"/>
      <c r="D828" s="24"/>
      <c r="F828" s="24"/>
      <c r="G828" s="24"/>
      <c r="H828" s="24"/>
      <c r="I828" s="24"/>
      <c r="J828" s="24"/>
      <c r="K828" s="24"/>
      <c r="L828" s="24"/>
      <c r="M828" s="24"/>
    </row>
    <row r="829" spans="3:13" ht="15.75" customHeight="1" x14ac:dyDescent="0.3">
      <c r="C829" s="24"/>
      <c r="D829" s="24"/>
      <c r="F829" s="24"/>
      <c r="G829" s="24"/>
      <c r="H829" s="24"/>
      <c r="I829" s="24"/>
      <c r="J829" s="24"/>
      <c r="K829" s="24"/>
      <c r="L829" s="24"/>
      <c r="M829" s="24"/>
    </row>
    <row r="830" spans="3:13" ht="15.75" customHeight="1" x14ac:dyDescent="0.3">
      <c r="C830" s="24"/>
      <c r="D830" s="24"/>
      <c r="F830" s="24"/>
      <c r="G830" s="24"/>
      <c r="H830" s="24"/>
      <c r="I830" s="24"/>
      <c r="J830" s="24"/>
      <c r="K830" s="24"/>
      <c r="L830" s="24"/>
      <c r="M830" s="24"/>
    </row>
    <row r="831" spans="3:13" ht="15.75" customHeight="1" x14ac:dyDescent="0.3">
      <c r="C831" s="24"/>
      <c r="D831" s="24"/>
      <c r="F831" s="24"/>
      <c r="G831" s="24"/>
      <c r="H831" s="24"/>
      <c r="I831" s="24"/>
      <c r="J831" s="24"/>
      <c r="K831" s="24"/>
      <c r="L831" s="24"/>
      <c r="M831" s="24"/>
    </row>
    <row r="832" spans="3:13" ht="15.75" customHeight="1" x14ac:dyDescent="0.3">
      <c r="C832" s="24"/>
      <c r="D832" s="24"/>
      <c r="F832" s="24"/>
      <c r="G832" s="24"/>
      <c r="H832" s="24"/>
      <c r="I832" s="24"/>
      <c r="J832" s="24"/>
      <c r="K832" s="24"/>
      <c r="L832" s="24"/>
      <c r="M832" s="24"/>
    </row>
    <row r="833" spans="3:13" ht="15.75" customHeight="1" x14ac:dyDescent="0.3">
      <c r="C833" s="24"/>
      <c r="D833" s="24"/>
      <c r="F833" s="24"/>
      <c r="G833" s="24"/>
      <c r="H833" s="24"/>
      <c r="I833" s="24"/>
      <c r="J833" s="24"/>
      <c r="K833" s="24"/>
      <c r="L833" s="24"/>
      <c r="M833" s="24"/>
    </row>
    <row r="834" spans="3:13" ht="15.75" customHeight="1" x14ac:dyDescent="0.3">
      <c r="C834" s="24"/>
      <c r="D834" s="24"/>
      <c r="F834" s="24"/>
      <c r="G834" s="24"/>
      <c r="H834" s="24"/>
      <c r="I834" s="24"/>
      <c r="J834" s="24"/>
      <c r="K834" s="24"/>
      <c r="L834" s="24"/>
      <c r="M834" s="24"/>
    </row>
    <row r="835" spans="3:13" ht="15.75" customHeight="1" x14ac:dyDescent="0.3">
      <c r="C835" s="24"/>
      <c r="D835" s="24"/>
      <c r="F835" s="24"/>
      <c r="G835" s="24"/>
      <c r="H835" s="24"/>
      <c r="I835" s="24"/>
      <c r="J835" s="24"/>
      <c r="K835" s="24"/>
      <c r="L835" s="24"/>
      <c r="M835" s="24"/>
    </row>
    <row r="836" spans="3:13" ht="15.75" customHeight="1" x14ac:dyDescent="0.3">
      <c r="C836" s="24"/>
      <c r="D836" s="24"/>
      <c r="F836" s="24"/>
      <c r="G836" s="24"/>
      <c r="H836" s="24"/>
      <c r="I836" s="24"/>
      <c r="J836" s="24"/>
      <c r="K836" s="24"/>
      <c r="L836" s="24"/>
      <c r="M836" s="24"/>
    </row>
    <row r="837" spans="3:13" ht="15.75" customHeight="1" x14ac:dyDescent="0.3">
      <c r="C837" s="24"/>
      <c r="D837" s="24"/>
      <c r="F837" s="24"/>
      <c r="G837" s="24"/>
      <c r="H837" s="24"/>
      <c r="I837" s="24"/>
      <c r="J837" s="24"/>
      <c r="K837" s="24"/>
      <c r="L837" s="24"/>
      <c r="M837" s="24"/>
    </row>
    <row r="838" spans="3:13" ht="15.75" customHeight="1" x14ac:dyDescent="0.3">
      <c r="C838" s="24"/>
      <c r="D838" s="24"/>
      <c r="F838" s="24"/>
      <c r="G838" s="24"/>
      <c r="H838" s="24"/>
      <c r="I838" s="24"/>
      <c r="J838" s="24"/>
      <c r="K838" s="24"/>
      <c r="L838" s="24"/>
      <c r="M838" s="24"/>
    </row>
    <row r="839" spans="3:13" ht="15.75" customHeight="1" x14ac:dyDescent="0.3">
      <c r="C839" s="24"/>
      <c r="D839" s="24"/>
      <c r="F839" s="24"/>
      <c r="G839" s="24"/>
      <c r="H839" s="24"/>
      <c r="I839" s="24"/>
      <c r="J839" s="24"/>
      <c r="K839" s="24"/>
      <c r="L839" s="24"/>
      <c r="M839" s="24"/>
    </row>
    <row r="840" spans="3:13" ht="15.75" customHeight="1" x14ac:dyDescent="0.3">
      <c r="C840" s="24"/>
      <c r="D840" s="24"/>
      <c r="F840" s="24"/>
      <c r="G840" s="24"/>
      <c r="H840" s="24"/>
      <c r="I840" s="24"/>
      <c r="J840" s="24"/>
      <c r="K840" s="24"/>
      <c r="L840" s="24"/>
      <c r="M840" s="24"/>
    </row>
    <row r="841" spans="3:13" ht="15.75" customHeight="1" x14ac:dyDescent="0.3">
      <c r="C841" s="24"/>
      <c r="D841" s="24"/>
      <c r="F841" s="24"/>
      <c r="G841" s="24"/>
      <c r="H841" s="24"/>
      <c r="I841" s="24"/>
      <c r="J841" s="24"/>
      <c r="K841" s="24"/>
      <c r="L841" s="24"/>
      <c r="M841" s="24"/>
    </row>
    <row r="842" spans="3:13" ht="15.75" customHeight="1" x14ac:dyDescent="0.3">
      <c r="C842" s="24"/>
      <c r="D842" s="24"/>
      <c r="F842" s="24"/>
      <c r="G842" s="24"/>
      <c r="H842" s="24"/>
      <c r="I842" s="24"/>
      <c r="J842" s="24"/>
      <c r="K842" s="24"/>
      <c r="L842" s="24"/>
      <c r="M842" s="24"/>
    </row>
    <row r="843" spans="3:13" ht="15.75" customHeight="1" x14ac:dyDescent="0.3">
      <c r="C843" s="24"/>
      <c r="D843" s="24"/>
      <c r="F843" s="24"/>
      <c r="G843" s="24"/>
      <c r="H843" s="24"/>
      <c r="I843" s="24"/>
      <c r="J843" s="24"/>
      <c r="K843" s="24"/>
      <c r="L843" s="24"/>
      <c r="M843" s="24"/>
    </row>
    <row r="844" spans="3:13" ht="15.75" customHeight="1" x14ac:dyDescent="0.3">
      <c r="C844" s="24"/>
      <c r="D844" s="24"/>
      <c r="F844" s="24"/>
      <c r="G844" s="24"/>
      <c r="H844" s="24"/>
      <c r="I844" s="24"/>
      <c r="J844" s="24"/>
      <c r="K844" s="24"/>
      <c r="L844" s="24"/>
      <c r="M844" s="24"/>
    </row>
    <row r="845" spans="3:13" ht="15.75" customHeight="1" x14ac:dyDescent="0.3">
      <c r="C845" s="24"/>
      <c r="D845" s="24"/>
      <c r="F845" s="24"/>
      <c r="G845" s="24"/>
      <c r="H845" s="24"/>
      <c r="I845" s="24"/>
      <c r="J845" s="24"/>
      <c r="K845" s="24"/>
      <c r="L845" s="24"/>
      <c r="M845" s="24"/>
    </row>
    <row r="846" spans="3:13" ht="15.75" customHeight="1" x14ac:dyDescent="0.3">
      <c r="C846" s="24"/>
      <c r="D846" s="24"/>
      <c r="F846" s="24"/>
      <c r="G846" s="24"/>
      <c r="H846" s="24"/>
      <c r="I846" s="24"/>
      <c r="J846" s="24"/>
      <c r="K846" s="24"/>
      <c r="L846" s="24"/>
      <c r="M846" s="24"/>
    </row>
    <row r="847" spans="3:13" ht="15.75" customHeight="1" x14ac:dyDescent="0.3">
      <c r="C847" s="24"/>
      <c r="D847" s="24"/>
      <c r="F847" s="24"/>
      <c r="G847" s="24"/>
      <c r="H847" s="24"/>
      <c r="I847" s="24"/>
      <c r="J847" s="24"/>
      <c r="K847" s="24"/>
      <c r="L847" s="24"/>
      <c r="M847" s="24"/>
    </row>
    <row r="848" spans="3:13" ht="15.75" customHeight="1" x14ac:dyDescent="0.3">
      <c r="C848" s="24"/>
      <c r="D848" s="24"/>
      <c r="F848" s="24"/>
      <c r="G848" s="24"/>
      <c r="H848" s="24"/>
      <c r="I848" s="24"/>
      <c r="J848" s="24"/>
      <c r="K848" s="24"/>
      <c r="L848" s="24"/>
      <c r="M848" s="24"/>
    </row>
    <row r="849" spans="3:13" ht="15.75" customHeight="1" x14ac:dyDescent="0.3">
      <c r="C849" s="24"/>
      <c r="D849" s="24"/>
      <c r="F849" s="24"/>
      <c r="G849" s="24"/>
      <c r="H849" s="24"/>
      <c r="I849" s="24"/>
      <c r="J849" s="24"/>
      <c r="K849" s="24"/>
      <c r="L849" s="24"/>
      <c r="M849" s="24"/>
    </row>
    <row r="850" spans="3:13" ht="15.75" customHeight="1" x14ac:dyDescent="0.3">
      <c r="C850" s="24"/>
      <c r="D850" s="24"/>
      <c r="F850" s="24"/>
      <c r="G850" s="24"/>
      <c r="H850" s="24"/>
      <c r="I850" s="24"/>
      <c r="J850" s="24"/>
      <c r="K850" s="24"/>
      <c r="L850" s="24"/>
      <c r="M850" s="24"/>
    </row>
    <row r="851" spans="3:13" ht="15.75" customHeight="1" x14ac:dyDescent="0.3">
      <c r="C851" s="24"/>
      <c r="D851" s="24"/>
      <c r="F851" s="24"/>
      <c r="G851" s="24"/>
      <c r="H851" s="24"/>
      <c r="I851" s="24"/>
      <c r="J851" s="24"/>
      <c r="K851" s="24"/>
      <c r="L851" s="24"/>
      <c r="M851" s="24"/>
    </row>
    <row r="852" spans="3:13" ht="15.75" customHeight="1" x14ac:dyDescent="0.3">
      <c r="C852" s="24"/>
      <c r="D852" s="24"/>
      <c r="F852" s="24"/>
      <c r="G852" s="24"/>
      <c r="H852" s="24"/>
      <c r="I852" s="24"/>
      <c r="J852" s="24"/>
      <c r="K852" s="24"/>
      <c r="L852" s="24"/>
      <c r="M852" s="24"/>
    </row>
    <row r="853" spans="3:13" ht="15.75" customHeight="1" x14ac:dyDescent="0.3">
      <c r="C853" s="24"/>
      <c r="D853" s="24"/>
      <c r="F853" s="24"/>
      <c r="G853" s="24"/>
      <c r="H853" s="24"/>
      <c r="I853" s="24"/>
      <c r="J853" s="24"/>
      <c r="K853" s="24"/>
      <c r="L853" s="24"/>
      <c r="M853" s="24"/>
    </row>
    <row r="854" spans="3:13" ht="15.75" customHeight="1" x14ac:dyDescent="0.3">
      <c r="C854" s="24"/>
      <c r="D854" s="24"/>
      <c r="F854" s="24"/>
      <c r="G854" s="24"/>
      <c r="H854" s="24"/>
      <c r="I854" s="24"/>
      <c r="J854" s="24"/>
      <c r="K854" s="24"/>
      <c r="L854" s="24"/>
      <c r="M854" s="24"/>
    </row>
    <row r="855" spans="3:13" ht="15.75" customHeight="1" x14ac:dyDescent="0.3">
      <c r="C855" s="24"/>
      <c r="D855" s="24"/>
      <c r="F855" s="24"/>
      <c r="G855" s="24"/>
      <c r="H855" s="24"/>
      <c r="I855" s="24"/>
      <c r="J855" s="24"/>
      <c r="K855" s="24"/>
      <c r="L855" s="24"/>
      <c r="M855" s="24"/>
    </row>
    <row r="856" spans="3:13" ht="15.75" customHeight="1" x14ac:dyDescent="0.3">
      <c r="C856" s="24"/>
      <c r="D856" s="24"/>
      <c r="F856" s="24"/>
      <c r="G856" s="24"/>
      <c r="H856" s="24"/>
      <c r="I856" s="24"/>
      <c r="J856" s="24"/>
      <c r="K856" s="24"/>
      <c r="L856" s="24"/>
      <c r="M856" s="24"/>
    </row>
    <row r="857" spans="3:13" ht="15.75" customHeight="1" x14ac:dyDescent="0.3">
      <c r="C857" s="24"/>
      <c r="D857" s="24"/>
      <c r="F857" s="24"/>
      <c r="G857" s="24"/>
      <c r="H857" s="24"/>
      <c r="I857" s="24"/>
      <c r="J857" s="24"/>
      <c r="K857" s="24"/>
      <c r="L857" s="24"/>
      <c r="M857" s="24"/>
    </row>
    <row r="858" spans="3:13" ht="15.75" customHeight="1" x14ac:dyDescent="0.3">
      <c r="C858" s="24"/>
      <c r="D858" s="24"/>
      <c r="F858" s="24"/>
      <c r="G858" s="24"/>
      <c r="H858" s="24"/>
      <c r="I858" s="24"/>
      <c r="J858" s="24"/>
      <c r="K858" s="24"/>
      <c r="L858" s="24"/>
      <c r="M858" s="24"/>
    </row>
    <row r="859" spans="3:13" ht="15.75" customHeight="1" x14ac:dyDescent="0.3">
      <c r="C859" s="24"/>
      <c r="D859" s="24"/>
      <c r="F859" s="24"/>
      <c r="G859" s="24"/>
      <c r="H859" s="24"/>
      <c r="I859" s="24"/>
      <c r="J859" s="24"/>
      <c r="K859" s="24"/>
      <c r="L859" s="24"/>
      <c r="M859" s="24"/>
    </row>
    <row r="860" spans="3:13" ht="15.75" customHeight="1" x14ac:dyDescent="0.3">
      <c r="C860" s="24"/>
      <c r="D860" s="24"/>
      <c r="F860" s="24"/>
      <c r="G860" s="24"/>
      <c r="H860" s="24"/>
      <c r="I860" s="24"/>
      <c r="J860" s="24"/>
      <c r="K860" s="24"/>
      <c r="L860" s="24"/>
      <c r="M860" s="24"/>
    </row>
    <row r="861" spans="3:13" ht="15.75" customHeight="1" x14ac:dyDescent="0.3">
      <c r="C861" s="24"/>
      <c r="D861" s="24"/>
      <c r="F861" s="24"/>
      <c r="G861" s="24"/>
      <c r="H861" s="24"/>
      <c r="I861" s="24"/>
      <c r="J861" s="24"/>
      <c r="K861" s="24"/>
      <c r="L861" s="24"/>
      <c r="M861" s="24"/>
    </row>
    <row r="862" spans="3:13" ht="15.75" customHeight="1" x14ac:dyDescent="0.3">
      <c r="C862" s="24"/>
      <c r="D862" s="24"/>
      <c r="F862" s="24"/>
      <c r="G862" s="24"/>
      <c r="H862" s="24"/>
      <c r="I862" s="24"/>
      <c r="J862" s="24"/>
      <c r="K862" s="24"/>
      <c r="L862" s="24"/>
      <c r="M862" s="24"/>
    </row>
    <row r="863" spans="3:13" ht="15.75" customHeight="1" x14ac:dyDescent="0.3">
      <c r="C863" s="24"/>
      <c r="D863" s="24"/>
      <c r="F863" s="24"/>
      <c r="G863" s="24"/>
      <c r="H863" s="24"/>
      <c r="I863" s="24"/>
      <c r="J863" s="24"/>
      <c r="K863" s="24"/>
      <c r="L863" s="24"/>
      <c r="M863" s="24"/>
    </row>
    <row r="864" spans="3:13" ht="15.75" customHeight="1" x14ac:dyDescent="0.3">
      <c r="C864" s="24"/>
      <c r="D864" s="24"/>
      <c r="F864" s="24"/>
      <c r="G864" s="24"/>
      <c r="H864" s="24"/>
      <c r="I864" s="24"/>
      <c r="J864" s="24"/>
      <c r="K864" s="24"/>
      <c r="L864" s="24"/>
      <c r="M864" s="24"/>
    </row>
    <row r="865" spans="3:13" ht="15.75" customHeight="1" x14ac:dyDescent="0.3">
      <c r="C865" s="24"/>
      <c r="D865" s="24"/>
      <c r="F865" s="24"/>
      <c r="G865" s="24"/>
      <c r="H865" s="24"/>
      <c r="I865" s="24"/>
      <c r="J865" s="24"/>
      <c r="K865" s="24"/>
      <c r="L865" s="24"/>
      <c r="M865" s="24"/>
    </row>
    <row r="866" spans="3:13" ht="15.75" customHeight="1" x14ac:dyDescent="0.3">
      <c r="C866" s="24"/>
      <c r="D866" s="24"/>
      <c r="F866" s="24"/>
      <c r="G866" s="24"/>
      <c r="H866" s="24"/>
      <c r="I866" s="24"/>
      <c r="J866" s="24"/>
      <c r="K866" s="24"/>
      <c r="L866" s="24"/>
      <c r="M866" s="24"/>
    </row>
    <row r="867" spans="3:13" ht="15.75" customHeight="1" x14ac:dyDescent="0.3">
      <c r="C867" s="24"/>
      <c r="D867" s="24"/>
      <c r="F867" s="24"/>
      <c r="G867" s="24"/>
      <c r="H867" s="24"/>
      <c r="I867" s="24"/>
      <c r="J867" s="24"/>
      <c r="K867" s="24"/>
      <c r="L867" s="24"/>
      <c r="M867" s="24"/>
    </row>
    <row r="868" spans="3:13" ht="15.75" customHeight="1" x14ac:dyDescent="0.3">
      <c r="C868" s="24"/>
      <c r="D868" s="24"/>
      <c r="F868" s="24"/>
      <c r="G868" s="24"/>
      <c r="H868" s="24"/>
      <c r="I868" s="24"/>
      <c r="J868" s="24"/>
      <c r="K868" s="24"/>
      <c r="L868" s="24"/>
      <c r="M868" s="24"/>
    </row>
    <row r="869" spans="3:13" ht="15.75" customHeight="1" x14ac:dyDescent="0.3">
      <c r="C869" s="24"/>
      <c r="D869" s="24"/>
      <c r="F869" s="24"/>
      <c r="G869" s="24"/>
      <c r="H869" s="24"/>
      <c r="I869" s="24"/>
      <c r="J869" s="24"/>
      <c r="K869" s="24"/>
      <c r="L869" s="24"/>
      <c r="M869" s="24"/>
    </row>
    <row r="870" spans="3:13" ht="15.75" customHeight="1" x14ac:dyDescent="0.3">
      <c r="C870" s="24"/>
      <c r="D870" s="24"/>
      <c r="F870" s="24"/>
      <c r="G870" s="24"/>
      <c r="H870" s="24"/>
      <c r="I870" s="24"/>
      <c r="J870" s="24"/>
      <c r="K870" s="24"/>
      <c r="L870" s="24"/>
      <c r="M870" s="24"/>
    </row>
    <row r="871" spans="3:13" ht="15.75" customHeight="1" x14ac:dyDescent="0.3">
      <c r="C871" s="24"/>
      <c r="D871" s="24"/>
      <c r="F871" s="24"/>
      <c r="G871" s="24"/>
      <c r="H871" s="24"/>
      <c r="I871" s="24"/>
      <c r="J871" s="24"/>
      <c r="K871" s="24"/>
      <c r="L871" s="24"/>
      <c r="M871" s="24"/>
    </row>
    <row r="872" spans="3:13" ht="15.75" customHeight="1" x14ac:dyDescent="0.3">
      <c r="C872" s="24"/>
      <c r="D872" s="24"/>
      <c r="F872" s="24"/>
      <c r="G872" s="24"/>
      <c r="H872" s="24"/>
      <c r="I872" s="24"/>
      <c r="J872" s="24"/>
      <c r="K872" s="24"/>
      <c r="L872" s="24"/>
      <c r="M872" s="24"/>
    </row>
    <row r="873" spans="3:13" ht="15.75" customHeight="1" x14ac:dyDescent="0.3">
      <c r="C873" s="24"/>
      <c r="D873" s="24"/>
      <c r="F873" s="24"/>
      <c r="G873" s="24"/>
      <c r="H873" s="24"/>
      <c r="I873" s="24"/>
      <c r="J873" s="24"/>
      <c r="K873" s="24"/>
      <c r="L873" s="24"/>
      <c r="M873" s="24"/>
    </row>
    <row r="874" spans="3:13" ht="15.75" customHeight="1" x14ac:dyDescent="0.3">
      <c r="C874" s="24"/>
      <c r="D874" s="24"/>
      <c r="F874" s="24"/>
      <c r="G874" s="24"/>
      <c r="H874" s="24"/>
      <c r="I874" s="24"/>
      <c r="J874" s="24"/>
      <c r="K874" s="24"/>
      <c r="L874" s="24"/>
      <c r="M874" s="24"/>
    </row>
    <row r="875" spans="3:13" ht="15.75" customHeight="1" x14ac:dyDescent="0.3">
      <c r="C875" s="24"/>
      <c r="D875" s="24"/>
      <c r="F875" s="24"/>
      <c r="G875" s="24"/>
      <c r="H875" s="24"/>
      <c r="I875" s="24"/>
      <c r="J875" s="24"/>
      <c r="K875" s="24"/>
      <c r="L875" s="24"/>
      <c r="M875" s="24"/>
    </row>
    <row r="876" spans="3:13" ht="15.75" customHeight="1" x14ac:dyDescent="0.3">
      <c r="C876" s="24"/>
      <c r="D876" s="24"/>
      <c r="F876" s="24"/>
      <c r="G876" s="24"/>
      <c r="H876" s="24"/>
      <c r="I876" s="24"/>
      <c r="J876" s="24"/>
      <c r="K876" s="24"/>
      <c r="L876" s="24"/>
      <c r="M876" s="24"/>
    </row>
    <row r="877" spans="3:13" ht="15.75" customHeight="1" x14ac:dyDescent="0.3">
      <c r="C877" s="24"/>
      <c r="D877" s="24"/>
      <c r="F877" s="24"/>
      <c r="G877" s="24"/>
      <c r="H877" s="24"/>
      <c r="I877" s="24"/>
      <c r="J877" s="24"/>
      <c r="K877" s="24"/>
      <c r="L877" s="24"/>
      <c r="M877" s="24"/>
    </row>
    <row r="878" spans="3:13" ht="15.75" customHeight="1" x14ac:dyDescent="0.3">
      <c r="C878" s="24"/>
      <c r="D878" s="24"/>
      <c r="F878" s="24"/>
      <c r="G878" s="24"/>
      <c r="H878" s="24"/>
      <c r="I878" s="24"/>
      <c r="J878" s="24"/>
      <c r="K878" s="24"/>
      <c r="L878" s="24"/>
      <c r="M878" s="24"/>
    </row>
    <row r="879" spans="3:13" ht="15.75" customHeight="1" x14ac:dyDescent="0.3">
      <c r="C879" s="24"/>
      <c r="D879" s="24"/>
      <c r="F879" s="24"/>
      <c r="G879" s="24"/>
      <c r="H879" s="24"/>
      <c r="I879" s="24"/>
      <c r="J879" s="24"/>
      <c r="K879" s="24"/>
      <c r="L879" s="24"/>
      <c r="M879" s="24"/>
    </row>
    <row r="880" spans="3:13" ht="15.75" customHeight="1" x14ac:dyDescent="0.3">
      <c r="C880" s="24"/>
      <c r="D880" s="24"/>
      <c r="F880" s="24"/>
      <c r="G880" s="24"/>
      <c r="H880" s="24"/>
      <c r="I880" s="24"/>
      <c r="J880" s="24"/>
      <c r="K880" s="24"/>
      <c r="L880" s="24"/>
      <c r="M880" s="24"/>
    </row>
    <row r="881" spans="3:13" ht="15.75" customHeight="1" x14ac:dyDescent="0.3">
      <c r="C881" s="24"/>
      <c r="D881" s="24"/>
      <c r="F881" s="24"/>
      <c r="G881" s="24"/>
      <c r="H881" s="24"/>
      <c r="I881" s="24"/>
      <c r="J881" s="24"/>
      <c r="K881" s="24"/>
      <c r="L881" s="24"/>
      <c r="M881" s="24"/>
    </row>
    <row r="882" spans="3:13" ht="15.75" customHeight="1" x14ac:dyDescent="0.3">
      <c r="C882" s="24"/>
      <c r="D882" s="24"/>
      <c r="F882" s="24"/>
      <c r="G882" s="24"/>
      <c r="H882" s="24"/>
      <c r="I882" s="24"/>
      <c r="J882" s="24"/>
      <c r="K882" s="24"/>
      <c r="L882" s="24"/>
      <c r="M882" s="24"/>
    </row>
    <row r="883" spans="3:13" ht="15.75" customHeight="1" x14ac:dyDescent="0.3">
      <c r="C883" s="24"/>
      <c r="D883" s="24"/>
      <c r="F883" s="24"/>
      <c r="G883" s="24"/>
      <c r="H883" s="24"/>
      <c r="I883" s="24"/>
      <c r="J883" s="24"/>
      <c r="K883" s="24"/>
      <c r="L883" s="24"/>
      <c r="M883" s="24"/>
    </row>
    <row r="884" spans="3:13" ht="15.75" customHeight="1" x14ac:dyDescent="0.3">
      <c r="C884" s="24"/>
      <c r="D884" s="24"/>
      <c r="F884" s="24"/>
      <c r="G884" s="24"/>
      <c r="H884" s="24"/>
      <c r="I884" s="24"/>
      <c r="J884" s="24"/>
      <c r="K884" s="24"/>
      <c r="L884" s="24"/>
      <c r="M884" s="24"/>
    </row>
    <row r="885" spans="3:13" ht="15.75" customHeight="1" x14ac:dyDescent="0.3">
      <c r="C885" s="24"/>
      <c r="D885" s="24"/>
      <c r="F885" s="24"/>
      <c r="G885" s="24"/>
      <c r="H885" s="24"/>
      <c r="I885" s="24"/>
      <c r="J885" s="24"/>
      <c r="K885" s="24"/>
      <c r="L885" s="24"/>
      <c r="M885" s="24"/>
    </row>
    <row r="886" spans="3:13" ht="15.75" customHeight="1" x14ac:dyDescent="0.3">
      <c r="C886" s="24"/>
      <c r="D886" s="24"/>
      <c r="F886" s="24"/>
      <c r="G886" s="24"/>
      <c r="H886" s="24"/>
      <c r="I886" s="24"/>
      <c r="J886" s="24"/>
      <c r="K886" s="24"/>
      <c r="L886" s="24"/>
      <c r="M886" s="24"/>
    </row>
    <row r="887" spans="3:13" ht="15.75" customHeight="1" x14ac:dyDescent="0.3">
      <c r="C887" s="24"/>
      <c r="D887" s="24"/>
      <c r="F887" s="24"/>
      <c r="G887" s="24"/>
      <c r="H887" s="24"/>
      <c r="I887" s="24"/>
      <c r="J887" s="24"/>
      <c r="K887" s="24"/>
      <c r="L887" s="24"/>
      <c r="M887" s="24"/>
    </row>
    <row r="888" spans="3:13" ht="15.75" customHeight="1" x14ac:dyDescent="0.3">
      <c r="C888" s="24"/>
      <c r="D888" s="24"/>
      <c r="F888" s="24"/>
      <c r="G888" s="24"/>
      <c r="H888" s="24"/>
      <c r="I888" s="24"/>
      <c r="J888" s="24"/>
      <c r="K888" s="24"/>
      <c r="L888" s="24"/>
      <c r="M888" s="24"/>
    </row>
    <row r="889" spans="3:13" ht="15.75" customHeight="1" x14ac:dyDescent="0.3">
      <c r="C889" s="24"/>
      <c r="D889" s="24"/>
      <c r="F889" s="24"/>
      <c r="G889" s="24"/>
      <c r="H889" s="24"/>
      <c r="I889" s="24"/>
      <c r="J889" s="24"/>
      <c r="K889" s="24"/>
      <c r="L889" s="24"/>
      <c r="M889" s="24"/>
    </row>
    <row r="890" spans="3:13" ht="15.75" customHeight="1" x14ac:dyDescent="0.3">
      <c r="C890" s="24"/>
      <c r="D890" s="24"/>
      <c r="F890" s="24"/>
      <c r="G890" s="24"/>
      <c r="H890" s="24"/>
      <c r="I890" s="24"/>
      <c r="J890" s="24"/>
      <c r="K890" s="24"/>
      <c r="L890" s="24"/>
      <c r="M890" s="24"/>
    </row>
    <row r="891" spans="3:13" ht="15.75" customHeight="1" x14ac:dyDescent="0.3">
      <c r="C891" s="24"/>
      <c r="D891" s="24"/>
      <c r="F891" s="24"/>
      <c r="G891" s="24"/>
      <c r="H891" s="24"/>
      <c r="I891" s="24"/>
      <c r="J891" s="24"/>
      <c r="K891" s="24"/>
      <c r="L891" s="24"/>
      <c r="M891" s="24"/>
    </row>
    <row r="892" spans="3:13" ht="15.75" customHeight="1" x14ac:dyDescent="0.3">
      <c r="C892" s="24"/>
      <c r="D892" s="24"/>
      <c r="F892" s="24"/>
      <c r="G892" s="24"/>
      <c r="H892" s="24"/>
      <c r="I892" s="24"/>
      <c r="J892" s="24"/>
      <c r="K892" s="24"/>
      <c r="L892" s="24"/>
      <c r="M892" s="24"/>
    </row>
    <row r="893" spans="3:13" ht="15.75" customHeight="1" x14ac:dyDescent="0.3">
      <c r="C893" s="24"/>
      <c r="D893" s="24"/>
      <c r="F893" s="24"/>
      <c r="G893" s="24"/>
      <c r="H893" s="24"/>
      <c r="I893" s="24"/>
      <c r="J893" s="24"/>
      <c r="K893" s="24"/>
      <c r="L893" s="24"/>
      <c r="M893" s="24"/>
    </row>
    <row r="894" spans="3:13" ht="15.75" customHeight="1" x14ac:dyDescent="0.3">
      <c r="C894" s="24"/>
      <c r="D894" s="24"/>
      <c r="F894" s="24"/>
      <c r="G894" s="24"/>
      <c r="H894" s="24"/>
      <c r="I894" s="24"/>
      <c r="J894" s="24"/>
      <c r="K894" s="24"/>
      <c r="L894" s="24"/>
      <c r="M894" s="24"/>
    </row>
    <row r="895" spans="3:13" ht="15.75" customHeight="1" x14ac:dyDescent="0.3">
      <c r="C895" s="24"/>
      <c r="D895" s="24"/>
      <c r="F895" s="24"/>
      <c r="G895" s="24"/>
      <c r="H895" s="24"/>
      <c r="I895" s="24"/>
      <c r="J895" s="24"/>
      <c r="K895" s="24"/>
      <c r="L895" s="24"/>
      <c r="M895" s="24"/>
    </row>
    <row r="896" spans="3:13" ht="15.75" customHeight="1" x14ac:dyDescent="0.3">
      <c r="C896" s="24"/>
      <c r="D896" s="24"/>
      <c r="F896" s="24"/>
      <c r="G896" s="24"/>
      <c r="H896" s="24"/>
      <c r="I896" s="24"/>
      <c r="J896" s="24"/>
      <c r="K896" s="24"/>
      <c r="L896" s="24"/>
      <c r="M896" s="24"/>
    </row>
    <row r="897" spans="3:13" ht="15.75" customHeight="1" x14ac:dyDescent="0.3">
      <c r="C897" s="24"/>
      <c r="D897" s="24"/>
      <c r="F897" s="24"/>
      <c r="G897" s="24"/>
      <c r="H897" s="24"/>
      <c r="I897" s="24"/>
      <c r="J897" s="24"/>
      <c r="K897" s="24"/>
      <c r="L897" s="24"/>
      <c r="M897" s="24"/>
    </row>
    <row r="898" spans="3:13" ht="15.75" customHeight="1" x14ac:dyDescent="0.3">
      <c r="C898" s="24"/>
      <c r="D898" s="24"/>
      <c r="F898" s="24"/>
      <c r="G898" s="24"/>
      <c r="H898" s="24"/>
      <c r="I898" s="24"/>
      <c r="J898" s="24"/>
      <c r="K898" s="24"/>
      <c r="L898" s="24"/>
      <c r="M898" s="24"/>
    </row>
    <row r="899" spans="3:13" ht="15.75" customHeight="1" x14ac:dyDescent="0.3">
      <c r="C899" s="24"/>
      <c r="D899" s="24"/>
      <c r="F899" s="24"/>
      <c r="G899" s="24"/>
      <c r="H899" s="24"/>
      <c r="I899" s="24"/>
      <c r="J899" s="24"/>
      <c r="K899" s="24"/>
      <c r="L899" s="24"/>
      <c r="M899" s="24"/>
    </row>
    <row r="900" spans="3:13" ht="15.75" customHeight="1" x14ac:dyDescent="0.3">
      <c r="C900" s="24"/>
      <c r="D900" s="24"/>
      <c r="F900" s="24"/>
      <c r="G900" s="24"/>
      <c r="H900" s="24"/>
      <c r="I900" s="24"/>
      <c r="J900" s="24"/>
      <c r="K900" s="24"/>
      <c r="L900" s="24"/>
      <c r="M900" s="24"/>
    </row>
    <row r="901" spans="3:13" ht="15.75" customHeight="1" x14ac:dyDescent="0.3">
      <c r="C901" s="24"/>
      <c r="D901" s="24"/>
      <c r="F901" s="24"/>
      <c r="G901" s="24"/>
      <c r="H901" s="24"/>
      <c r="I901" s="24"/>
      <c r="J901" s="24"/>
      <c r="K901" s="24"/>
      <c r="L901" s="24"/>
      <c r="M901" s="24"/>
    </row>
    <row r="902" spans="3:13" ht="15.75" customHeight="1" x14ac:dyDescent="0.3">
      <c r="C902" s="24"/>
      <c r="D902" s="24"/>
      <c r="F902" s="24"/>
      <c r="G902" s="24"/>
      <c r="H902" s="24"/>
      <c r="I902" s="24"/>
      <c r="J902" s="24"/>
      <c r="K902" s="24"/>
      <c r="L902" s="24"/>
      <c r="M902" s="24"/>
    </row>
    <row r="903" spans="3:13" ht="15.75" customHeight="1" x14ac:dyDescent="0.3">
      <c r="C903" s="24"/>
      <c r="D903" s="24"/>
      <c r="F903" s="24"/>
      <c r="G903" s="24"/>
      <c r="H903" s="24"/>
      <c r="I903" s="24"/>
      <c r="J903" s="24"/>
      <c r="K903" s="24"/>
      <c r="L903" s="24"/>
      <c r="M903" s="24"/>
    </row>
    <row r="904" spans="3:13" ht="15.75" customHeight="1" x14ac:dyDescent="0.3">
      <c r="C904" s="24"/>
      <c r="D904" s="24"/>
      <c r="F904" s="24"/>
      <c r="G904" s="24"/>
      <c r="H904" s="24"/>
      <c r="I904" s="24"/>
      <c r="J904" s="24"/>
      <c r="K904" s="24"/>
      <c r="L904" s="24"/>
      <c r="M904" s="24"/>
    </row>
    <row r="905" spans="3:13" ht="15.75" customHeight="1" x14ac:dyDescent="0.3">
      <c r="C905" s="24"/>
      <c r="D905" s="24"/>
      <c r="F905" s="24"/>
      <c r="G905" s="24"/>
      <c r="H905" s="24"/>
      <c r="I905" s="24"/>
      <c r="J905" s="24"/>
      <c r="K905" s="24"/>
      <c r="L905" s="24"/>
      <c r="M905" s="24"/>
    </row>
    <row r="906" spans="3:13" ht="15.75" customHeight="1" x14ac:dyDescent="0.3">
      <c r="C906" s="24"/>
      <c r="D906" s="24"/>
      <c r="F906" s="24"/>
      <c r="G906" s="24"/>
      <c r="H906" s="24"/>
      <c r="I906" s="24"/>
      <c r="J906" s="24"/>
      <c r="K906" s="24"/>
      <c r="L906" s="24"/>
      <c r="M906" s="24"/>
    </row>
    <row r="907" spans="3:13" ht="15.75" customHeight="1" x14ac:dyDescent="0.3">
      <c r="C907" s="24"/>
      <c r="D907" s="24"/>
      <c r="F907" s="24"/>
      <c r="G907" s="24"/>
      <c r="H907" s="24"/>
      <c r="I907" s="24"/>
      <c r="J907" s="24"/>
      <c r="K907" s="24"/>
      <c r="L907" s="24"/>
      <c r="M907" s="24"/>
    </row>
    <row r="908" spans="3:13" ht="15.75" customHeight="1" x14ac:dyDescent="0.3">
      <c r="C908" s="24"/>
      <c r="D908" s="24"/>
      <c r="F908" s="24"/>
      <c r="G908" s="24"/>
      <c r="H908" s="24"/>
      <c r="I908" s="24"/>
      <c r="J908" s="24"/>
      <c r="K908" s="24"/>
      <c r="L908" s="24"/>
      <c r="M908" s="24"/>
    </row>
    <row r="909" spans="3:13" ht="15.75" customHeight="1" x14ac:dyDescent="0.3">
      <c r="C909" s="24"/>
      <c r="D909" s="24"/>
      <c r="F909" s="24"/>
      <c r="G909" s="24"/>
      <c r="H909" s="24"/>
      <c r="I909" s="24"/>
      <c r="J909" s="24"/>
      <c r="K909" s="24"/>
      <c r="L909" s="24"/>
      <c r="M909" s="24"/>
    </row>
    <row r="910" spans="3:13" ht="15.75" customHeight="1" x14ac:dyDescent="0.3">
      <c r="C910" s="24"/>
      <c r="D910" s="24"/>
      <c r="F910" s="24"/>
      <c r="G910" s="24"/>
      <c r="H910" s="24"/>
      <c r="I910" s="24"/>
      <c r="J910" s="24"/>
      <c r="K910" s="24"/>
      <c r="L910" s="24"/>
      <c r="M910" s="24"/>
    </row>
    <row r="911" spans="3:13" ht="15.75" customHeight="1" x14ac:dyDescent="0.3">
      <c r="C911" s="24"/>
      <c r="D911" s="24"/>
      <c r="F911" s="24"/>
      <c r="G911" s="24"/>
      <c r="H911" s="24"/>
      <c r="I911" s="24"/>
      <c r="J911" s="24"/>
      <c r="K911" s="24"/>
      <c r="L911" s="24"/>
      <c r="M911" s="24"/>
    </row>
    <row r="912" spans="3:13" ht="15.75" customHeight="1" x14ac:dyDescent="0.3">
      <c r="C912" s="24"/>
      <c r="D912" s="24"/>
      <c r="F912" s="24"/>
      <c r="G912" s="24"/>
      <c r="H912" s="24"/>
      <c r="I912" s="24"/>
      <c r="J912" s="24"/>
      <c r="K912" s="24"/>
      <c r="L912" s="24"/>
      <c r="M912" s="24"/>
    </row>
    <row r="913" spans="3:13" ht="15.75" customHeight="1" x14ac:dyDescent="0.3">
      <c r="C913" s="24"/>
      <c r="D913" s="24"/>
      <c r="F913" s="24"/>
      <c r="G913" s="24"/>
      <c r="H913" s="24"/>
      <c r="I913" s="24"/>
      <c r="J913" s="24"/>
      <c r="K913" s="24"/>
      <c r="L913" s="24"/>
      <c r="M913" s="24"/>
    </row>
    <row r="914" spans="3:13" ht="15.75" customHeight="1" x14ac:dyDescent="0.3">
      <c r="C914" s="24"/>
      <c r="D914" s="24"/>
      <c r="F914" s="24"/>
      <c r="G914" s="24"/>
      <c r="H914" s="24"/>
      <c r="I914" s="24"/>
      <c r="J914" s="24"/>
      <c r="K914" s="24"/>
      <c r="L914" s="24"/>
      <c r="M914" s="24"/>
    </row>
    <row r="915" spans="3:13" ht="15.75" customHeight="1" x14ac:dyDescent="0.3">
      <c r="C915" s="24"/>
      <c r="D915" s="24"/>
      <c r="F915" s="24"/>
      <c r="G915" s="24"/>
      <c r="H915" s="24"/>
      <c r="I915" s="24"/>
      <c r="J915" s="24"/>
      <c r="K915" s="24"/>
      <c r="L915" s="24"/>
      <c r="M915" s="24"/>
    </row>
    <row r="916" spans="3:13" ht="15.75" customHeight="1" x14ac:dyDescent="0.3">
      <c r="C916" s="24"/>
      <c r="D916" s="24"/>
      <c r="F916" s="24"/>
      <c r="G916" s="24"/>
      <c r="H916" s="24"/>
      <c r="I916" s="24"/>
      <c r="J916" s="24"/>
      <c r="K916" s="24"/>
      <c r="L916" s="24"/>
      <c r="M916" s="24"/>
    </row>
    <row r="917" spans="3:13" ht="15.75" customHeight="1" x14ac:dyDescent="0.3">
      <c r="C917" s="24"/>
      <c r="D917" s="24"/>
      <c r="F917" s="24"/>
      <c r="G917" s="24"/>
      <c r="H917" s="24"/>
      <c r="I917" s="24"/>
      <c r="J917" s="24"/>
      <c r="K917" s="24"/>
      <c r="L917" s="24"/>
      <c r="M917" s="24"/>
    </row>
    <row r="918" spans="3:13" ht="15.75" customHeight="1" x14ac:dyDescent="0.3">
      <c r="C918" s="24"/>
      <c r="D918" s="24"/>
      <c r="F918" s="24"/>
      <c r="G918" s="24"/>
      <c r="H918" s="24"/>
      <c r="I918" s="24"/>
      <c r="J918" s="24"/>
      <c r="K918" s="24"/>
      <c r="L918" s="24"/>
      <c r="M918" s="24"/>
    </row>
    <row r="919" spans="3:13" ht="15.75" customHeight="1" x14ac:dyDescent="0.3">
      <c r="C919" s="24"/>
      <c r="D919" s="24"/>
      <c r="F919" s="24"/>
      <c r="G919" s="24"/>
      <c r="H919" s="24"/>
      <c r="I919" s="24"/>
      <c r="J919" s="24"/>
      <c r="K919" s="24"/>
      <c r="L919" s="24"/>
      <c r="M919" s="24"/>
    </row>
    <row r="920" spans="3:13" ht="15.75" customHeight="1" x14ac:dyDescent="0.3">
      <c r="C920" s="24"/>
      <c r="D920" s="24"/>
      <c r="F920" s="24"/>
      <c r="G920" s="24"/>
      <c r="H920" s="24"/>
      <c r="I920" s="24"/>
      <c r="J920" s="24"/>
      <c r="K920" s="24"/>
      <c r="L920" s="24"/>
      <c r="M920" s="24"/>
    </row>
    <row r="921" spans="3:13" ht="15.75" customHeight="1" x14ac:dyDescent="0.3">
      <c r="C921" s="24"/>
      <c r="D921" s="24"/>
      <c r="F921" s="24"/>
      <c r="G921" s="24"/>
      <c r="H921" s="24"/>
      <c r="I921" s="24"/>
      <c r="J921" s="24"/>
      <c r="K921" s="24"/>
      <c r="L921" s="24"/>
      <c r="M921" s="24"/>
    </row>
    <row r="922" spans="3:13" ht="15.75" customHeight="1" x14ac:dyDescent="0.3">
      <c r="C922" s="24"/>
      <c r="D922" s="24"/>
      <c r="F922" s="24"/>
      <c r="G922" s="24"/>
      <c r="H922" s="24"/>
      <c r="I922" s="24"/>
      <c r="J922" s="24"/>
      <c r="K922" s="24"/>
      <c r="L922" s="24"/>
      <c r="M922" s="24"/>
    </row>
    <row r="923" spans="3:13" ht="15.75" customHeight="1" x14ac:dyDescent="0.3">
      <c r="C923" s="24"/>
      <c r="D923" s="24"/>
      <c r="F923" s="24"/>
      <c r="G923" s="24"/>
      <c r="H923" s="24"/>
      <c r="I923" s="24"/>
      <c r="J923" s="24"/>
      <c r="K923" s="24"/>
      <c r="L923" s="24"/>
      <c r="M923" s="24"/>
    </row>
    <row r="924" spans="3:13" ht="15.75" customHeight="1" x14ac:dyDescent="0.3">
      <c r="C924" s="24"/>
      <c r="D924" s="24"/>
      <c r="F924" s="24"/>
      <c r="G924" s="24"/>
      <c r="H924" s="24"/>
      <c r="I924" s="24"/>
      <c r="J924" s="24"/>
      <c r="K924" s="24"/>
      <c r="L924" s="24"/>
      <c r="M924" s="24"/>
    </row>
    <row r="925" spans="3:13" ht="15.75" customHeight="1" x14ac:dyDescent="0.3">
      <c r="C925" s="24"/>
      <c r="D925" s="24"/>
      <c r="F925" s="24"/>
      <c r="G925" s="24"/>
      <c r="H925" s="24"/>
      <c r="I925" s="24"/>
      <c r="J925" s="24"/>
      <c r="K925" s="24"/>
      <c r="L925" s="24"/>
      <c r="M925" s="24"/>
    </row>
    <row r="926" spans="3:13" ht="15.75" customHeight="1" x14ac:dyDescent="0.3">
      <c r="C926" s="24"/>
      <c r="D926" s="24"/>
      <c r="F926" s="24"/>
      <c r="G926" s="24"/>
      <c r="H926" s="24"/>
      <c r="I926" s="24"/>
      <c r="J926" s="24"/>
      <c r="K926" s="24"/>
      <c r="L926" s="24"/>
      <c r="M926" s="24"/>
    </row>
    <row r="927" spans="3:13" ht="15.75" customHeight="1" x14ac:dyDescent="0.3">
      <c r="C927" s="24"/>
      <c r="D927" s="24"/>
      <c r="F927" s="24"/>
      <c r="G927" s="24"/>
      <c r="H927" s="24"/>
      <c r="I927" s="24"/>
      <c r="J927" s="24"/>
      <c r="K927" s="24"/>
      <c r="L927" s="24"/>
      <c r="M927" s="24"/>
    </row>
    <row r="928" spans="3:13" ht="15.75" customHeight="1" x14ac:dyDescent="0.3">
      <c r="C928" s="24"/>
      <c r="D928" s="24"/>
      <c r="F928" s="24"/>
      <c r="G928" s="24"/>
      <c r="H928" s="24"/>
      <c r="I928" s="24"/>
      <c r="J928" s="24"/>
      <c r="K928" s="24"/>
      <c r="L928" s="24"/>
      <c r="M928" s="24"/>
    </row>
    <row r="929" spans="3:13" ht="15.75" customHeight="1" x14ac:dyDescent="0.3">
      <c r="C929" s="24"/>
      <c r="D929" s="24"/>
      <c r="F929" s="24"/>
      <c r="G929" s="24"/>
      <c r="H929" s="24"/>
      <c r="I929" s="24"/>
      <c r="J929" s="24"/>
      <c r="K929" s="24"/>
      <c r="L929" s="24"/>
      <c r="M929" s="24"/>
    </row>
    <row r="930" spans="3:13" ht="15.75" customHeight="1" x14ac:dyDescent="0.3">
      <c r="C930" s="24"/>
      <c r="D930" s="24"/>
      <c r="F930" s="24"/>
      <c r="G930" s="24"/>
      <c r="H930" s="24"/>
      <c r="I930" s="24"/>
      <c r="J930" s="24"/>
      <c r="K930" s="24"/>
      <c r="L930" s="24"/>
      <c r="M930" s="24"/>
    </row>
    <row r="931" spans="3:13" ht="15.75" customHeight="1" x14ac:dyDescent="0.3">
      <c r="C931" s="24"/>
      <c r="D931" s="24"/>
      <c r="F931" s="24"/>
      <c r="G931" s="24"/>
      <c r="H931" s="24"/>
      <c r="I931" s="24"/>
      <c r="J931" s="24"/>
      <c r="K931" s="24"/>
      <c r="L931" s="24"/>
      <c r="M931" s="24"/>
    </row>
    <row r="932" spans="3:13" ht="15.75" customHeight="1" x14ac:dyDescent="0.3">
      <c r="C932" s="24"/>
      <c r="D932" s="24"/>
      <c r="F932" s="24"/>
      <c r="G932" s="24"/>
      <c r="H932" s="24"/>
      <c r="I932" s="24"/>
      <c r="J932" s="24"/>
      <c r="K932" s="24"/>
      <c r="L932" s="24"/>
      <c r="M932" s="24"/>
    </row>
    <row r="933" spans="3:13" ht="15.75" customHeight="1" x14ac:dyDescent="0.3">
      <c r="C933" s="24"/>
      <c r="D933" s="24"/>
      <c r="F933" s="24"/>
      <c r="G933" s="24"/>
      <c r="H933" s="24"/>
      <c r="I933" s="24"/>
      <c r="J933" s="24"/>
      <c r="K933" s="24"/>
      <c r="L933" s="24"/>
      <c r="M933" s="24"/>
    </row>
    <row r="934" spans="3:13" ht="15.75" customHeight="1" x14ac:dyDescent="0.3">
      <c r="C934" s="24"/>
      <c r="D934" s="24"/>
      <c r="F934" s="24"/>
      <c r="G934" s="24"/>
      <c r="H934" s="24"/>
      <c r="I934" s="24"/>
      <c r="J934" s="24"/>
      <c r="K934" s="24"/>
      <c r="L934" s="24"/>
      <c r="M934" s="24"/>
    </row>
    <row r="935" spans="3:13" ht="15.75" customHeight="1" x14ac:dyDescent="0.3">
      <c r="C935" s="24"/>
      <c r="D935" s="24"/>
      <c r="F935" s="24"/>
      <c r="G935" s="24"/>
      <c r="H935" s="24"/>
      <c r="I935" s="24"/>
      <c r="J935" s="24"/>
      <c r="K935" s="24"/>
      <c r="L935" s="24"/>
      <c r="M935" s="24"/>
    </row>
    <row r="936" spans="3:13" ht="15.75" customHeight="1" x14ac:dyDescent="0.3">
      <c r="C936" s="24"/>
      <c r="D936" s="24"/>
      <c r="F936" s="24"/>
      <c r="G936" s="24"/>
      <c r="H936" s="24"/>
      <c r="I936" s="24"/>
      <c r="J936" s="24"/>
      <c r="K936" s="24"/>
      <c r="L936" s="24"/>
      <c r="M936" s="24"/>
    </row>
    <row r="937" spans="3:13" ht="15.75" customHeight="1" x14ac:dyDescent="0.3">
      <c r="C937" s="24"/>
      <c r="D937" s="24"/>
      <c r="F937" s="24"/>
      <c r="G937" s="24"/>
      <c r="H937" s="24"/>
      <c r="I937" s="24"/>
      <c r="J937" s="24"/>
      <c r="K937" s="24"/>
      <c r="L937" s="24"/>
      <c r="M937" s="24"/>
    </row>
    <row r="938" spans="3:13" ht="15.75" customHeight="1" x14ac:dyDescent="0.3">
      <c r="C938" s="24"/>
      <c r="D938" s="24"/>
      <c r="F938" s="24"/>
      <c r="G938" s="24"/>
      <c r="H938" s="24"/>
      <c r="I938" s="24"/>
      <c r="J938" s="24"/>
      <c r="K938" s="24"/>
      <c r="L938" s="24"/>
      <c r="M938" s="24"/>
    </row>
    <row r="939" spans="3:13" ht="15.75" customHeight="1" x14ac:dyDescent="0.3">
      <c r="C939" s="24"/>
      <c r="D939" s="24"/>
      <c r="F939" s="24"/>
      <c r="G939" s="24"/>
      <c r="H939" s="24"/>
      <c r="I939" s="24"/>
      <c r="J939" s="24"/>
      <c r="K939" s="24"/>
      <c r="L939" s="24"/>
      <c r="M939" s="24"/>
    </row>
    <row r="940" spans="3:13" ht="15.75" customHeight="1" x14ac:dyDescent="0.3">
      <c r="C940" s="24"/>
      <c r="D940" s="24"/>
      <c r="F940" s="24"/>
      <c r="G940" s="24"/>
      <c r="H940" s="24"/>
      <c r="I940" s="24"/>
      <c r="J940" s="24"/>
      <c r="K940" s="24"/>
      <c r="L940" s="24"/>
      <c r="M940" s="24"/>
    </row>
    <row r="941" spans="3:13" ht="15.75" customHeight="1" x14ac:dyDescent="0.3">
      <c r="C941" s="24"/>
      <c r="D941" s="24"/>
      <c r="F941" s="24"/>
      <c r="G941" s="24"/>
      <c r="H941" s="24"/>
      <c r="I941" s="24"/>
      <c r="J941" s="24"/>
      <c r="K941" s="24"/>
      <c r="L941" s="24"/>
      <c r="M941" s="24"/>
    </row>
    <row r="942" spans="3:13" ht="15.75" customHeight="1" x14ac:dyDescent="0.3">
      <c r="C942" s="24"/>
      <c r="D942" s="24"/>
      <c r="F942" s="24"/>
      <c r="G942" s="24"/>
      <c r="H942" s="24"/>
      <c r="I942" s="24"/>
      <c r="J942" s="24"/>
      <c r="K942" s="24"/>
      <c r="L942" s="24"/>
      <c r="M942" s="24"/>
    </row>
    <row r="943" spans="3:13" ht="15.75" customHeight="1" x14ac:dyDescent="0.3">
      <c r="C943" s="24"/>
      <c r="D943" s="24"/>
      <c r="F943" s="24"/>
      <c r="G943" s="24"/>
      <c r="H943" s="24"/>
      <c r="I943" s="24"/>
      <c r="J943" s="24"/>
      <c r="K943" s="24"/>
      <c r="L943" s="24"/>
      <c r="M943" s="24"/>
    </row>
    <row r="944" spans="3:13" ht="15.75" customHeight="1" x14ac:dyDescent="0.3">
      <c r="C944" s="24"/>
      <c r="D944" s="24"/>
      <c r="F944" s="24"/>
      <c r="G944" s="24"/>
      <c r="H944" s="24"/>
      <c r="I944" s="24"/>
      <c r="J944" s="24"/>
      <c r="K944" s="24"/>
      <c r="L944" s="24"/>
      <c r="M944" s="24"/>
    </row>
    <row r="945" spans="3:13" ht="15.75" customHeight="1" x14ac:dyDescent="0.3">
      <c r="C945" s="24"/>
      <c r="D945" s="24"/>
      <c r="F945" s="24"/>
      <c r="G945" s="24"/>
      <c r="H945" s="24"/>
      <c r="I945" s="24"/>
      <c r="J945" s="24"/>
      <c r="K945" s="24"/>
      <c r="L945" s="24"/>
      <c r="M945" s="24"/>
    </row>
    <row r="946" spans="3:13" ht="15.75" customHeight="1" x14ac:dyDescent="0.3">
      <c r="C946" s="24"/>
      <c r="D946" s="24"/>
      <c r="F946" s="24"/>
      <c r="G946" s="24"/>
      <c r="H946" s="24"/>
      <c r="I946" s="24"/>
      <c r="J946" s="24"/>
      <c r="K946" s="24"/>
      <c r="L946" s="24"/>
      <c r="M946" s="24"/>
    </row>
    <row r="947" spans="3:13" ht="15.75" customHeight="1" x14ac:dyDescent="0.3">
      <c r="C947" s="24"/>
      <c r="D947" s="24"/>
      <c r="F947" s="24"/>
      <c r="G947" s="24"/>
      <c r="H947" s="24"/>
      <c r="I947" s="24"/>
      <c r="J947" s="24"/>
      <c r="K947" s="24"/>
      <c r="L947" s="24"/>
      <c r="M947" s="24"/>
    </row>
    <row r="948" spans="3:13" ht="15.75" customHeight="1" x14ac:dyDescent="0.3">
      <c r="C948" s="24"/>
      <c r="D948" s="24"/>
      <c r="F948" s="24"/>
      <c r="G948" s="24"/>
      <c r="H948" s="24"/>
      <c r="I948" s="24"/>
      <c r="J948" s="24"/>
      <c r="K948" s="24"/>
      <c r="L948" s="24"/>
      <c r="M948" s="24"/>
    </row>
    <row r="949" spans="3:13" ht="15.75" customHeight="1" x14ac:dyDescent="0.3">
      <c r="C949" s="24"/>
      <c r="D949" s="24"/>
      <c r="F949" s="24"/>
      <c r="G949" s="24"/>
      <c r="H949" s="24"/>
      <c r="I949" s="24"/>
      <c r="J949" s="24"/>
      <c r="K949" s="24"/>
      <c r="L949" s="24"/>
      <c r="M949" s="24"/>
    </row>
    <row r="950" spans="3:13" ht="15.75" customHeight="1" x14ac:dyDescent="0.3">
      <c r="C950" s="24"/>
      <c r="D950" s="24"/>
      <c r="F950" s="24"/>
      <c r="G950" s="24"/>
      <c r="H950" s="24"/>
      <c r="I950" s="24"/>
      <c r="J950" s="24"/>
      <c r="K950" s="24"/>
      <c r="L950" s="24"/>
      <c r="M950" s="24"/>
    </row>
    <row r="951" spans="3:13" ht="15.75" customHeight="1" x14ac:dyDescent="0.3">
      <c r="C951" s="24"/>
      <c r="D951" s="24"/>
      <c r="F951" s="24"/>
      <c r="G951" s="24"/>
      <c r="H951" s="24"/>
      <c r="I951" s="24"/>
      <c r="J951" s="24"/>
      <c r="K951" s="24"/>
      <c r="L951" s="24"/>
      <c r="M951" s="24"/>
    </row>
    <row r="952" spans="3:13" ht="15.75" customHeight="1" x14ac:dyDescent="0.3">
      <c r="C952" s="24"/>
      <c r="D952" s="24"/>
      <c r="F952" s="24"/>
      <c r="G952" s="24"/>
      <c r="H952" s="24"/>
      <c r="I952" s="24"/>
      <c r="J952" s="24"/>
      <c r="K952" s="24"/>
      <c r="L952" s="24"/>
      <c r="M952" s="24"/>
    </row>
    <row r="953" spans="3:13" ht="15.75" customHeight="1" x14ac:dyDescent="0.3">
      <c r="C953" s="24"/>
      <c r="D953" s="24"/>
      <c r="F953" s="24"/>
      <c r="G953" s="24"/>
      <c r="H953" s="24"/>
      <c r="I953" s="24"/>
      <c r="J953" s="24"/>
      <c r="K953" s="24"/>
      <c r="L953" s="24"/>
      <c r="M953" s="24"/>
    </row>
    <row r="954" spans="3:13" ht="15.75" customHeight="1" x14ac:dyDescent="0.3">
      <c r="C954" s="24"/>
      <c r="D954" s="24"/>
      <c r="F954" s="24"/>
      <c r="G954" s="24"/>
      <c r="H954" s="24"/>
      <c r="I954" s="24"/>
      <c r="J954" s="24"/>
      <c r="K954" s="24"/>
      <c r="L954" s="24"/>
      <c r="M954" s="24"/>
    </row>
    <row r="955" spans="3:13" ht="15.75" customHeight="1" x14ac:dyDescent="0.3">
      <c r="C955" s="24"/>
      <c r="D955" s="24"/>
      <c r="F955" s="24"/>
      <c r="G955" s="24"/>
      <c r="H955" s="24"/>
      <c r="I955" s="24"/>
      <c r="J955" s="24"/>
      <c r="K955" s="24"/>
      <c r="L955" s="24"/>
      <c r="M955" s="24"/>
    </row>
    <row r="956" spans="3:13" ht="15.75" customHeight="1" x14ac:dyDescent="0.3">
      <c r="C956" s="24"/>
      <c r="D956" s="24"/>
      <c r="F956" s="24"/>
      <c r="G956" s="24"/>
      <c r="H956" s="24"/>
      <c r="I956" s="24"/>
      <c r="J956" s="24"/>
      <c r="K956" s="24"/>
      <c r="L956" s="24"/>
      <c r="M956" s="24"/>
    </row>
    <row r="957" spans="3:13" ht="15.75" customHeight="1" x14ac:dyDescent="0.3">
      <c r="C957" s="24"/>
      <c r="D957" s="24"/>
      <c r="F957" s="24"/>
      <c r="G957" s="24"/>
      <c r="H957" s="24"/>
      <c r="I957" s="24"/>
      <c r="J957" s="24"/>
      <c r="K957" s="24"/>
      <c r="L957" s="24"/>
      <c r="M957" s="24"/>
    </row>
    <row r="958" spans="3:13" ht="15.75" customHeight="1" x14ac:dyDescent="0.3">
      <c r="C958" s="24"/>
      <c r="D958" s="24"/>
      <c r="F958" s="24"/>
      <c r="G958" s="24"/>
      <c r="H958" s="24"/>
      <c r="I958" s="24"/>
      <c r="J958" s="24"/>
      <c r="K958" s="24"/>
      <c r="L958" s="24"/>
      <c r="M958" s="24"/>
    </row>
    <row r="959" spans="3:13" ht="15.75" customHeight="1" x14ac:dyDescent="0.3">
      <c r="C959" s="24"/>
      <c r="D959" s="24"/>
      <c r="F959" s="24"/>
      <c r="G959" s="24"/>
      <c r="H959" s="24"/>
      <c r="I959" s="24"/>
      <c r="J959" s="24"/>
      <c r="K959" s="24"/>
      <c r="L959" s="24"/>
      <c r="M959" s="24"/>
    </row>
    <row r="960" spans="3:13" ht="15.75" customHeight="1" x14ac:dyDescent="0.3">
      <c r="C960" s="24"/>
      <c r="D960" s="24"/>
      <c r="F960" s="24"/>
      <c r="G960" s="24"/>
      <c r="H960" s="24"/>
      <c r="I960" s="24"/>
      <c r="J960" s="24"/>
      <c r="K960" s="24"/>
      <c r="L960" s="24"/>
      <c r="M960" s="24"/>
    </row>
    <row r="961" spans="3:13" ht="15.75" customHeight="1" x14ac:dyDescent="0.3">
      <c r="C961" s="24"/>
      <c r="D961" s="24"/>
      <c r="F961" s="24"/>
      <c r="G961" s="24"/>
      <c r="H961" s="24"/>
      <c r="I961" s="24"/>
      <c r="J961" s="24"/>
      <c r="K961" s="24"/>
      <c r="L961" s="24"/>
      <c r="M961" s="24"/>
    </row>
    <row r="962" spans="3:13" ht="15.75" customHeight="1" x14ac:dyDescent="0.3">
      <c r="C962" s="24"/>
      <c r="D962" s="24"/>
      <c r="F962" s="24"/>
      <c r="G962" s="24"/>
      <c r="H962" s="24"/>
      <c r="I962" s="24"/>
      <c r="J962" s="24"/>
      <c r="K962" s="24"/>
      <c r="L962" s="24"/>
      <c r="M962" s="24"/>
    </row>
    <row r="963" spans="3:13" ht="15.75" customHeight="1" x14ac:dyDescent="0.3">
      <c r="C963" s="24"/>
      <c r="D963" s="24"/>
      <c r="F963" s="24"/>
      <c r="G963" s="24"/>
      <c r="H963" s="24"/>
      <c r="I963" s="24"/>
      <c r="J963" s="24"/>
      <c r="K963" s="24"/>
      <c r="L963" s="24"/>
      <c r="M963" s="24"/>
    </row>
    <row r="964" spans="3:13" ht="15.75" customHeight="1" x14ac:dyDescent="0.3">
      <c r="C964" s="24"/>
      <c r="D964" s="24"/>
      <c r="F964" s="24"/>
      <c r="G964" s="24"/>
      <c r="H964" s="24"/>
      <c r="I964" s="24"/>
      <c r="J964" s="24"/>
      <c r="K964" s="24"/>
      <c r="L964" s="24"/>
      <c r="M964" s="24"/>
    </row>
    <row r="965" spans="3:13" ht="15.75" customHeight="1" x14ac:dyDescent="0.3">
      <c r="C965" s="24"/>
      <c r="D965" s="24"/>
      <c r="F965" s="24"/>
      <c r="G965" s="24"/>
      <c r="H965" s="24"/>
      <c r="I965" s="24"/>
      <c r="J965" s="24"/>
      <c r="K965" s="24"/>
      <c r="L965" s="24"/>
      <c r="M965" s="24"/>
    </row>
    <row r="966" spans="3:13" ht="15.75" customHeight="1" x14ac:dyDescent="0.3">
      <c r="C966" s="24"/>
      <c r="D966" s="24"/>
      <c r="F966" s="24"/>
      <c r="G966" s="24"/>
      <c r="H966" s="24"/>
      <c r="I966" s="24"/>
      <c r="J966" s="24"/>
      <c r="K966" s="24"/>
      <c r="L966" s="24"/>
      <c r="M966" s="24"/>
    </row>
    <row r="967" spans="3:13" ht="15.75" customHeight="1" x14ac:dyDescent="0.3">
      <c r="C967" s="24"/>
      <c r="D967" s="24"/>
      <c r="F967" s="24"/>
      <c r="G967" s="24"/>
      <c r="H967" s="24"/>
      <c r="I967" s="24"/>
      <c r="J967" s="24"/>
      <c r="K967" s="24"/>
      <c r="L967" s="24"/>
      <c r="M967" s="24"/>
    </row>
    <row r="968" spans="3:13" ht="15.75" customHeight="1" x14ac:dyDescent="0.3">
      <c r="C968" s="24"/>
      <c r="D968" s="24"/>
      <c r="F968" s="24"/>
      <c r="G968" s="24"/>
      <c r="H968" s="24"/>
      <c r="I968" s="24"/>
      <c r="J968" s="24"/>
      <c r="K968" s="24"/>
      <c r="L968" s="24"/>
      <c r="M968" s="24"/>
    </row>
    <row r="969" spans="3:13" ht="15.75" customHeight="1" x14ac:dyDescent="0.3">
      <c r="C969" s="24"/>
      <c r="D969" s="24"/>
      <c r="F969" s="24"/>
      <c r="G969" s="24"/>
      <c r="H969" s="24"/>
      <c r="I969" s="24"/>
      <c r="J969" s="24"/>
      <c r="K969" s="24"/>
      <c r="L969" s="24"/>
      <c r="M969" s="24"/>
    </row>
    <row r="970" spans="3:13" ht="15.75" customHeight="1" x14ac:dyDescent="0.3">
      <c r="C970" s="24"/>
      <c r="D970" s="24"/>
      <c r="F970" s="24"/>
      <c r="G970" s="24"/>
      <c r="H970" s="24"/>
      <c r="I970" s="24"/>
      <c r="J970" s="24"/>
      <c r="K970" s="24"/>
      <c r="L970" s="24"/>
      <c r="M970" s="24"/>
    </row>
    <row r="971" spans="3:13" ht="15.75" customHeight="1" x14ac:dyDescent="0.3">
      <c r="C971" s="24"/>
      <c r="D971" s="24"/>
      <c r="F971" s="24"/>
      <c r="G971" s="24"/>
      <c r="H971" s="24"/>
      <c r="I971" s="24"/>
      <c r="J971" s="24"/>
      <c r="K971" s="24"/>
      <c r="L971" s="24"/>
      <c r="M971" s="24"/>
    </row>
    <row r="972" spans="3:13" ht="15.75" customHeight="1" x14ac:dyDescent="0.3">
      <c r="C972" s="24"/>
      <c r="D972" s="24"/>
      <c r="F972" s="24"/>
      <c r="G972" s="24"/>
      <c r="H972" s="24"/>
      <c r="I972" s="24"/>
      <c r="J972" s="24"/>
      <c r="K972" s="24"/>
      <c r="L972" s="24"/>
      <c r="M972" s="24"/>
    </row>
    <row r="973" spans="3:13" ht="15.75" customHeight="1" x14ac:dyDescent="0.3">
      <c r="C973" s="24"/>
      <c r="D973" s="24"/>
      <c r="F973" s="24"/>
      <c r="G973" s="24"/>
      <c r="H973" s="24"/>
      <c r="I973" s="24"/>
      <c r="J973" s="24"/>
      <c r="K973" s="24"/>
      <c r="L973" s="24"/>
      <c r="M973" s="24"/>
    </row>
    <row r="974" spans="3:13" ht="15.75" customHeight="1" x14ac:dyDescent="0.3">
      <c r="C974" s="24"/>
      <c r="D974" s="24"/>
      <c r="F974" s="24"/>
      <c r="G974" s="24"/>
      <c r="H974" s="24"/>
      <c r="I974" s="24"/>
      <c r="J974" s="24"/>
      <c r="K974" s="24"/>
      <c r="L974" s="24"/>
      <c r="M974" s="24"/>
    </row>
    <row r="975" spans="3:13" ht="15.75" customHeight="1" x14ac:dyDescent="0.3">
      <c r="C975" s="24"/>
      <c r="D975" s="24"/>
      <c r="F975" s="24"/>
      <c r="G975" s="24"/>
      <c r="H975" s="24"/>
      <c r="I975" s="24"/>
      <c r="J975" s="24"/>
      <c r="K975" s="24"/>
      <c r="L975" s="24"/>
      <c r="M975" s="24"/>
    </row>
    <row r="976" spans="3:13" ht="15.75" customHeight="1" x14ac:dyDescent="0.3">
      <c r="C976" s="24"/>
      <c r="D976" s="24"/>
      <c r="F976" s="24"/>
      <c r="G976" s="24"/>
      <c r="H976" s="24"/>
      <c r="I976" s="24"/>
      <c r="J976" s="24"/>
      <c r="K976" s="24"/>
      <c r="L976" s="24"/>
      <c r="M976" s="24"/>
    </row>
    <row r="977" spans="3:13" ht="15.75" customHeight="1" x14ac:dyDescent="0.3">
      <c r="C977" s="24"/>
      <c r="D977" s="24"/>
      <c r="F977" s="24"/>
      <c r="G977" s="24"/>
      <c r="H977" s="24"/>
      <c r="I977" s="24"/>
      <c r="J977" s="24"/>
      <c r="K977" s="24"/>
      <c r="L977" s="24"/>
      <c r="M977" s="24"/>
    </row>
    <row r="978" spans="3:13" ht="15.75" customHeight="1" x14ac:dyDescent="0.3">
      <c r="C978" s="24"/>
      <c r="D978" s="24"/>
      <c r="F978" s="24"/>
      <c r="G978" s="24"/>
      <c r="H978" s="24"/>
      <c r="I978" s="24"/>
      <c r="J978" s="24"/>
      <c r="K978" s="24"/>
      <c r="L978" s="24"/>
      <c r="M978" s="24"/>
    </row>
    <row r="979" spans="3:13" ht="15.75" customHeight="1" x14ac:dyDescent="0.3">
      <c r="C979" s="24"/>
      <c r="D979" s="24"/>
      <c r="F979" s="24"/>
      <c r="G979" s="24"/>
      <c r="H979" s="24"/>
      <c r="I979" s="24"/>
      <c r="J979" s="24"/>
      <c r="K979" s="24"/>
      <c r="L979" s="24"/>
      <c r="M979" s="24"/>
    </row>
    <row r="980" spans="3:13" ht="15.75" customHeight="1" x14ac:dyDescent="0.3">
      <c r="C980" s="24"/>
      <c r="D980" s="24"/>
      <c r="F980" s="24"/>
      <c r="G980" s="24"/>
      <c r="H980" s="24"/>
      <c r="I980" s="24"/>
      <c r="J980" s="24"/>
      <c r="K980" s="24"/>
      <c r="L980" s="24"/>
      <c r="M980" s="24"/>
    </row>
    <row r="981" spans="3:13" ht="15.75" customHeight="1" x14ac:dyDescent="0.3">
      <c r="C981" s="24"/>
      <c r="D981" s="24"/>
      <c r="F981" s="24"/>
      <c r="G981" s="24"/>
      <c r="H981" s="24"/>
      <c r="I981" s="24"/>
      <c r="J981" s="24"/>
      <c r="K981" s="24"/>
      <c r="L981" s="24"/>
      <c r="M981" s="24"/>
    </row>
    <row r="982" spans="3:13" ht="15.75" customHeight="1" x14ac:dyDescent="0.3">
      <c r="C982" s="24"/>
      <c r="D982" s="24"/>
      <c r="F982" s="24"/>
      <c r="G982" s="24"/>
      <c r="H982" s="24"/>
      <c r="I982" s="24"/>
      <c r="J982" s="24"/>
      <c r="K982" s="24"/>
      <c r="L982" s="24"/>
      <c r="M982" s="24"/>
    </row>
    <row r="983" spans="3:13" ht="15.75" customHeight="1" x14ac:dyDescent="0.3">
      <c r="C983" s="24"/>
      <c r="D983" s="24"/>
      <c r="F983" s="24"/>
      <c r="G983" s="24"/>
      <c r="H983" s="24"/>
      <c r="I983" s="24"/>
      <c r="J983" s="24"/>
      <c r="K983" s="24"/>
      <c r="L983" s="24"/>
      <c r="M983" s="24"/>
    </row>
    <row r="984" spans="3:13" ht="15.75" customHeight="1" x14ac:dyDescent="0.3">
      <c r="C984" s="24"/>
      <c r="D984" s="24"/>
      <c r="F984" s="24"/>
      <c r="G984" s="24"/>
      <c r="H984" s="24"/>
      <c r="I984" s="24"/>
      <c r="J984" s="24"/>
      <c r="K984" s="24"/>
      <c r="L984" s="24"/>
      <c r="M984" s="24"/>
    </row>
    <row r="985" spans="3:13" ht="15.75" customHeight="1" x14ac:dyDescent="0.3">
      <c r="C985" s="24"/>
      <c r="D985" s="24"/>
      <c r="F985" s="24"/>
      <c r="G985" s="24"/>
      <c r="H985" s="24"/>
      <c r="I985" s="24"/>
      <c r="J985" s="24"/>
      <c r="K985" s="24"/>
      <c r="L985" s="24"/>
      <c r="M985" s="24"/>
    </row>
    <row r="986" spans="3:13" ht="15.75" customHeight="1" x14ac:dyDescent="0.3">
      <c r="C986" s="24"/>
      <c r="D986" s="24"/>
      <c r="F986" s="24"/>
      <c r="G986" s="24"/>
      <c r="H986" s="24"/>
      <c r="I986" s="24"/>
      <c r="J986" s="24"/>
      <c r="K986" s="24"/>
      <c r="L986" s="24"/>
      <c r="M986" s="24"/>
    </row>
    <row r="987" spans="3:13" ht="15.75" customHeight="1" x14ac:dyDescent="0.3">
      <c r="C987" s="24"/>
      <c r="D987" s="24"/>
      <c r="F987" s="24"/>
      <c r="G987" s="24"/>
      <c r="H987" s="24"/>
      <c r="I987" s="24"/>
      <c r="J987" s="24"/>
      <c r="K987" s="24"/>
      <c r="L987" s="24"/>
      <c r="M987" s="24"/>
    </row>
    <row r="988" spans="3:13" ht="15.75" customHeight="1" x14ac:dyDescent="0.3">
      <c r="C988" s="24"/>
      <c r="D988" s="24"/>
      <c r="F988" s="24"/>
      <c r="G988" s="24"/>
      <c r="H988" s="24"/>
      <c r="I988" s="24"/>
      <c r="J988" s="24"/>
      <c r="K988" s="24"/>
      <c r="L988" s="24"/>
      <c r="M988" s="24"/>
    </row>
    <row r="989" spans="3:13" ht="15.75" customHeight="1" x14ac:dyDescent="0.3">
      <c r="C989" s="24"/>
      <c r="D989" s="24"/>
      <c r="F989" s="24"/>
      <c r="G989" s="24"/>
      <c r="H989" s="24"/>
      <c r="I989" s="24"/>
      <c r="J989" s="24"/>
      <c r="K989" s="24"/>
      <c r="L989" s="24"/>
      <c r="M989" s="24"/>
    </row>
    <row r="990" spans="3:13" ht="15.75" customHeight="1" x14ac:dyDescent="0.3">
      <c r="C990" s="24"/>
      <c r="D990" s="24"/>
      <c r="F990" s="24"/>
      <c r="G990" s="24"/>
      <c r="H990" s="24"/>
      <c r="I990" s="24"/>
      <c r="J990" s="24"/>
      <c r="K990" s="24"/>
      <c r="L990" s="24"/>
      <c r="M990" s="24"/>
    </row>
    <row r="991" spans="3:13" ht="15.75" customHeight="1" x14ac:dyDescent="0.3">
      <c r="C991" s="24"/>
      <c r="D991" s="24"/>
      <c r="F991" s="24"/>
      <c r="G991" s="24"/>
      <c r="H991" s="24"/>
      <c r="I991" s="24"/>
      <c r="J991" s="24"/>
      <c r="K991" s="24"/>
      <c r="L991" s="24"/>
      <c r="M991" s="24"/>
    </row>
    <row r="992" spans="3:13" ht="15.75" customHeight="1" x14ac:dyDescent="0.3">
      <c r="C992" s="24"/>
      <c r="D992" s="24"/>
      <c r="F992" s="24"/>
      <c r="G992" s="24"/>
      <c r="H992" s="24"/>
      <c r="I992" s="24"/>
      <c r="J992" s="24"/>
      <c r="K992" s="24"/>
      <c r="L992" s="24"/>
      <c r="M992" s="24"/>
    </row>
    <row r="993" spans="3:13" ht="15.75" customHeight="1" x14ac:dyDescent="0.3">
      <c r="C993" s="24"/>
      <c r="D993" s="24"/>
      <c r="F993" s="24"/>
      <c r="G993" s="24"/>
      <c r="H993" s="24"/>
      <c r="I993" s="24"/>
      <c r="J993" s="24"/>
      <c r="K993" s="24"/>
      <c r="L993" s="24"/>
      <c r="M993" s="24"/>
    </row>
    <row r="994" spans="3:13" ht="15.75" customHeight="1" x14ac:dyDescent="0.3">
      <c r="C994" s="24"/>
      <c r="D994" s="24"/>
      <c r="F994" s="24"/>
      <c r="G994" s="24"/>
      <c r="H994" s="24"/>
      <c r="I994" s="24"/>
      <c r="J994" s="24"/>
      <c r="K994" s="24"/>
      <c r="L994" s="24"/>
      <c r="M994" s="24"/>
    </row>
    <row r="995" spans="3:13" ht="15.75" customHeight="1" x14ac:dyDescent="0.3">
      <c r="C995" s="24"/>
      <c r="D995" s="24"/>
      <c r="F995" s="24"/>
      <c r="G995" s="24"/>
      <c r="H995" s="24"/>
      <c r="I995" s="24"/>
      <c r="J995" s="24"/>
      <c r="K995" s="24"/>
      <c r="L995" s="24"/>
      <c r="M995" s="24"/>
    </row>
    <row r="996" spans="3:13" ht="15.75" customHeight="1" x14ac:dyDescent="0.3">
      <c r="C996" s="24"/>
      <c r="D996" s="24"/>
      <c r="F996" s="24"/>
      <c r="G996" s="24"/>
      <c r="H996" s="24"/>
      <c r="I996" s="24"/>
      <c r="J996" s="24"/>
      <c r="K996" s="24"/>
      <c r="L996" s="24"/>
      <c r="M996" s="24"/>
    </row>
    <row r="997" spans="3:13" ht="15.75" customHeight="1" x14ac:dyDescent="0.3">
      <c r="C997" s="24"/>
      <c r="D997" s="24"/>
      <c r="F997" s="24"/>
      <c r="G997" s="24"/>
      <c r="H997" s="24"/>
      <c r="I997" s="24"/>
      <c r="J997" s="24"/>
      <c r="K997" s="24"/>
      <c r="L997" s="24"/>
      <c r="M997" s="24"/>
    </row>
    <row r="998" spans="3:13" ht="15.75" customHeight="1" x14ac:dyDescent="0.3">
      <c r="C998" s="24"/>
      <c r="D998" s="24"/>
      <c r="F998" s="24"/>
      <c r="G998" s="24"/>
      <c r="H998" s="24"/>
      <c r="I998" s="24"/>
      <c r="J998" s="24"/>
      <c r="K998" s="24"/>
      <c r="L998" s="24"/>
      <c r="M998" s="24"/>
    </row>
    <row r="999" spans="3:13" ht="15.75" customHeight="1" x14ac:dyDescent="0.3">
      <c r="C999" s="24"/>
      <c r="D999" s="24"/>
      <c r="F999" s="24"/>
      <c r="G999" s="24"/>
      <c r="H999" s="24"/>
      <c r="I999" s="24"/>
      <c r="J999" s="24"/>
      <c r="K999" s="24"/>
      <c r="L999" s="24"/>
      <c r="M999" s="24"/>
    </row>
    <row r="1000" spans="3:13" ht="15.75" customHeight="1" x14ac:dyDescent="0.3">
      <c r="C1000" s="24"/>
      <c r="D1000" s="24"/>
      <c r="F1000" s="24"/>
      <c r="G1000" s="24"/>
      <c r="H1000" s="24"/>
      <c r="I1000" s="24"/>
      <c r="J1000" s="24"/>
      <c r="K1000" s="24"/>
      <c r="L1000" s="24"/>
      <c r="M1000" s="24"/>
    </row>
  </sheetData>
  <autoFilter ref="A2:P44" xr:uid="{00000000-0009-0000-0000-000007000000}"/>
  <mergeCells count="1">
    <mergeCell ref="B1:D1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998"/>
  <sheetViews>
    <sheetView workbookViewId="0">
      <selection activeCell="D11" sqref="D11"/>
    </sheetView>
  </sheetViews>
  <sheetFormatPr baseColWidth="10" defaultColWidth="14.44140625" defaultRowHeight="15" customHeight="1" x14ac:dyDescent="0.3"/>
  <cols>
    <col min="1" max="1" width="13.33203125" customWidth="1"/>
    <col min="2" max="2" width="34.109375" customWidth="1"/>
    <col min="3" max="3" width="28.33203125" customWidth="1"/>
    <col min="4" max="5" width="31.44140625" customWidth="1"/>
    <col min="6" max="6" width="4.109375" customWidth="1"/>
    <col min="7" max="7" width="13" customWidth="1"/>
    <col min="8" max="8" width="27.6640625" customWidth="1"/>
    <col min="9" max="9" width="9.5546875" customWidth="1"/>
    <col min="10" max="10" width="16.109375" customWidth="1"/>
    <col min="11" max="11" width="10" customWidth="1"/>
    <col min="12" max="13" width="10.6640625" customWidth="1"/>
    <col min="14" max="14" width="17.88671875" customWidth="1"/>
    <col min="16" max="16" width="14.5546875" customWidth="1"/>
  </cols>
  <sheetData>
    <row r="1" spans="1:27" ht="15" customHeight="1" x14ac:dyDescent="0.3">
      <c r="A1" s="20" t="s">
        <v>410</v>
      </c>
      <c r="B1" s="181" t="str">
        <f>'Formato Cronograma'!C11</f>
        <v>Analítica de Datos e Inteligencia Artificial.</v>
      </c>
      <c r="C1" s="182"/>
      <c r="D1" s="182"/>
      <c r="E1" s="182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1:27" ht="15" customHeight="1" x14ac:dyDescent="0.3">
      <c r="A2" s="20" t="s">
        <v>411</v>
      </c>
      <c r="B2" s="21" t="s">
        <v>412</v>
      </c>
      <c r="C2" s="22" t="s">
        <v>413</v>
      </c>
      <c r="D2" s="23" t="s">
        <v>426</v>
      </c>
      <c r="E2" s="23" t="s">
        <v>414</v>
      </c>
      <c r="F2" s="24"/>
      <c r="G2" s="25"/>
      <c r="H2" s="25"/>
      <c r="I2" s="25"/>
      <c r="J2" s="25"/>
      <c r="K2" s="25"/>
      <c r="L2" s="25"/>
      <c r="M2" s="25"/>
      <c r="N2" s="25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spans="1:27" ht="14.4" x14ac:dyDescent="0.3">
      <c r="A3" s="26">
        <v>1</v>
      </c>
      <c r="B3" s="27">
        <f>VLOOKUP((MATCH(A3,'Formato Cronograma'!$N$11:$LJ$11,0)),Datos!A:D,4,FALSE)</f>
        <v>46092</v>
      </c>
      <c r="C3" s="26" t="s">
        <v>417</v>
      </c>
      <c r="D3" s="26" t="s">
        <v>427</v>
      </c>
      <c r="E3" s="26" t="s">
        <v>418</v>
      </c>
      <c r="F3" s="24"/>
      <c r="G3" s="24"/>
      <c r="H3" s="24"/>
      <c r="I3" s="25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ht="14.4" x14ac:dyDescent="0.3">
      <c r="A4" s="26">
        <v>2</v>
      </c>
      <c r="B4" s="27">
        <f>VLOOKUP((MATCH(A4,'Formato Cronograma'!$N$11:$LJ$11,0)),Datos!A:D,4,FALSE)</f>
        <v>46094</v>
      </c>
      <c r="C4" s="26" t="s">
        <v>415</v>
      </c>
      <c r="D4" s="26" t="s">
        <v>427</v>
      </c>
      <c r="E4" s="26" t="s">
        <v>428</v>
      </c>
      <c r="F4" s="24"/>
      <c r="G4" s="29"/>
      <c r="H4" s="30"/>
      <c r="I4" s="29"/>
      <c r="J4" s="29"/>
      <c r="K4" s="29"/>
      <c r="L4" s="31"/>
      <c r="M4" s="31"/>
      <c r="N4" s="29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14.4" x14ac:dyDescent="0.3">
      <c r="A5" s="26">
        <v>3</v>
      </c>
      <c r="B5" s="27">
        <f>VLOOKUP((MATCH(A5,'Formato Cronograma'!$N$11:$LJ$11,0)),Datos!A:D,4,FALSE)</f>
        <v>46097</v>
      </c>
      <c r="C5" s="26" t="s">
        <v>417</v>
      </c>
      <c r="D5" s="26" t="s">
        <v>427</v>
      </c>
      <c r="E5" s="26" t="s">
        <v>418</v>
      </c>
      <c r="F5" s="24"/>
      <c r="G5" s="29"/>
      <c r="H5" s="30"/>
      <c r="I5" s="29"/>
      <c r="J5" s="29"/>
      <c r="K5" s="29"/>
      <c r="L5" s="31"/>
      <c r="M5" s="31"/>
      <c r="N5" s="29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14.4" x14ac:dyDescent="0.3">
      <c r="A6" s="26">
        <v>4</v>
      </c>
      <c r="B6" s="27">
        <f>VLOOKUP((MATCH(A6,'Formato Cronograma'!$N$11:$LJ$11,0)),Datos!A:D,4,FALSE)</f>
        <v>46101</v>
      </c>
      <c r="C6" s="26" t="s">
        <v>415</v>
      </c>
      <c r="D6" s="26" t="s">
        <v>427</v>
      </c>
      <c r="E6" s="26" t="s">
        <v>428</v>
      </c>
      <c r="F6" s="24"/>
      <c r="G6" s="29"/>
      <c r="H6" s="30"/>
      <c r="I6" s="29"/>
      <c r="J6" s="29"/>
      <c r="K6" s="29"/>
      <c r="L6" s="31"/>
      <c r="M6" s="31"/>
      <c r="N6" s="29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ht="14.4" x14ac:dyDescent="0.3">
      <c r="A7" s="26">
        <v>5</v>
      </c>
      <c r="B7" s="27">
        <f>VLOOKUP((MATCH(A7,'Formato Cronograma'!$N$11:$LJ$11,0)),Datos!A:D,4,FALSE)</f>
        <v>46108</v>
      </c>
      <c r="C7" s="26" t="s">
        <v>415</v>
      </c>
      <c r="D7" s="26" t="s">
        <v>429</v>
      </c>
      <c r="E7" s="26" t="s">
        <v>428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ht="14.4" x14ac:dyDescent="0.3">
      <c r="A8" s="26">
        <v>6</v>
      </c>
      <c r="B8" s="27">
        <f>VLOOKUP((MATCH(A8,'Formato Cronograma'!$N$11:$LJ$11,0)),Datos!A:D,4,FALSE)</f>
        <v>46118</v>
      </c>
      <c r="C8" s="26" t="s">
        <v>417</v>
      </c>
      <c r="D8" s="26" t="s">
        <v>429</v>
      </c>
      <c r="E8" s="26" t="s">
        <v>418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ht="14.4" x14ac:dyDescent="0.3">
      <c r="A9" s="26">
        <v>7</v>
      </c>
      <c r="B9" s="27">
        <f>VLOOKUP((MATCH(A9,'Formato Cronograma'!$N$11:$LJ$11,0)),Datos!A:D,4,FALSE)</f>
        <v>46120</v>
      </c>
      <c r="C9" s="26" t="s">
        <v>417</v>
      </c>
      <c r="D9" s="26" t="s">
        <v>429</v>
      </c>
      <c r="E9" s="26" t="s">
        <v>418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ht="14.4" x14ac:dyDescent="0.3">
      <c r="A10" s="26">
        <v>8</v>
      </c>
      <c r="B10" s="27">
        <f>VLOOKUP((MATCH(A10,'Formato Cronograma'!$N$11:$LJ$11,0)),Datos!A:D,4,FALSE)</f>
        <v>46122</v>
      </c>
      <c r="C10" s="26" t="s">
        <v>415</v>
      </c>
      <c r="D10" s="26" t="s">
        <v>430</v>
      </c>
      <c r="E10" s="26" t="s">
        <v>428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ht="14.4" x14ac:dyDescent="0.3">
      <c r="A11" s="26">
        <v>9</v>
      </c>
      <c r="B11" s="27">
        <f>VLOOKUP((MATCH(A11,'Formato Cronograma'!$N$11:$LJ$11,0)),Datos!A:D,4,FALSE)</f>
        <v>46125</v>
      </c>
      <c r="C11" s="26" t="s">
        <v>417</v>
      </c>
      <c r="D11" s="26" t="s">
        <v>430</v>
      </c>
      <c r="E11" s="26" t="s">
        <v>418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ht="14.4" x14ac:dyDescent="0.3">
      <c r="A12" s="26">
        <v>10</v>
      </c>
      <c r="B12" s="27">
        <f>VLOOKUP((MATCH(A12,'Formato Cronograma'!$N$11:$LJ$11,0)),Datos!A:D,4,FALSE)</f>
        <v>46127</v>
      </c>
      <c r="C12" s="26" t="s">
        <v>417</v>
      </c>
      <c r="D12" s="26" t="s">
        <v>429</v>
      </c>
      <c r="E12" s="26" t="s">
        <v>418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ht="14.4" x14ac:dyDescent="0.3">
      <c r="A13" s="26">
        <v>11</v>
      </c>
      <c r="B13" s="27">
        <f>VLOOKUP((MATCH(A13,'Formato Cronograma'!$N$11:$LJ$11,0)),Datos!A:D,4,FALSE)</f>
        <v>46129</v>
      </c>
      <c r="C13" s="26" t="s">
        <v>415</v>
      </c>
      <c r="D13" s="26" t="s">
        <v>429</v>
      </c>
      <c r="E13" s="26" t="s">
        <v>428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ht="14.4" x14ac:dyDescent="0.3">
      <c r="A14" s="26">
        <v>12</v>
      </c>
      <c r="B14" s="27">
        <f>VLOOKUP((MATCH(A14,'Formato Cronograma'!$N$11:$LJ$11,0)),Datos!A:D,4,FALSE)</f>
        <v>46132</v>
      </c>
      <c r="C14" s="26" t="s">
        <v>417</v>
      </c>
      <c r="D14" s="26" t="s">
        <v>431</v>
      </c>
      <c r="E14" s="26" t="s">
        <v>418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ht="14.4" x14ac:dyDescent="0.3">
      <c r="A15" s="26">
        <v>13</v>
      </c>
      <c r="B15" s="27">
        <f>VLOOKUP((MATCH(A15,'Formato Cronograma'!$N$11:$LJ$11,0)),Datos!A:D,4,FALSE)</f>
        <v>46134</v>
      </c>
      <c r="C15" s="26" t="s">
        <v>417</v>
      </c>
      <c r="D15" s="26" t="s">
        <v>431</v>
      </c>
      <c r="E15" s="26" t="s">
        <v>418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14.4" x14ac:dyDescent="0.3">
      <c r="A16" s="26">
        <v>14</v>
      </c>
      <c r="B16" s="27">
        <f>VLOOKUP((MATCH(A16,'Formato Cronograma'!$N$11:$LJ$11,0)),Datos!A:D,4,FALSE)</f>
        <v>46136</v>
      </c>
      <c r="C16" s="26" t="s">
        <v>415</v>
      </c>
      <c r="D16" s="26" t="s">
        <v>427</v>
      </c>
      <c r="E16" s="26" t="s">
        <v>428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14.4" x14ac:dyDescent="0.3">
      <c r="A17" s="26">
        <v>15</v>
      </c>
      <c r="B17" s="27">
        <f>VLOOKUP((MATCH(A17,'Formato Cronograma'!$N$11:$LJ$11,0)),Datos!A:D,4,FALSE)</f>
        <v>46139</v>
      </c>
      <c r="C17" s="26" t="s">
        <v>417</v>
      </c>
      <c r="D17" s="26" t="s">
        <v>431</v>
      </c>
      <c r="E17" s="26" t="s">
        <v>418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ht="14.4" x14ac:dyDescent="0.3">
      <c r="A18" s="26">
        <v>16</v>
      </c>
      <c r="B18" s="27">
        <f>VLOOKUP((MATCH(A18,'Formato Cronograma'!$N$11:$LJ$11,0)),Datos!A:D,4,FALSE)</f>
        <v>46141</v>
      </c>
      <c r="C18" s="26" t="s">
        <v>417</v>
      </c>
      <c r="D18" s="26" t="s">
        <v>431</v>
      </c>
      <c r="E18" s="26" t="s">
        <v>418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ht="14.4" x14ac:dyDescent="0.3">
      <c r="A19" s="26">
        <v>17</v>
      </c>
      <c r="B19" s="27">
        <f>VLOOKUP((MATCH(A19,'Formato Cronograma'!$N$11:$LJ$11,0)),Datos!A:D,4,FALSE)</f>
        <v>46146</v>
      </c>
      <c r="C19" s="26" t="s">
        <v>417</v>
      </c>
      <c r="D19" s="26" t="s">
        <v>431</v>
      </c>
      <c r="E19" s="26" t="s">
        <v>418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ht="15.75" customHeight="1" x14ac:dyDescent="0.3">
      <c r="A20" s="26">
        <v>18</v>
      </c>
      <c r="B20" s="27">
        <f>VLOOKUP((MATCH(A20,'Formato Cronograma'!$N$11:$LJ$11,0)),Datos!A:D,4,FALSE)</f>
        <v>46148</v>
      </c>
      <c r="C20" s="26" t="s">
        <v>417</v>
      </c>
      <c r="D20" s="26" t="s">
        <v>431</v>
      </c>
      <c r="E20" s="26" t="s">
        <v>418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ht="15.75" customHeight="1" x14ac:dyDescent="0.3">
      <c r="A21" s="26">
        <v>19</v>
      </c>
      <c r="B21" s="27">
        <f>VLOOKUP((MATCH(A21,'Formato Cronograma'!$N$11:$LJ$11,0)),Datos!A:D,4,FALSE)</f>
        <v>46150</v>
      </c>
      <c r="C21" s="26" t="s">
        <v>415</v>
      </c>
      <c r="D21" s="26" t="s">
        <v>427</v>
      </c>
      <c r="E21" s="26" t="s">
        <v>428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ht="15.75" customHeight="1" x14ac:dyDescent="0.3">
      <c r="A22" s="26">
        <v>20</v>
      </c>
      <c r="B22" s="27">
        <f>VLOOKUP((MATCH(A22,'Formato Cronograma'!$N$11:$LJ$11,0)),Datos!A:D,4,FALSE)</f>
        <v>46153</v>
      </c>
      <c r="C22" s="26" t="s">
        <v>417</v>
      </c>
      <c r="D22" s="26" t="s">
        <v>427</v>
      </c>
      <c r="E22" s="26" t="s">
        <v>418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ht="15.75" customHeight="1" x14ac:dyDescent="0.3">
      <c r="A23" s="26">
        <v>21</v>
      </c>
      <c r="B23" s="27">
        <f>VLOOKUP((MATCH(A23,'Formato Cronograma'!$N$11:$LJ$11,0)),Datos!A:D,4,FALSE)</f>
        <v>46157</v>
      </c>
      <c r="C23" s="26" t="s">
        <v>415</v>
      </c>
      <c r="D23" s="26" t="s">
        <v>427</v>
      </c>
      <c r="E23" s="26" t="s">
        <v>428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 ht="15.75" customHeight="1" x14ac:dyDescent="0.3">
      <c r="A24" s="26">
        <v>22</v>
      </c>
      <c r="B24" s="27">
        <f>VLOOKUP((MATCH(A24,'Formato Cronograma'!$N$11:$LJ$11,0)),Datos!A:D,4,FALSE)</f>
        <v>46162</v>
      </c>
      <c r="C24" s="26" t="s">
        <v>417</v>
      </c>
      <c r="D24" s="26" t="s">
        <v>427</v>
      </c>
      <c r="E24" s="26" t="s">
        <v>418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1:27" ht="15.75" customHeight="1" x14ac:dyDescent="0.3">
      <c r="A25" s="26">
        <v>23</v>
      </c>
      <c r="B25" s="27">
        <f>VLOOKUP((MATCH(A25,'Formato Cronograma'!$N$11:$LJ$11,0)),Datos!A:D,4,FALSE)</f>
        <v>46164</v>
      </c>
      <c r="C25" s="26" t="s">
        <v>415</v>
      </c>
      <c r="D25" s="26" t="s">
        <v>427</v>
      </c>
      <c r="E25" s="26" t="s">
        <v>428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 ht="15.75" customHeight="1" x14ac:dyDescent="0.3">
      <c r="A26" s="26">
        <v>24</v>
      </c>
      <c r="B26" s="27">
        <f>VLOOKUP((MATCH(A26,'Formato Cronograma'!$N$11:$LJ$11,0)),Datos!A:D,4,FALSE)</f>
        <v>46167</v>
      </c>
      <c r="C26" s="26" t="s">
        <v>417</v>
      </c>
      <c r="D26" s="26" t="s">
        <v>432</v>
      </c>
      <c r="E26" s="26" t="s">
        <v>418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7" ht="15.75" customHeight="1" x14ac:dyDescent="0.3">
      <c r="A27" s="26">
        <v>25</v>
      </c>
      <c r="B27" s="27">
        <f>VLOOKUP((MATCH(A27,'Formato Cronograma'!$N$11:$LJ$11,0)),Datos!A:D,4,FALSE)</f>
        <v>46171</v>
      </c>
      <c r="C27" s="26" t="s">
        <v>415</v>
      </c>
      <c r="D27" s="26" t="s">
        <v>427</v>
      </c>
      <c r="E27" s="26" t="s">
        <v>428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15.75" customHeight="1" x14ac:dyDescent="0.3">
      <c r="A28" s="26">
        <v>26</v>
      </c>
      <c r="B28" s="27">
        <f>VLOOKUP((MATCH(A28,'Formato Cronograma'!$N$11:$LJ$11,0)),Datos!A:D,4,FALSE)</f>
        <v>46174</v>
      </c>
      <c r="C28" s="26" t="s">
        <v>417</v>
      </c>
      <c r="D28" s="26" t="s">
        <v>432</v>
      </c>
      <c r="E28" s="26" t="s">
        <v>418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spans="1:27" ht="15.75" customHeight="1" x14ac:dyDescent="0.3">
      <c r="A29" s="26">
        <v>27</v>
      </c>
      <c r="B29" s="27">
        <f>VLOOKUP((MATCH(A29,'Formato Cronograma'!$N$11:$LJ$11,0)),Datos!A:D,4,FALSE)</f>
        <v>46176</v>
      </c>
      <c r="C29" s="26" t="s">
        <v>417</v>
      </c>
      <c r="D29" s="26" t="s">
        <v>432</v>
      </c>
      <c r="E29" s="26" t="s">
        <v>418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7" ht="15.75" customHeight="1" x14ac:dyDescent="0.3">
      <c r="A30" s="26">
        <v>28</v>
      </c>
      <c r="B30" s="27">
        <f>VLOOKUP((MATCH(A30,'Formato Cronograma'!$N$11:$LJ$11,0)),Datos!A:D,4,FALSE)</f>
        <v>46178</v>
      </c>
      <c r="C30" s="26" t="s">
        <v>415</v>
      </c>
      <c r="D30" s="26" t="s">
        <v>427</v>
      </c>
      <c r="E30" s="26" t="s">
        <v>428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1:27" ht="15.75" customHeight="1" x14ac:dyDescent="0.3">
      <c r="A31" s="26">
        <v>29</v>
      </c>
      <c r="B31" s="27">
        <f>VLOOKUP((MATCH(A31,'Formato Cronograma'!$N$11:$LJ$11,0)),Datos!A:D,4,FALSE)</f>
        <v>46183</v>
      </c>
      <c r="C31" s="26" t="s">
        <v>417</v>
      </c>
      <c r="D31" s="26" t="s">
        <v>432</v>
      </c>
      <c r="E31" s="26" t="s">
        <v>418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15.75" customHeight="1" x14ac:dyDescent="0.3">
      <c r="A32" s="26">
        <v>30</v>
      </c>
      <c r="B32" s="27">
        <f>VLOOKUP((MATCH(A32,'Formato Cronograma'!$N$11:$LJ$11,0)),Datos!A:D,4,FALSE)</f>
        <v>46185</v>
      </c>
      <c r="C32" s="26" t="s">
        <v>415</v>
      </c>
      <c r="D32" s="26" t="s">
        <v>427</v>
      </c>
      <c r="E32" s="26" t="s">
        <v>428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1:27" ht="15.75" customHeight="1" x14ac:dyDescent="0.3">
      <c r="A33" s="26">
        <v>31</v>
      </c>
      <c r="B33" s="27">
        <f>VLOOKUP((MATCH(A33,'Formato Cronograma'!$N$11:$LJ$11,0)),Datos!A:D,4,FALSE)</f>
        <v>46190</v>
      </c>
      <c r="C33" s="26" t="s">
        <v>417</v>
      </c>
      <c r="D33" s="26" t="s">
        <v>432</v>
      </c>
      <c r="E33" s="26" t="s">
        <v>418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1:27" ht="15.75" customHeight="1" x14ac:dyDescent="0.3">
      <c r="A34" s="26">
        <v>32</v>
      </c>
      <c r="B34" s="27">
        <f>VLOOKUP((MATCH(A34,'Formato Cronograma'!$N$11:$LJ$11,0)),Datos!A:D,4,FALSE)</f>
        <v>46195</v>
      </c>
      <c r="C34" s="26" t="s">
        <v>417</v>
      </c>
      <c r="D34" s="26" t="s">
        <v>433</v>
      </c>
      <c r="E34" s="26" t="s">
        <v>418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 ht="15.75" customHeight="1" x14ac:dyDescent="0.3">
      <c r="A35" s="26">
        <v>33</v>
      </c>
      <c r="B35" s="27">
        <f>VLOOKUP((MATCH(A35,'Formato Cronograma'!$N$11:$LJ$11,0)),Datos!A:D,4,FALSE)</f>
        <v>46197</v>
      </c>
      <c r="C35" s="26" t="s">
        <v>417</v>
      </c>
      <c r="D35" s="26" t="s">
        <v>433</v>
      </c>
      <c r="E35" s="26" t="s">
        <v>418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 ht="15.75" customHeight="1" x14ac:dyDescent="0.3">
      <c r="A36" s="26">
        <v>34</v>
      </c>
      <c r="B36" s="27">
        <f>VLOOKUP((MATCH(A36,'Formato Cronograma'!$N$11:$LJ$11,0)),Datos!A:D,4,FALSE)</f>
        <v>46199</v>
      </c>
      <c r="C36" s="26" t="s">
        <v>415</v>
      </c>
      <c r="D36" s="26" t="s">
        <v>427</v>
      </c>
      <c r="E36" s="26" t="s">
        <v>428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1:27" ht="15.75" customHeight="1" x14ac:dyDescent="0.3">
      <c r="A37" s="26">
        <v>35</v>
      </c>
      <c r="B37" s="27">
        <f>VLOOKUP((MATCH(A37,'Formato Cronograma'!$N$11:$LJ$11,0)),Datos!A:D,4,FALSE)</f>
        <v>46204</v>
      </c>
      <c r="C37" s="26" t="s">
        <v>417</v>
      </c>
      <c r="D37" s="26" t="s">
        <v>433</v>
      </c>
      <c r="E37" s="26" t="s">
        <v>418</v>
      </c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7" ht="15.75" customHeight="1" x14ac:dyDescent="0.3">
      <c r="A38" s="26">
        <v>36</v>
      </c>
      <c r="B38" s="27">
        <f>VLOOKUP((MATCH(A38,'Formato Cronograma'!$N$11:$LJ$11,0)),Datos!A:D,4,FALSE)</f>
        <v>46206</v>
      </c>
      <c r="C38" s="26" t="s">
        <v>415</v>
      </c>
      <c r="D38" s="26" t="s">
        <v>427</v>
      </c>
      <c r="E38" s="26" t="s">
        <v>428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1:27" ht="15.75" customHeight="1" x14ac:dyDescent="0.3">
      <c r="A39" s="26">
        <v>37</v>
      </c>
      <c r="B39" s="27">
        <f>VLOOKUP((MATCH(A39,'Formato Cronograma'!$N$11:$LJ$11,0)),Datos!A:D,4,FALSE)</f>
        <v>46209</v>
      </c>
      <c r="C39" s="26" t="s">
        <v>417</v>
      </c>
      <c r="D39" s="26" t="s">
        <v>433</v>
      </c>
      <c r="E39" s="26" t="s">
        <v>416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1:27" ht="15.75" customHeight="1" x14ac:dyDescent="0.3">
      <c r="A40" s="26">
        <v>38</v>
      </c>
      <c r="B40" s="27">
        <f>VLOOKUP((MATCH(A40,'Formato Cronograma'!$N$11:$LJ$11,0)),Datos!A:D,4,FALSE)</f>
        <v>46211</v>
      </c>
      <c r="C40" s="26" t="s">
        <v>417</v>
      </c>
      <c r="D40" s="26" t="s">
        <v>433</v>
      </c>
      <c r="E40" s="26" t="s">
        <v>418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1:27" ht="15.75" customHeight="1" x14ac:dyDescent="0.3">
      <c r="A41" s="26">
        <v>39</v>
      </c>
      <c r="B41" s="27">
        <f>VLOOKUP((MATCH(A41,'Formato Cronograma'!$N$11:$LJ$11,0)),Datos!A:D,4,FALSE)</f>
        <v>46216</v>
      </c>
      <c r="C41" s="26" t="s">
        <v>417</v>
      </c>
      <c r="D41" s="26" t="s">
        <v>433</v>
      </c>
      <c r="E41" s="26" t="s">
        <v>416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spans="1:27" ht="15.75" customHeight="1" x14ac:dyDescent="0.3">
      <c r="A42" s="26">
        <v>40</v>
      </c>
      <c r="B42" s="27">
        <f>VLOOKUP((MATCH(A42,'Formato Cronograma'!$N$11:$LJ$11,0)),Datos!A:D,4,FALSE)</f>
        <v>46220</v>
      </c>
      <c r="C42" s="26" t="s">
        <v>415</v>
      </c>
      <c r="D42" s="26" t="s">
        <v>427</v>
      </c>
      <c r="E42" s="26" t="s">
        <v>428</v>
      </c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27" ht="15.75" customHeight="1" x14ac:dyDescent="0.3">
      <c r="A43" s="26">
        <v>41</v>
      </c>
      <c r="B43" s="27">
        <f>VLOOKUP((MATCH(A43,'Formato Cronograma'!$N$11:$LJ$11,0)),Datos!A:D,4,FALSE)</f>
        <v>46230</v>
      </c>
      <c r="C43" s="26" t="s">
        <v>417</v>
      </c>
      <c r="D43" s="26" t="s">
        <v>427</v>
      </c>
      <c r="E43" s="26" t="s">
        <v>416</v>
      </c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spans="1:27" ht="15.75" customHeight="1" x14ac:dyDescent="0.3">
      <c r="A44" s="24"/>
      <c r="B44" s="32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spans="1:27" ht="15.75" customHeight="1" x14ac:dyDescent="0.3">
      <c r="A45" s="24"/>
      <c r="B45" s="32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1:27" ht="15.75" customHeight="1" x14ac:dyDescent="0.3">
      <c r="A46" s="24"/>
      <c r="B46" s="32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1:27" ht="15.75" customHeight="1" x14ac:dyDescent="0.3">
      <c r="A47" s="24"/>
      <c r="B47" s="32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 ht="15.75" customHeight="1" x14ac:dyDescent="0.3">
      <c r="A48" s="24"/>
      <c r="B48" s="32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 ht="15.75" customHeight="1" x14ac:dyDescent="0.3">
      <c r="A49" s="24"/>
      <c r="B49" s="32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spans="1:27" ht="15.75" customHeight="1" x14ac:dyDescent="0.3">
      <c r="A50" s="24"/>
      <c r="B50" s="32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spans="1:27" ht="15.75" customHeight="1" x14ac:dyDescent="0.3">
      <c r="A51" s="24"/>
      <c r="B51" s="32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 ht="15.75" customHeight="1" x14ac:dyDescent="0.3">
      <c r="A52" s="24"/>
      <c r="B52" s="32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ht="15.75" customHeight="1" x14ac:dyDescent="0.3">
      <c r="A53" s="24"/>
      <c r="B53" s="32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 ht="15.75" customHeight="1" x14ac:dyDescent="0.3">
      <c r="A54" s="24"/>
      <c r="B54" s="32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 ht="15.75" customHeight="1" x14ac:dyDescent="0.3">
      <c r="A55" s="24"/>
      <c r="B55" s="32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 ht="15.75" customHeight="1" x14ac:dyDescent="0.3">
      <c r="A56" s="24"/>
      <c r="B56" s="32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:27" ht="15.75" customHeight="1" x14ac:dyDescent="0.3">
      <c r="A57" s="24"/>
      <c r="B57" s="32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ht="15.75" customHeight="1" x14ac:dyDescent="0.3">
      <c r="A58" s="24"/>
      <c r="B58" s="32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:27" ht="15.75" customHeight="1" x14ac:dyDescent="0.3">
      <c r="A59" s="24"/>
      <c r="B59" s="32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:27" ht="15.75" customHeight="1" x14ac:dyDescent="0.3">
      <c r="A60" s="24"/>
      <c r="B60" s="32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 ht="15.75" customHeight="1" x14ac:dyDescent="0.3">
      <c r="A61" s="24"/>
      <c r="B61" s="32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spans="1:27" ht="15.75" customHeight="1" x14ac:dyDescent="0.3">
      <c r="A62" s="24"/>
      <c r="B62" s="32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spans="1:27" ht="15.75" customHeight="1" x14ac:dyDescent="0.3">
      <c r="A63" s="24"/>
      <c r="B63" s="32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:27" ht="15.75" customHeight="1" x14ac:dyDescent="0.3">
      <c r="A64" s="24"/>
      <c r="B64" s="32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spans="1:27" ht="15.75" customHeight="1" x14ac:dyDescent="0.3">
      <c r="A65" s="24"/>
      <c r="B65" s="32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spans="1:27" ht="15.75" customHeight="1" x14ac:dyDescent="0.3">
      <c r="A66" s="24"/>
      <c r="B66" s="32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spans="1:27" ht="15.75" customHeight="1" x14ac:dyDescent="0.3">
      <c r="A67" s="24"/>
      <c r="B67" s="32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spans="1:27" ht="15.75" customHeight="1" x14ac:dyDescent="0.3">
      <c r="A68" s="24"/>
      <c r="B68" s="32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ht="15.75" customHeight="1" x14ac:dyDescent="0.3">
      <c r="A69" s="24"/>
      <c r="B69" s="32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ht="15.75" customHeight="1" x14ac:dyDescent="0.3">
      <c r="A70" s="24"/>
      <c r="B70" s="32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ht="15.75" customHeight="1" x14ac:dyDescent="0.3">
      <c r="A71" s="24"/>
      <c r="B71" s="32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spans="1:27" ht="15.75" customHeight="1" x14ac:dyDescent="0.3">
      <c r="A72" s="24"/>
      <c r="B72" s="32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spans="1:27" ht="15.75" customHeight="1" x14ac:dyDescent="0.3">
      <c r="A73" s="24"/>
      <c r="B73" s="32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:27" ht="15.75" customHeight="1" x14ac:dyDescent="0.3">
      <c r="A74" s="24"/>
      <c r="B74" s="32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27" ht="15.75" customHeight="1" x14ac:dyDescent="0.3">
      <c r="A75" s="24"/>
      <c r="B75" s="32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spans="1:27" ht="15.75" customHeight="1" x14ac:dyDescent="0.3">
      <c r="A76" s="24"/>
      <c r="B76" s="32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27" ht="15.75" customHeight="1" x14ac:dyDescent="0.3">
      <c r="A77" s="24"/>
      <c r="B77" s="32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1:27" ht="15.75" customHeight="1" x14ac:dyDescent="0.3">
      <c r="A78" s="24"/>
      <c r="B78" s="32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 ht="15.75" customHeight="1" x14ac:dyDescent="0.3">
      <c r="A79" s="24"/>
      <c r="B79" s="32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spans="1:27" ht="15.75" customHeight="1" x14ac:dyDescent="0.3">
      <c r="A80" s="24"/>
      <c r="B80" s="32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1:27" ht="15.75" customHeight="1" x14ac:dyDescent="0.3">
      <c r="A81" s="24"/>
      <c r="B81" s="32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1:27" ht="15.75" customHeight="1" x14ac:dyDescent="0.3">
      <c r="A82" s="24"/>
      <c r="B82" s="32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:27" ht="15.75" customHeight="1" x14ac:dyDescent="0.3">
      <c r="A83" s="24"/>
      <c r="B83" s="32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:27" ht="15.75" customHeight="1" x14ac:dyDescent="0.3">
      <c r="A84" s="24"/>
      <c r="B84" s="32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1:27" ht="15.75" customHeight="1" x14ac:dyDescent="0.3">
      <c r="A85" s="24"/>
      <c r="B85" s="32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:27" ht="15.75" customHeight="1" x14ac:dyDescent="0.3">
      <c r="A86" s="24"/>
      <c r="B86" s="32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spans="1:27" ht="15.75" customHeight="1" x14ac:dyDescent="0.3">
      <c r="A87" s="24"/>
      <c r="B87" s="32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1:27" ht="15.75" customHeight="1" x14ac:dyDescent="0.3">
      <c r="A88" s="24"/>
      <c r="B88" s="32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spans="1:27" ht="15.75" customHeight="1" x14ac:dyDescent="0.3">
      <c r="A89" s="24"/>
      <c r="B89" s="32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1:27" ht="15.75" customHeight="1" x14ac:dyDescent="0.3">
      <c r="A90" s="24"/>
      <c r="B90" s="32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spans="1:27" ht="15.75" customHeight="1" x14ac:dyDescent="0.3">
      <c r="A91" s="24"/>
      <c r="B91" s="32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1:27" ht="15.75" customHeight="1" x14ac:dyDescent="0.3">
      <c r="A92" s="24"/>
      <c r="B92" s="32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1:27" ht="15.75" customHeight="1" x14ac:dyDescent="0.3">
      <c r="A93" s="24"/>
      <c r="B93" s="32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:27" ht="15.75" customHeight="1" x14ac:dyDescent="0.3">
      <c r="A94" s="24"/>
      <c r="B94" s="32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spans="1:27" ht="15.75" customHeight="1" x14ac:dyDescent="0.3">
      <c r="A95" s="24"/>
      <c r="B95" s="32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spans="1:27" ht="15.75" customHeight="1" x14ac:dyDescent="0.3">
      <c r="A96" s="24"/>
      <c r="B96" s="32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spans="1:27" ht="15.75" customHeight="1" x14ac:dyDescent="0.3">
      <c r="A97" s="24"/>
      <c r="B97" s="32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spans="1:27" ht="15.75" customHeight="1" x14ac:dyDescent="0.3">
      <c r="A98" s="24"/>
      <c r="B98" s="32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spans="1:27" ht="15.75" customHeight="1" x14ac:dyDescent="0.3">
      <c r="A99" s="24"/>
      <c r="B99" s="32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spans="1:27" ht="15.75" customHeight="1" x14ac:dyDescent="0.3">
      <c r="A100" s="24"/>
      <c r="B100" s="32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:27" ht="15.75" customHeight="1" x14ac:dyDescent="0.3">
      <c r="A101" s="24"/>
      <c r="B101" s="32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1:27" ht="15.75" customHeight="1" x14ac:dyDescent="0.3">
      <c r="A102" s="24"/>
      <c r="B102" s="32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spans="1:27" ht="15.75" customHeight="1" x14ac:dyDescent="0.3">
      <c r="A103" s="24"/>
      <c r="B103" s="32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spans="1:27" ht="15.75" customHeight="1" x14ac:dyDescent="0.3">
      <c r="A104" s="24"/>
      <c r="B104" s="32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spans="1:27" ht="15.75" customHeight="1" x14ac:dyDescent="0.3">
      <c r="A105" s="24"/>
      <c r="B105" s="32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spans="1:27" ht="15.75" customHeight="1" x14ac:dyDescent="0.3">
      <c r="A106" s="24"/>
      <c r="B106" s="32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spans="1:27" ht="15.75" customHeight="1" x14ac:dyDescent="0.3">
      <c r="A107" s="24"/>
      <c r="B107" s="32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spans="1:27" ht="15.75" customHeight="1" x14ac:dyDescent="0.3">
      <c r="A108" s="24"/>
      <c r="B108" s="32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spans="1:27" ht="15.75" customHeight="1" x14ac:dyDescent="0.3">
      <c r="A109" s="24"/>
      <c r="B109" s="32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spans="1:27" ht="15.75" customHeight="1" x14ac:dyDescent="0.3">
      <c r="A110" s="24"/>
      <c r="B110" s="32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spans="1:27" ht="15.75" customHeight="1" x14ac:dyDescent="0.3">
      <c r="A111" s="24"/>
      <c r="B111" s="32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spans="1:27" ht="15.75" customHeight="1" x14ac:dyDescent="0.3">
      <c r="A112" s="24"/>
      <c r="B112" s="32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spans="1:27" ht="15.75" customHeight="1" x14ac:dyDescent="0.3">
      <c r="A113" s="24"/>
      <c r="B113" s="32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spans="1:27" ht="15.75" customHeight="1" x14ac:dyDescent="0.3">
      <c r="A114" s="24"/>
      <c r="B114" s="32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spans="1:27" ht="15.75" customHeight="1" x14ac:dyDescent="0.3">
      <c r="A115" s="24"/>
      <c r="B115" s="32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spans="1:27" ht="15.75" customHeight="1" x14ac:dyDescent="0.3">
      <c r="A116" s="24"/>
      <c r="B116" s="32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spans="1:27" ht="15.75" customHeight="1" x14ac:dyDescent="0.3">
      <c r="A117" s="24"/>
      <c r="B117" s="32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spans="1:27" ht="15.75" customHeight="1" x14ac:dyDescent="0.3">
      <c r="A118" s="24"/>
      <c r="B118" s="32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spans="1:27" ht="15.75" customHeight="1" x14ac:dyDescent="0.3">
      <c r="A119" s="24"/>
      <c r="B119" s="32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spans="1:27" ht="15.75" customHeight="1" x14ac:dyDescent="0.3">
      <c r="A120" s="24"/>
      <c r="B120" s="32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spans="1:27" ht="15.75" customHeight="1" x14ac:dyDescent="0.3">
      <c r="A121" s="24"/>
      <c r="B121" s="32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spans="1:27" ht="15.75" customHeight="1" x14ac:dyDescent="0.3">
      <c r="A122" s="24"/>
      <c r="B122" s="32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spans="1:27" ht="15.75" customHeight="1" x14ac:dyDescent="0.3">
      <c r="A123" s="24"/>
      <c r="B123" s="32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spans="1:27" ht="15.75" customHeight="1" x14ac:dyDescent="0.3">
      <c r="A124" s="24"/>
      <c r="B124" s="32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spans="1:27" ht="15.75" customHeight="1" x14ac:dyDescent="0.3">
      <c r="A125" s="24"/>
      <c r="B125" s="32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spans="1:27" ht="15.75" customHeight="1" x14ac:dyDescent="0.3">
      <c r="A126" s="24"/>
      <c r="B126" s="32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spans="1:27" ht="15.75" customHeight="1" x14ac:dyDescent="0.3">
      <c r="A127" s="24"/>
      <c r="B127" s="32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spans="1:27" ht="15.75" customHeight="1" x14ac:dyDescent="0.3">
      <c r="A128" s="24"/>
      <c r="B128" s="32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spans="1:27" ht="15.75" customHeight="1" x14ac:dyDescent="0.3">
      <c r="A129" s="24"/>
      <c r="B129" s="32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spans="1:27" ht="15.75" customHeight="1" x14ac:dyDescent="0.3">
      <c r="A130" s="24"/>
      <c r="B130" s="32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spans="1:27" ht="15.75" customHeight="1" x14ac:dyDescent="0.3">
      <c r="A131" s="24"/>
      <c r="B131" s="32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spans="1:27" ht="15.75" customHeight="1" x14ac:dyDescent="0.3">
      <c r="A132" s="24"/>
      <c r="B132" s="32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spans="1:27" ht="15.75" customHeight="1" x14ac:dyDescent="0.3">
      <c r="A133" s="24"/>
      <c r="B133" s="32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spans="1:27" ht="15.75" customHeight="1" x14ac:dyDescent="0.3">
      <c r="A134" s="24"/>
      <c r="B134" s="32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spans="1:27" ht="15.75" customHeight="1" x14ac:dyDescent="0.3">
      <c r="A135" s="24"/>
      <c r="B135" s="32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spans="1:27" ht="15.75" customHeight="1" x14ac:dyDescent="0.3">
      <c r="A136" s="24"/>
      <c r="B136" s="32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spans="1:27" ht="15.75" customHeight="1" x14ac:dyDescent="0.3">
      <c r="A137" s="24"/>
      <c r="B137" s="32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spans="1:27" ht="15.75" customHeight="1" x14ac:dyDescent="0.3">
      <c r="A138" s="24"/>
      <c r="B138" s="32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spans="1:27" ht="15.75" customHeight="1" x14ac:dyDescent="0.3">
      <c r="A139" s="24"/>
      <c r="B139" s="32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spans="1:27" ht="15.75" customHeight="1" x14ac:dyDescent="0.3">
      <c r="A140" s="24"/>
      <c r="B140" s="32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spans="1:27" ht="15.75" customHeight="1" x14ac:dyDescent="0.3">
      <c r="A141" s="24"/>
      <c r="B141" s="32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spans="1:27" ht="15.75" customHeight="1" x14ac:dyDescent="0.3">
      <c r="A142" s="24"/>
      <c r="B142" s="32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spans="1:27" ht="15.75" customHeight="1" x14ac:dyDescent="0.3">
      <c r="A143" s="24"/>
      <c r="B143" s="32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spans="1:27" ht="15.75" customHeight="1" x14ac:dyDescent="0.3">
      <c r="A144" s="24"/>
      <c r="B144" s="32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spans="1:27" ht="15.75" customHeight="1" x14ac:dyDescent="0.3">
      <c r="A145" s="24"/>
      <c r="B145" s="32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spans="1:27" ht="15.75" customHeight="1" x14ac:dyDescent="0.3">
      <c r="A146" s="24"/>
      <c r="B146" s="32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spans="1:27" ht="15.75" customHeight="1" x14ac:dyDescent="0.3">
      <c r="A147" s="24"/>
      <c r="B147" s="32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spans="1:27" ht="15.75" customHeight="1" x14ac:dyDescent="0.3">
      <c r="A148" s="24"/>
      <c r="B148" s="32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spans="1:27" ht="15.75" customHeight="1" x14ac:dyDescent="0.3">
      <c r="A149" s="24"/>
      <c r="B149" s="32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spans="1:27" ht="15.75" customHeight="1" x14ac:dyDescent="0.3">
      <c r="A150" s="24"/>
      <c r="B150" s="32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spans="1:27" ht="15.75" customHeight="1" x14ac:dyDescent="0.3">
      <c r="A151" s="24"/>
      <c r="B151" s="32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spans="1:27" ht="15.75" customHeight="1" x14ac:dyDescent="0.3">
      <c r="A152" s="24"/>
      <c r="B152" s="32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spans="1:27" ht="15.75" customHeight="1" x14ac:dyDescent="0.3">
      <c r="A153" s="24"/>
      <c r="B153" s="32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spans="1:27" ht="15.75" customHeight="1" x14ac:dyDescent="0.3">
      <c r="A154" s="24"/>
      <c r="B154" s="32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spans="1:27" ht="15.75" customHeight="1" x14ac:dyDescent="0.3">
      <c r="A155" s="24"/>
      <c r="B155" s="32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spans="1:27" ht="15.75" customHeight="1" x14ac:dyDescent="0.3">
      <c r="A156" s="24"/>
      <c r="B156" s="32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spans="1:27" ht="15.75" customHeight="1" x14ac:dyDescent="0.3">
      <c r="A157" s="24"/>
      <c r="B157" s="32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spans="1:27" ht="15.75" customHeight="1" x14ac:dyDescent="0.3">
      <c r="A158" s="24"/>
      <c r="B158" s="32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spans="1:27" ht="15.75" customHeight="1" x14ac:dyDescent="0.3">
      <c r="A159" s="24"/>
      <c r="B159" s="32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spans="1:27" ht="15.75" customHeight="1" x14ac:dyDescent="0.3">
      <c r="A160" s="24"/>
      <c r="B160" s="32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spans="1:27" ht="15.75" customHeight="1" x14ac:dyDescent="0.3">
      <c r="A161" s="24"/>
      <c r="B161" s="32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spans="1:27" ht="15.75" customHeight="1" x14ac:dyDescent="0.3">
      <c r="A162" s="24"/>
      <c r="B162" s="32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spans="1:27" ht="15.75" customHeight="1" x14ac:dyDescent="0.3">
      <c r="A163" s="24"/>
      <c r="B163" s="32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spans="1:27" ht="15.75" customHeight="1" x14ac:dyDescent="0.3">
      <c r="A164" s="24"/>
      <c r="B164" s="32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spans="1:27" ht="15.75" customHeight="1" x14ac:dyDescent="0.3">
      <c r="A165" s="24"/>
      <c r="B165" s="32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spans="1:27" ht="15.75" customHeight="1" x14ac:dyDescent="0.3">
      <c r="A166" s="24"/>
      <c r="B166" s="32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spans="1:27" ht="15.75" customHeight="1" x14ac:dyDescent="0.3">
      <c r="A167" s="24"/>
      <c r="B167" s="32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spans="1:27" ht="15.75" customHeight="1" x14ac:dyDescent="0.3">
      <c r="A168" s="24"/>
      <c r="B168" s="32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spans="1:27" ht="15.75" customHeight="1" x14ac:dyDescent="0.3">
      <c r="A169" s="24"/>
      <c r="B169" s="32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spans="1:27" ht="15.75" customHeight="1" x14ac:dyDescent="0.3">
      <c r="A170" s="24"/>
      <c r="B170" s="32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spans="1:27" ht="15.75" customHeight="1" x14ac:dyDescent="0.3">
      <c r="A171" s="24"/>
      <c r="B171" s="32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spans="1:27" ht="15.75" customHeight="1" x14ac:dyDescent="0.3">
      <c r="A172" s="24"/>
      <c r="B172" s="32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spans="1:27" ht="15.75" customHeight="1" x14ac:dyDescent="0.3">
      <c r="A173" s="24"/>
      <c r="B173" s="32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spans="1:27" ht="15.75" customHeight="1" x14ac:dyDescent="0.3">
      <c r="A174" s="24"/>
      <c r="B174" s="32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spans="1:27" ht="15.75" customHeight="1" x14ac:dyDescent="0.3">
      <c r="A175" s="24"/>
      <c r="B175" s="32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spans="1:27" ht="15.75" customHeight="1" x14ac:dyDescent="0.3">
      <c r="A176" s="24"/>
      <c r="B176" s="32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spans="1:27" ht="15.75" customHeight="1" x14ac:dyDescent="0.3">
      <c r="A177" s="24"/>
      <c r="B177" s="32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spans="1:27" ht="15.75" customHeight="1" x14ac:dyDescent="0.3">
      <c r="A178" s="24"/>
      <c r="B178" s="32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spans="1:27" ht="15.75" customHeight="1" x14ac:dyDescent="0.3">
      <c r="A179" s="24"/>
      <c r="B179" s="32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spans="1:27" ht="15.75" customHeight="1" x14ac:dyDescent="0.3">
      <c r="A180" s="24"/>
      <c r="B180" s="32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spans="1:27" ht="15.75" customHeight="1" x14ac:dyDescent="0.3">
      <c r="A181" s="24"/>
      <c r="B181" s="32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spans="1:27" ht="15.75" customHeight="1" x14ac:dyDescent="0.3">
      <c r="A182" s="24"/>
      <c r="B182" s="32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spans="1:27" ht="15.75" customHeight="1" x14ac:dyDescent="0.3">
      <c r="A183" s="24"/>
      <c r="B183" s="32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spans="1:27" ht="15.75" customHeight="1" x14ac:dyDescent="0.3">
      <c r="A184" s="24"/>
      <c r="B184" s="32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spans="1:27" ht="15.75" customHeight="1" x14ac:dyDescent="0.3">
      <c r="A185" s="24"/>
      <c r="B185" s="32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spans="1:27" ht="15.75" customHeight="1" x14ac:dyDescent="0.3">
      <c r="A186" s="24"/>
      <c r="B186" s="32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spans="1:27" ht="15.75" customHeight="1" x14ac:dyDescent="0.3">
      <c r="A187" s="24"/>
      <c r="B187" s="32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spans="1:27" ht="15.75" customHeight="1" x14ac:dyDescent="0.3">
      <c r="A188" s="24"/>
      <c r="B188" s="32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spans="1:27" ht="15.75" customHeight="1" x14ac:dyDescent="0.3">
      <c r="A189" s="24"/>
      <c r="B189" s="32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spans="1:27" ht="15.75" customHeight="1" x14ac:dyDescent="0.3">
      <c r="A190" s="24"/>
      <c r="B190" s="32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spans="1:27" ht="15.75" customHeight="1" x14ac:dyDescent="0.3">
      <c r="A191" s="24"/>
      <c r="B191" s="32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spans="1:27" ht="15.75" customHeight="1" x14ac:dyDescent="0.3">
      <c r="A192" s="24"/>
      <c r="B192" s="32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spans="1:27" ht="15.75" customHeight="1" x14ac:dyDescent="0.3">
      <c r="A193" s="24"/>
      <c r="B193" s="32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spans="1:27" ht="15.75" customHeight="1" x14ac:dyDescent="0.3">
      <c r="A194" s="24"/>
      <c r="B194" s="32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spans="1:27" ht="15.75" customHeight="1" x14ac:dyDescent="0.3">
      <c r="A195" s="24"/>
      <c r="B195" s="32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spans="1:27" ht="15.75" customHeight="1" x14ac:dyDescent="0.3">
      <c r="A196" s="24"/>
      <c r="B196" s="32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spans="1:27" ht="15.75" customHeight="1" x14ac:dyDescent="0.3">
      <c r="A197" s="24"/>
      <c r="B197" s="32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spans="1:27" ht="15.75" customHeight="1" x14ac:dyDescent="0.3">
      <c r="A198" s="24"/>
      <c r="B198" s="32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spans="1:27" ht="15.75" customHeight="1" x14ac:dyDescent="0.3">
      <c r="A199" s="24"/>
      <c r="B199" s="32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spans="1:27" ht="15.75" customHeight="1" x14ac:dyDescent="0.3">
      <c r="A200" s="24"/>
      <c r="B200" s="32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spans="1:27" ht="15.75" customHeight="1" x14ac:dyDescent="0.3">
      <c r="A201" s="24"/>
      <c r="B201" s="32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spans="1:27" ht="15.75" customHeight="1" x14ac:dyDescent="0.3">
      <c r="A202" s="24"/>
      <c r="B202" s="32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spans="1:27" ht="15.75" customHeight="1" x14ac:dyDescent="0.3">
      <c r="A203" s="24"/>
      <c r="B203" s="32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spans="1:27" ht="15.75" customHeight="1" x14ac:dyDescent="0.3">
      <c r="A204" s="24"/>
      <c r="B204" s="32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spans="1:27" ht="15.75" customHeight="1" x14ac:dyDescent="0.3">
      <c r="A205" s="24"/>
      <c r="B205" s="32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spans="1:27" ht="15.75" customHeight="1" x14ac:dyDescent="0.3">
      <c r="A206" s="24"/>
      <c r="B206" s="32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spans="1:27" ht="15.75" customHeight="1" x14ac:dyDescent="0.3">
      <c r="A207" s="24"/>
      <c r="B207" s="32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spans="1:27" ht="15.75" customHeight="1" x14ac:dyDescent="0.3">
      <c r="A208" s="24"/>
      <c r="B208" s="32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spans="1:27" ht="15.75" customHeight="1" x14ac:dyDescent="0.3">
      <c r="A209" s="24"/>
      <c r="B209" s="32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spans="1:27" ht="15.75" customHeight="1" x14ac:dyDescent="0.3">
      <c r="A210" s="24"/>
      <c r="B210" s="32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spans="1:27" ht="15.75" customHeight="1" x14ac:dyDescent="0.3">
      <c r="A211" s="24"/>
      <c r="B211" s="32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spans="1:27" ht="15.75" customHeight="1" x14ac:dyDescent="0.3">
      <c r="A212" s="24"/>
      <c r="B212" s="32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spans="1:27" ht="15.75" customHeight="1" x14ac:dyDescent="0.3">
      <c r="A213" s="24"/>
      <c r="B213" s="32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spans="1:27" ht="15.75" customHeight="1" x14ac:dyDescent="0.3">
      <c r="A214" s="24"/>
      <c r="B214" s="32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spans="1:27" ht="15.75" customHeight="1" x14ac:dyDescent="0.3">
      <c r="A215" s="24"/>
      <c r="B215" s="32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spans="1:27" ht="15.75" customHeight="1" x14ac:dyDescent="0.3">
      <c r="A216" s="24"/>
      <c r="B216" s="32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spans="1:27" ht="15.75" customHeight="1" x14ac:dyDescent="0.3">
      <c r="A217" s="24"/>
      <c r="B217" s="32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spans="1:27" ht="15.75" customHeight="1" x14ac:dyDescent="0.3">
      <c r="A218" s="24"/>
      <c r="B218" s="32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spans="1:27" ht="15.75" customHeight="1" x14ac:dyDescent="0.3">
      <c r="A219" s="24"/>
      <c r="B219" s="32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spans="1:27" ht="15.75" customHeight="1" x14ac:dyDescent="0.3">
      <c r="A220" s="24"/>
      <c r="B220" s="32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spans="1:27" ht="15.75" customHeight="1" x14ac:dyDescent="0.3">
      <c r="A221" s="24"/>
      <c r="B221" s="32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spans="1:27" ht="15.75" customHeight="1" x14ac:dyDescent="0.3">
      <c r="A222" s="24"/>
      <c r="B222" s="32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 spans="1:27" ht="15.75" customHeight="1" x14ac:dyDescent="0.3">
      <c r="A223" s="24"/>
      <c r="B223" s="32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 spans="1:27" ht="15.75" customHeight="1" x14ac:dyDescent="0.3">
      <c r="A224" s="24"/>
      <c r="B224" s="32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 spans="1:27" ht="15.75" customHeight="1" x14ac:dyDescent="0.3">
      <c r="A225" s="24"/>
      <c r="B225" s="32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 spans="1:27" ht="15.75" customHeight="1" x14ac:dyDescent="0.3">
      <c r="A226" s="24"/>
      <c r="B226" s="32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 spans="1:27" ht="15.75" customHeight="1" x14ac:dyDescent="0.3">
      <c r="A227" s="24"/>
      <c r="B227" s="32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 spans="1:27" ht="15.75" customHeight="1" x14ac:dyDescent="0.3">
      <c r="A228" s="24"/>
      <c r="B228" s="32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 spans="1:27" ht="15.75" customHeight="1" x14ac:dyDescent="0.3">
      <c r="A229" s="24"/>
      <c r="B229" s="32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 spans="1:27" ht="15.75" customHeight="1" x14ac:dyDescent="0.3">
      <c r="A230" s="24"/>
      <c r="B230" s="32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 spans="1:27" ht="15.75" customHeight="1" x14ac:dyDescent="0.3">
      <c r="A231" s="24"/>
      <c r="B231" s="32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 spans="1:27" ht="15.75" customHeight="1" x14ac:dyDescent="0.3">
      <c r="A232" s="24"/>
      <c r="B232" s="32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 spans="1:27" ht="15.75" customHeight="1" x14ac:dyDescent="0.3">
      <c r="A233" s="24"/>
      <c r="B233" s="32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 spans="1:27" ht="15.75" customHeight="1" x14ac:dyDescent="0.3">
      <c r="A234" s="24"/>
      <c r="B234" s="32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 spans="1:27" ht="15.75" customHeight="1" x14ac:dyDescent="0.3">
      <c r="A235" s="24"/>
      <c r="B235" s="32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 spans="1:27" ht="15.75" customHeight="1" x14ac:dyDescent="0.3">
      <c r="A236" s="24"/>
      <c r="B236" s="32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 spans="1:27" ht="15.75" customHeight="1" x14ac:dyDescent="0.3">
      <c r="A237" s="24"/>
      <c r="B237" s="32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 spans="1:27" ht="15.75" customHeight="1" x14ac:dyDescent="0.3">
      <c r="A238" s="24"/>
      <c r="B238" s="32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 spans="1:27" ht="15.75" customHeight="1" x14ac:dyDescent="0.3">
      <c r="A239" s="24"/>
      <c r="B239" s="32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 spans="1:27" ht="15.75" customHeight="1" x14ac:dyDescent="0.3">
      <c r="A240" s="24"/>
      <c r="B240" s="32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 spans="1:27" ht="15.75" customHeight="1" x14ac:dyDescent="0.3">
      <c r="A241" s="24"/>
      <c r="B241" s="32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 spans="1:27" ht="15.75" customHeight="1" x14ac:dyDescent="0.3">
      <c r="A242" s="24"/>
      <c r="B242" s="32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 spans="1:27" ht="15.75" customHeight="1" x14ac:dyDescent="0.3">
      <c r="A243" s="24"/>
      <c r="B243" s="32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 spans="1:27" ht="15.75" customHeight="1" x14ac:dyDescent="0.3">
      <c r="A244" s="24"/>
      <c r="B244" s="32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 spans="1:27" ht="15.75" customHeight="1" x14ac:dyDescent="0.3">
      <c r="A245" s="24"/>
      <c r="B245" s="32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 spans="1:27" ht="15.75" customHeight="1" x14ac:dyDescent="0.3">
      <c r="A246" s="24"/>
      <c r="B246" s="32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 spans="1:27" ht="15.75" customHeight="1" x14ac:dyDescent="0.3">
      <c r="A247" s="24"/>
      <c r="B247" s="32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 spans="1:27" ht="15.75" customHeight="1" x14ac:dyDescent="0.3">
      <c r="A248" s="24"/>
      <c r="B248" s="32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 spans="1:27" ht="15.75" customHeight="1" x14ac:dyDescent="0.3">
      <c r="A249" s="24"/>
      <c r="B249" s="32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</row>
    <row r="250" spans="1:27" ht="15.75" customHeight="1" x14ac:dyDescent="0.3">
      <c r="A250" s="24"/>
      <c r="B250" s="32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</row>
    <row r="251" spans="1:27" ht="15.75" customHeight="1" x14ac:dyDescent="0.3">
      <c r="A251" s="24"/>
      <c r="B251" s="32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</row>
    <row r="252" spans="1:27" ht="15.75" customHeight="1" x14ac:dyDescent="0.3">
      <c r="A252" s="24"/>
      <c r="B252" s="32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</row>
    <row r="253" spans="1:27" ht="15.75" customHeight="1" x14ac:dyDescent="0.3">
      <c r="A253" s="24"/>
      <c r="B253" s="32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</row>
    <row r="254" spans="1:27" ht="15.75" customHeight="1" x14ac:dyDescent="0.3">
      <c r="A254" s="24"/>
      <c r="B254" s="32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</row>
    <row r="255" spans="1:27" ht="15.75" customHeight="1" x14ac:dyDescent="0.3">
      <c r="A255" s="24"/>
      <c r="B255" s="32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</row>
    <row r="256" spans="1:27" ht="15.75" customHeight="1" x14ac:dyDescent="0.3">
      <c r="A256" s="24"/>
      <c r="B256" s="32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</row>
    <row r="257" spans="1:27" ht="15.75" customHeight="1" x14ac:dyDescent="0.3">
      <c r="A257" s="24"/>
      <c r="B257" s="32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</row>
    <row r="258" spans="1:27" ht="15.75" customHeight="1" x14ac:dyDescent="0.3">
      <c r="A258" s="24"/>
      <c r="B258" s="32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</row>
    <row r="259" spans="1:27" ht="15.75" customHeight="1" x14ac:dyDescent="0.3">
      <c r="A259" s="24"/>
      <c r="B259" s="32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</row>
    <row r="260" spans="1:27" ht="15.75" customHeight="1" x14ac:dyDescent="0.3">
      <c r="A260" s="24"/>
      <c r="B260" s="32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</row>
    <row r="261" spans="1:27" ht="15.75" customHeight="1" x14ac:dyDescent="0.3">
      <c r="A261" s="24"/>
      <c r="B261" s="32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</row>
    <row r="262" spans="1:27" ht="15.75" customHeight="1" x14ac:dyDescent="0.3">
      <c r="A262" s="24"/>
      <c r="B262" s="32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</row>
    <row r="263" spans="1:27" ht="15.75" customHeight="1" x14ac:dyDescent="0.3">
      <c r="A263" s="24"/>
      <c r="B263" s="32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</row>
    <row r="264" spans="1:27" ht="15.75" customHeight="1" x14ac:dyDescent="0.3">
      <c r="A264" s="24"/>
      <c r="B264" s="32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</row>
    <row r="265" spans="1:27" ht="15.75" customHeight="1" x14ac:dyDescent="0.3">
      <c r="A265" s="24"/>
      <c r="B265" s="32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</row>
    <row r="266" spans="1:27" ht="15.75" customHeight="1" x14ac:dyDescent="0.3">
      <c r="A266" s="24"/>
      <c r="B266" s="32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</row>
    <row r="267" spans="1:27" ht="15.75" customHeight="1" x14ac:dyDescent="0.3">
      <c r="A267" s="24"/>
      <c r="B267" s="32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</row>
    <row r="268" spans="1:27" ht="15.75" customHeight="1" x14ac:dyDescent="0.3">
      <c r="A268" s="24"/>
      <c r="B268" s="32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</row>
    <row r="269" spans="1:27" ht="15.75" customHeight="1" x14ac:dyDescent="0.3">
      <c r="A269" s="24"/>
      <c r="B269" s="32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</row>
    <row r="270" spans="1:27" ht="15.75" customHeight="1" x14ac:dyDescent="0.3">
      <c r="A270" s="24"/>
      <c r="B270" s="32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</row>
    <row r="271" spans="1:27" ht="15.75" customHeight="1" x14ac:dyDescent="0.3">
      <c r="A271" s="24"/>
      <c r="B271" s="32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</row>
    <row r="272" spans="1:27" ht="15.75" customHeight="1" x14ac:dyDescent="0.3">
      <c r="A272" s="24"/>
      <c r="B272" s="32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</row>
    <row r="273" spans="1:27" ht="15.75" customHeight="1" x14ac:dyDescent="0.3">
      <c r="A273" s="24"/>
      <c r="B273" s="32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</row>
    <row r="274" spans="1:27" ht="15.75" customHeight="1" x14ac:dyDescent="0.3">
      <c r="A274" s="24"/>
      <c r="B274" s="32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</row>
    <row r="275" spans="1:27" ht="15.75" customHeight="1" x14ac:dyDescent="0.3">
      <c r="A275" s="24"/>
      <c r="B275" s="32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</row>
    <row r="276" spans="1:27" ht="15.75" customHeight="1" x14ac:dyDescent="0.3">
      <c r="A276" s="24"/>
      <c r="B276" s="32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</row>
    <row r="277" spans="1:27" ht="15.75" customHeight="1" x14ac:dyDescent="0.3">
      <c r="A277" s="24"/>
      <c r="B277" s="32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</row>
    <row r="278" spans="1:27" ht="15.75" customHeight="1" x14ac:dyDescent="0.3">
      <c r="A278" s="24"/>
      <c r="B278" s="32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</row>
    <row r="279" spans="1:27" ht="15.75" customHeight="1" x14ac:dyDescent="0.3">
      <c r="A279" s="24"/>
      <c r="B279" s="32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</row>
    <row r="280" spans="1:27" ht="15.75" customHeight="1" x14ac:dyDescent="0.3">
      <c r="A280" s="24"/>
      <c r="B280" s="32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</row>
    <row r="281" spans="1:27" ht="15.75" customHeight="1" x14ac:dyDescent="0.3">
      <c r="A281" s="24"/>
      <c r="B281" s="32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</row>
    <row r="282" spans="1:27" ht="15.75" customHeight="1" x14ac:dyDescent="0.3">
      <c r="A282" s="24"/>
      <c r="B282" s="32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</row>
    <row r="283" spans="1:27" ht="15.75" customHeight="1" x14ac:dyDescent="0.3">
      <c r="A283" s="24"/>
      <c r="B283" s="32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</row>
    <row r="284" spans="1:27" ht="15.75" customHeight="1" x14ac:dyDescent="0.3">
      <c r="A284" s="24"/>
      <c r="B284" s="32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</row>
    <row r="285" spans="1:27" ht="15.75" customHeight="1" x14ac:dyDescent="0.3">
      <c r="A285" s="24"/>
      <c r="B285" s="32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</row>
    <row r="286" spans="1:27" ht="15.75" customHeight="1" x14ac:dyDescent="0.3">
      <c r="A286" s="24"/>
      <c r="B286" s="32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</row>
    <row r="287" spans="1:27" ht="15.75" customHeight="1" x14ac:dyDescent="0.3">
      <c r="A287" s="24"/>
      <c r="B287" s="32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</row>
    <row r="288" spans="1:27" ht="15.75" customHeight="1" x14ac:dyDescent="0.3">
      <c r="A288" s="24"/>
      <c r="B288" s="32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</row>
    <row r="289" spans="1:27" ht="15.75" customHeight="1" x14ac:dyDescent="0.3">
      <c r="A289" s="24"/>
      <c r="B289" s="32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</row>
    <row r="290" spans="1:27" ht="15.75" customHeight="1" x14ac:dyDescent="0.3">
      <c r="A290" s="24"/>
      <c r="B290" s="32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</row>
    <row r="291" spans="1:27" ht="15.75" customHeight="1" x14ac:dyDescent="0.3">
      <c r="A291" s="24"/>
      <c r="B291" s="32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</row>
    <row r="292" spans="1:27" ht="15.75" customHeight="1" x14ac:dyDescent="0.3">
      <c r="A292" s="24"/>
      <c r="B292" s="32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</row>
    <row r="293" spans="1:27" ht="15.75" customHeight="1" x14ac:dyDescent="0.3">
      <c r="A293" s="24"/>
      <c r="B293" s="32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</row>
    <row r="294" spans="1:27" ht="15.75" customHeight="1" x14ac:dyDescent="0.3">
      <c r="A294" s="24"/>
      <c r="B294" s="32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</row>
    <row r="295" spans="1:27" ht="15.75" customHeight="1" x14ac:dyDescent="0.3">
      <c r="A295" s="24"/>
      <c r="B295" s="32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</row>
    <row r="296" spans="1:27" ht="15.75" customHeight="1" x14ac:dyDescent="0.3">
      <c r="A296" s="24"/>
      <c r="B296" s="32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</row>
    <row r="297" spans="1:27" ht="15.75" customHeight="1" x14ac:dyDescent="0.3">
      <c r="A297" s="24"/>
      <c r="B297" s="32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</row>
    <row r="298" spans="1:27" ht="15.75" customHeight="1" x14ac:dyDescent="0.3">
      <c r="A298" s="24"/>
      <c r="B298" s="32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</row>
    <row r="299" spans="1:27" ht="15.75" customHeight="1" x14ac:dyDescent="0.3">
      <c r="A299" s="24"/>
      <c r="B299" s="32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</row>
    <row r="300" spans="1:27" ht="15.75" customHeight="1" x14ac:dyDescent="0.3">
      <c r="A300" s="24"/>
      <c r="B300" s="32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</row>
    <row r="301" spans="1:27" ht="15.75" customHeight="1" x14ac:dyDescent="0.3">
      <c r="A301" s="24"/>
      <c r="B301" s="32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</row>
    <row r="302" spans="1:27" ht="15.75" customHeight="1" x14ac:dyDescent="0.3">
      <c r="A302" s="24"/>
      <c r="B302" s="32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</row>
    <row r="303" spans="1:27" ht="15.75" customHeight="1" x14ac:dyDescent="0.3">
      <c r="A303" s="24"/>
      <c r="B303" s="32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</row>
    <row r="304" spans="1:27" ht="15.75" customHeight="1" x14ac:dyDescent="0.3">
      <c r="A304" s="24"/>
      <c r="B304" s="32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</row>
    <row r="305" spans="1:27" ht="15.75" customHeight="1" x14ac:dyDescent="0.3">
      <c r="A305" s="24"/>
      <c r="B305" s="32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</row>
    <row r="306" spans="1:27" ht="15.75" customHeight="1" x14ac:dyDescent="0.3">
      <c r="A306" s="24"/>
      <c r="B306" s="32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</row>
    <row r="307" spans="1:27" ht="15.75" customHeight="1" x14ac:dyDescent="0.3">
      <c r="A307" s="24"/>
      <c r="B307" s="32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</row>
    <row r="308" spans="1:27" ht="15.75" customHeight="1" x14ac:dyDescent="0.3">
      <c r="A308" s="24"/>
      <c r="B308" s="32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</row>
    <row r="309" spans="1:27" ht="15.75" customHeight="1" x14ac:dyDescent="0.3">
      <c r="A309" s="24"/>
      <c r="B309" s="32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</row>
    <row r="310" spans="1:27" ht="15.75" customHeight="1" x14ac:dyDescent="0.3">
      <c r="A310" s="24"/>
      <c r="B310" s="32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</row>
    <row r="311" spans="1:27" ht="15.75" customHeight="1" x14ac:dyDescent="0.3">
      <c r="A311" s="24"/>
      <c r="B311" s="32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</row>
    <row r="312" spans="1:27" ht="15.75" customHeight="1" x14ac:dyDescent="0.3">
      <c r="A312" s="24"/>
      <c r="B312" s="32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</row>
    <row r="313" spans="1:27" ht="15.75" customHeight="1" x14ac:dyDescent="0.3">
      <c r="A313" s="24"/>
      <c r="B313" s="32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</row>
    <row r="314" spans="1:27" ht="15.75" customHeight="1" x14ac:dyDescent="0.3">
      <c r="A314" s="24"/>
      <c r="B314" s="32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</row>
    <row r="315" spans="1:27" ht="15.75" customHeight="1" x14ac:dyDescent="0.3">
      <c r="A315" s="24"/>
      <c r="B315" s="32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</row>
    <row r="316" spans="1:27" ht="15.75" customHeight="1" x14ac:dyDescent="0.3">
      <c r="A316" s="24"/>
      <c r="B316" s="32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</row>
    <row r="317" spans="1:27" ht="15.75" customHeight="1" x14ac:dyDescent="0.3">
      <c r="A317" s="24"/>
      <c r="B317" s="32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</row>
    <row r="318" spans="1:27" ht="15.75" customHeight="1" x14ac:dyDescent="0.3">
      <c r="A318" s="24"/>
      <c r="B318" s="32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</row>
    <row r="319" spans="1:27" ht="15.75" customHeight="1" x14ac:dyDescent="0.3">
      <c r="A319" s="24"/>
      <c r="B319" s="32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</row>
    <row r="320" spans="1:27" ht="15.75" customHeight="1" x14ac:dyDescent="0.3">
      <c r="A320" s="24"/>
      <c r="B320" s="32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</row>
    <row r="321" spans="1:27" ht="15.75" customHeight="1" x14ac:dyDescent="0.3">
      <c r="A321" s="24"/>
      <c r="B321" s="32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</row>
    <row r="322" spans="1:27" ht="15.75" customHeight="1" x14ac:dyDescent="0.3">
      <c r="A322" s="24"/>
      <c r="B322" s="32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</row>
    <row r="323" spans="1:27" ht="15.75" customHeight="1" x14ac:dyDescent="0.3">
      <c r="A323" s="24"/>
      <c r="B323" s="32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</row>
    <row r="324" spans="1:27" ht="15.75" customHeight="1" x14ac:dyDescent="0.3">
      <c r="A324" s="24"/>
      <c r="B324" s="32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</row>
    <row r="325" spans="1:27" ht="15.75" customHeight="1" x14ac:dyDescent="0.3">
      <c r="A325" s="24"/>
      <c r="B325" s="32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</row>
    <row r="326" spans="1:27" ht="15.75" customHeight="1" x14ac:dyDescent="0.3">
      <c r="A326" s="24"/>
      <c r="B326" s="32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</row>
    <row r="327" spans="1:27" ht="15.75" customHeight="1" x14ac:dyDescent="0.3">
      <c r="A327" s="24"/>
      <c r="B327" s="32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</row>
    <row r="328" spans="1:27" ht="15.75" customHeight="1" x14ac:dyDescent="0.3">
      <c r="A328" s="24"/>
      <c r="B328" s="32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</row>
    <row r="329" spans="1:27" ht="15.75" customHeight="1" x14ac:dyDescent="0.3">
      <c r="A329" s="24"/>
      <c r="B329" s="32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</row>
    <row r="330" spans="1:27" ht="15.75" customHeight="1" x14ac:dyDescent="0.3">
      <c r="A330" s="24"/>
      <c r="B330" s="32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</row>
    <row r="331" spans="1:27" ht="15.75" customHeight="1" x14ac:dyDescent="0.3">
      <c r="A331" s="24"/>
      <c r="B331" s="32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</row>
    <row r="332" spans="1:27" ht="15.75" customHeight="1" x14ac:dyDescent="0.3">
      <c r="A332" s="24"/>
      <c r="B332" s="32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</row>
    <row r="333" spans="1:27" ht="15.75" customHeight="1" x14ac:dyDescent="0.3">
      <c r="A333" s="24"/>
      <c r="B333" s="32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</row>
    <row r="334" spans="1:27" ht="15.75" customHeight="1" x14ac:dyDescent="0.3">
      <c r="A334" s="24"/>
      <c r="B334" s="32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</row>
    <row r="335" spans="1:27" ht="15.75" customHeight="1" x14ac:dyDescent="0.3">
      <c r="A335" s="24"/>
      <c r="B335" s="32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</row>
    <row r="336" spans="1:27" ht="15.75" customHeight="1" x14ac:dyDescent="0.3">
      <c r="A336" s="24"/>
      <c r="B336" s="32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</row>
    <row r="337" spans="1:27" ht="15.75" customHeight="1" x14ac:dyDescent="0.3">
      <c r="A337" s="24"/>
      <c r="B337" s="32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</row>
    <row r="338" spans="1:27" ht="15.75" customHeight="1" x14ac:dyDescent="0.3">
      <c r="A338" s="24"/>
      <c r="B338" s="32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</row>
    <row r="339" spans="1:27" ht="15.75" customHeight="1" x14ac:dyDescent="0.3">
      <c r="A339" s="24"/>
      <c r="B339" s="32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</row>
    <row r="340" spans="1:27" ht="15.75" customHeight="1" x14ac:dyDescent="0.3">
      <c r="A340" s="24"/>
      <c r="B340" s="32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</row>
    <row r="341" spans="1:27" ht="15.75" customHeight="1" x14ac:dyDescent="0.3">
      <c r="A341" s="24"/>
      <c r="B341" s="32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</row>
    <row r="342" spans="1:27" ht="15.75" customHeight="1" x14ac:dyDescent="0.3">
      <c r="A342" s="24"/>
      <c r="B342" s="32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</row>
    <row r="343" spans="1:27" ht="15.75" customHeight="1" x14ac:dyDescent="0.3">
      <c r="A343" s="24"/>
      <c r="B343" s="32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</row>
    <row r="344" spans="1:27" ht="15.75" customHeight="1" x14ac:dyDescent="0.3">
      <c r="A344" s="24"/>
      <c r="B344" s="32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</row>
    <row r="345" spans="1:27" ht="15.75" customHeight="1" x14ac:dyDescent="0.3">
      <c r="A345" s="24"/>
      <c r="B345" s="32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</row>
    <row r="346" spans="1:27" ht="15.75" customHeight="1" x14ac:dyDescent="0.3">
      <c r="A346" s="24"/>
      <c r="B346" s="32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</row>
    <row r="347" spans="1:27" ht="15.75" customHeight="1" x14ac:dyDescent="0.3">
      <c r="A347" s="24"/>
      <c r="B347" s="32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</row>
    <row r="348" spans="1:27" ht="15.75" customHeight="1" x14ac:dyDescent="0.3">
      <c r="A348" s="24"/>
      <c r="B348" s="32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</row>
    <row r="349" spans="1:27" ht="15.75" customHeight="1" x14ac:dyDescent="0.3">
      <c r="A349" s="24"/>
      <c r="B349" s="32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</row>
    <row r="350" spans="1:27" ht="15.75" customHeight="1" x14ac:dyDescent="0.3">
      <c r="A350" s="24"/>
      <c r="B350" s="32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</row>
    <row r="351" spans="1:27" ht="15.75" customHeight="1" x14ac:dyDescent="0.3">
      <c r="A351" s="24"/>
      <c r="B351" s="32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</row>
    <row r="352" spans="1:27" ht="15.75" customHeight="1" x14ac:dyDescent="0.3">
      <c r="A352" s="24"/>
      <c r="B352" s="32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</row>
    <row r="353" spans="1:27" ht="15.75" customHeight="1" x14ac:dyDescent="0.3">
      <c r="A353" s="24"/>
      <c r="B353" s="32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</row>
    <row r="354" spans="1:27" ht="15.75" customHeight="1" x14ac:dyDescent="0.3">
      <c r="A354" s="24"/>
      <c r="B354" s="32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</row>
    <row r="355" spans="1:27" ht="15.75" customHeight="1" x14ac:dyDescent="0.3">
      <c r="A355" s="24"/>
      <c r="B355" s="32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</row>
    <row r="356" spans="1:27" ht="15.75" customHeight="1" x14ac:dyDescent="0.3">
      <c r="A356" s="24"/>
      <c r="B356" s="32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</row>
    <row r="357" spans="1:27" ht="15.75" customHeight="1" x14ac:dyDescent="0.3">
      <c r="A357" s="24"/>
      <c r="B357" s="32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</row>
    <row r="358" spans="1:27" ht="15.75" customHeight="1" x14ac:dyDescent="0.3">
      <c r="A358" s="24"/>
      <c r="B358" s="32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</row>
    <row r="359" spans="1:27" ht="15.75" customHeight="1" x14ac:dyDescent="0.3">
      <c r="A359" s="24"/>
      <c r="B359" s="32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</row>
    <row r="360" spans="1:27" ht="15.75" customHeight="1" x14ac:dyDescent="0.3">
      <c r="A360" s="24"/>
      <c r="B360" s="32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</row>
    <row r="361" spans="1:27" ht="15.75" customHeight="1" x14ac:dyDescent="0.3">
      <c r="A361" s="24"/>
      <c r="B361" s="32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</row>
    <row r="362" spans="1:27" ht="15.75" customHeight="1" x14ac:dyDescent="0.3">
      <c r="A362" s="24"/>
      <c r="B362" s="32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</row>
    <row r="363" spans="1:27" ht="15.75" customHeight="1" x14ac:dyDescent="0.3">
      <c r="A363" s="24"/>
      <c r="B363" s="32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</row>
    <row r="364" spans="1:27" ht="15.75" customHeight="1" x14ac:dyDescent="0.3">
      <c r="A364" s="24"/>
      <c r="B364" s="32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</row>
    <row r="365" spans="1:27" ht="15.75" customHeight="1" x14ac:dyDescent="0.3">
      <c r="A365" s="24"/>
      <c r="B365" s="32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</row>
    <row r="366" spans="1:27" ht="15.75" customHeight="1" x14ac:dyDescent="0.3">
      <c r="A366" s="24"/>
      <c r="B366" s="32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</row>
    <row r="367" spans="1:27" ht="15.75" customHeight="1" x14ac:dyDescent="0.3">
      <c r="A367" s="24"/>
      <c r="B367" s="32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</row>
    <row r="368" spans="1:27" ht="15.75" customHeight="1" x14ac:dyDescent="0.3">
      <c r="A368" s="24"/>
      <c r="B368" s="32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</row>
    <row r="369" spans="1:27" ht="15.75" customHeight="1" x14ac:dyDescent="0.3">
      <c r="A369" s="24"/>
      <c r="B369" s="32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</row>
    <row r="370" spans="1:27" ht="15.75" customHeight="1" x14ac:dyDescent="0.3">
      <c r="A370" s="24"/>
      <c r="B370" s="32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</row>
    <row r="371" spans="1:27" ht="15.75" customHeight="1" x14ac:dyDescent="0.3">
      <c r="A371" s="24"/>
      <c r="B371" s="32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</row>
    <row r="372" spans="1:27" ht="15.75" customHeight="1" x14ac:dyDescent="0.3">
      <c r="A372" s="24"/>
      <c r="B372" s="32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</row>
    <row r="373" spans="1:27" ht="15.75" customHeight="1" x14ac:dyDescent="0.3">
      <c r="A373" s="24"/>
      <c r="B373" s="32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</row>
    <row r="374" spans="1:27" ht="15.75" customHeight="1" x14ac:dyDescent="0.3">
      <c r="A374" s="24"/>
      <c r="B374" s="32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</row>
    <row r="375" spans="1:27" ht="15.75" customHeight="1" x14ac:dyDescent="0.3">
      <c r="A375" s="24"/>
      <c r="B375" s="32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</row>
    <row r="376" spans="1:27" ht="15.75" customHeight="1" x14ac:dyDescent="0.3">
      <c r="A376" s="24"/>
      <c r="B376" s="32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</row>
    <row r="377" spans="1:27" ht="15.75" customHeight="1" x14ac:dyDescent="0.3">
      <c r="A377" s="24"/>
      <c r="B377" s="32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</row>
    <row r="378" spans="1:27" ht="15.75" customHeight="1" x14ac:dyDescent="0.3">
      <c r="A378" s="24"/>
      <c r="B378" s="32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</row>
    <row r="379" spans="1:27" ht="15.75" customHeight="1" x14ac:dyDescent="0.3">
      <c r="A379" s="24"/>
      <c r="B379" s="32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</row>
    <row r="380" spans="1:27" ht="15.75" customHeight="1" x14ac:dyDescent="0.3">
      <c r="A380" s="24"/>
      <c r="B380" s="32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</row>
    <row r="381" spans="1:27" ht="15.75" customHeight="1" x14ac:dyDescent="0.3">
      <c r="A381" s="24"/>
      <c r="B381" s="32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</row>
    <row r="382" spans="1:27" ht="15.75" customHeight="1" x14ac:dyDescent="0.3">
      <c r="A382" s="24"/>
      <c r="B382" s="32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</row>
    <row r="383" spans="1:27" ht="15.75" customHeight="1" x14ac:dyDescent="0.3">
      <c r="A383" s="24"/>
      <c r="B383" s="32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</row>
    <row r="384" spans="1:27" ht="15.75" customHeight="1" x14ac:dyDescent="0.3">
      <c r="A384" s="24"/>
      <c r="B384" s="32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</row>
    <row r="385" spans="1:27" ht="15.75" customHeight="1" x14ac:dyDescent="0.3">
      <c r="A385" s="24"/>
      <c r="B385" s="32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</row>
    <row r="386" spans="1:27" ht="15.75" customHeight="1" x14ac:dyDescent="0.3">
      <c r="A386" s="24"/>
      <c r="B386" s="32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</row>
    <row r="387" spans="1:27" ht="15.75" customHeight="1" x14ac:dyDescent="0.3">
      <c r="A387" s="24"/>
      <c r="B387" s="32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</row>
    <row r="388" spans="1:27" ht="15.75" customHeight="1" x14ac:dyDescent="0.3">
      <c r="A388" s="24"/>
      <c r="B388" s="32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</row>
    <row r="389" spans="1:27" ht="15.75" customHeight="1" x14ac:dyDescent="0.3">
      <c r="A389" s="24"/>
      <c r="B389" s="32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</row>
    <row r="390" spans="1:27" ht="15.75" customHeight="1" x14ac:dyDescent="0.3">
      <c r="A390" s="24"/>
      <c r="B390" s="32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</row>
    <row r="391" spans="1:27" ht="15.75" customHeight="1" x14ac:dyDescent="0.3">
      <c r="A391" s="24"/>
      <c r="B391" s="32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</row>
    <row r="392" spans="1:27" ht="15.75" customHeight="1" x14ac:dyDescent="0.3">
      <c r="A392" s="24"/>
      <c r="B392" s="32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</row>
    <row r="393" spans="1:27" ht="15.75" customHeight="1" x14ac:dyDescent="0.3">
      <c r="A393" s="24"/>
      <c r="B393" s="32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</row>
    <row r="394" spans="1:27" ht="15.75" customHeight="1" x14ac:dyDescent="0.3">
      <c r="A394" s="24"/>
      <c r="B394" s="32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</row>
    <row r="395" spans="1:27" ht="15.75" customHeight="1" x14ac:dyDescent="0.3">
      <c r="A395" s="24"/>
      <c r="B395" s="32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</row>
    <row r="396" spans="1:27" ht="15.75" customHeight="1" x14ac:dyDescent="0.3">
      <c r="A396" s="24"/>
      <c r="B396" s="32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</row>
    <row r="397" spans="1:27" ht="15.75" customHeight="1" x14ac:dyDescent="0.3">
      <c r="A397" s="24"/>
      <c r="B397" s="32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</row>
    <row r="398" spans="1:27" ht="15.75" customHeight="1" x14ac:dyDescent="0.3">
      <c r="A398" s="24"/>
      <c r="B398" s="32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</row>
    <row r="399" spans="1:27" ht="15.75" customHeight="1" x14ac:dyDescent="0.3">
      <c r="A399" s="24"/>
      <c r="B399" s="32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</row>
    <row r="400" spans="1:27" ht="15.75" customHeight="1" x14ac:dyDescent="0.3">
      <c r="A400" s="24"/>
      <c r="B400" s="32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</row>
    <row r="401" spans="1:27" ht="15.75" customHeight="1" x14ac:dyDescent="0.3">
      <c r="A401" s="24"/>
      <c r="B401" s="32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</row>
    <row r="402" spans="1:27" ht="15.75" customHeight="1" x14ac:dyDescent="0.3">
      <c r="A402" s="24"/>
      <c r="B402" s="32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</row>
    <row r="403" spans="1:27" ht="15.75" customHeight="1" x14ac:dyDescent="0.3">
      <c r="A403" s="24"/>
      <c r="B403" s="32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</row>
    <row r="404" spans="1:27" ht="15.75" customHeight="1" x14ac:dyDescent="0.3">
      <c r="A404" s="24"/>
      <c r="B404" s="32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</row>
    <row r="405" spans="1:27" ht="15.75" customHeight="1" x14ac:dyDescent="0.3">
      <c r="A405" s="24"/>
      <c r="B405" s="32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</row>
    <row r="406" spans="1:27" ht="15.75" customHeight="1" x14ac:dyDescent="0.3">
      <c r="A406" s="24"/>
      <c r="B406" s="32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</row>
    <row r="407" spans="1:27" ht="15.75" customHeight="1" x14ac:dyDescent="0.3">
      <c r="A407" s="24"/>
      <c r="B407" s="32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</row>
    <row r="408" spans="1:27" ht="15.75" customHeight="1" x14ac:dyDescent="0.3">
      <c r="A408" s="24"/>
      <c r="B408" s="32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</row>
    <row r="409" spans="1:27" ht="15.75" customHeight="1" x14ac:dyDescent="0.3">
      <c r="A409" s="24"/>
      <c r="B409" s="32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</row>
    <row r="410" spans="1:27" ht="15.75" customHeight="1" x14ac:dyDescent="0.3">
      <c r="A410" s="24"/>
      <c r="B410" s="32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</row>
    <row r="411" spans="1:27" ht="15.75" customHeight="1" x14ac:dyDescent="0.3">
      <c r="A411" s="24"/>
      <c r="B411" s="32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</row>
    <row r="412" spans="1:27" ht="15.75" customHeight="1" x14ac:dyDescent="0.3">
      <c r="A412" s="24"/>
      <c r="B412" s="32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</row>
    <row r="413" spans="1:27" ht="15.75" customHeight="1" x14ac:dyDescent="0.3">
      <c r="A413" s="24"/>
      <c r="B413" s="32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</row>
    <row r="414" spans="1:27" ht="15.75" customHeight="1" x14ac:dyDescent="0.3">
      <c r="A414" s="24"/>
      <c r="B414" s="32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</row>
    <row r="415" spans="1:27" ht="15.75" customHeight="1" x14ac:dyDescent="0.3">
      <c r="A415" s="24"/>
      <c r="B415" s="32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</row>
    <row r="416" spans="1:27" ht="15.75" customHeight="1" x14ac:dyDescent="0.3">
      <c r="A416" s="24"/>
      <c r="B416" s="32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</row>
    <row r="417" spans="1:27" ht="15.75" customHeight="1" x14ac:dyDescent="0.3">
      <c r="A417" s="24"/>
      <c r="B417" s="32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</row>
    <row r="418" spans="1:27" ht="15.75" customHeight="1" x14ac:dyDescent="0.3">
      <c r="A418" s="24"/>
      <c r="B418" s="32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</row>
    <row r="419" spans="1:27" ht="15.75" customHeight="1" x14ac:dyDescent="0.3">
      <c r="A419" s="24"/>
      <c r="B419" s="32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</row>
    <row r="420" spans="1:27" ht="15.75" customHeight="1" x14ac:dyDescent="0.3">
      <c r="A420" s="24"/>
      <c r="B420" s="32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</row>
    <row r="421" spans="1:27" ht="15.75" customHeight="1" x14ac:dyDescent="0.3">
      <c r="A421" s="24"/>
      <c r="B421" s="32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</row>
    <row r="422" spans="1:27" ht="15.75" customHeight="1" x14ac:dyDescent="0.3">
      <c r="A422" s="24"/>
      <c r="B422" s="32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</row>
    <row r="423" spans="1:27" ht="15.75" customHeight="1" x14ac:dyDescent="0.3">
      <c r="A423" s="24"/>
      <c r="B423" s="32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</row>
    <row r="424" spans="1:27" ht="15.75" customHeight="1" x14ac:dyDescent="0.3">
      <c r="A424" s="24"/>
      <c r="B424" s="32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</row>
    <row r="425" spans="1:27" ht="15.75" customHeight="1" x14ac:dyDescent="0.3">
      <c r="A425" s="24"/>
      <c r="B425" s="32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</row>
    <row r="426" spans="1:27" ht="15.75" customHeight="1" x14ac:dyDescent="0.3">
      <c r="A426" s="24"/>
      <c r="B426" s="32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</row>
    <row r="427" spans="1:27" ht="15.75" customHeight="1" x14ac:dyDescent="0.3">
      <c r="A427" s="24"/>
      <c r="B427" s="32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</row>
    <row r="428" spans="1:27" ht="15.75" customHeight="1" x14ac:dyDescent="0.3">
      <c r="A428" s="24"/>
      <c r="B428" s="32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</row>
    <row r="429" spans="1:27" ht="15.75" customHeight="1" x14ac:dyDescent="0.3">
      <c r="A429" s="24"/>
      <c r="B429" s="32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</row>
    <row r="430" spans="1:27" ht="15.75" customHeight="1" x14ac:dyDescent="0.3">
      <c r="A430" s="24"/>
      <c r="B430" s="32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</row>
    <row r="431" spans="1:27" ht="15.75" customHeight="1" x14ac:dyDescent="0.3">
      <c r="A431" s="24"/>
      <c r="B431" s="32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</row>
    <row r="432" spans="1:27" ht="15.75" customHeight="1" x14ac:dyDescent="0.3">
      <c r="A432" s="24"/>
      <c r="B432" s="32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</row>
    <row r="433" spans="1:27" ht="15.75" customHeight="1" x14ac:dyDescent="0.3">
      <c r="A433" s="24"/>
      <c r="B433" s="32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</row>
    <row r="434" spans="1:27" ht="15.75" customHeight="1" x14ac:dyDescent="0.3">
      <c r="A434" s="24"/>
      <c r="B434" s="32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</row>
    <row r="435" spans="1:27" ht="15.75" customHeight="1" x14ac:dyDescent="0.3">
      <c r="A435" s="24"/>
      <c r="B435" s="32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</row>
    <row r="436" spans="1:27" ht="15.75" customHeight="1" x14ac:dyDescent="0.3">
      <c r="A436" s="24"/>
      <c r="B436" s="32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</row>
    <row r="437" spans="1:27" ht="15.75" customHeight="1" x14ac:dyDescent="0.3">
      <c r="A437" s="24"/>
      <c r="B437" s="32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</row>
    <row r="438" spans="1:27" ht="15.75" customHeight="1" x14ac:dyDescent="0.3">
      <c r="A438" s="24"/>
      <c r="B438" s="32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</row>
    <row r="439" spans="1:27" ht="15.75" customHeight="1" x14ac:dyDescent="0.3">
      <c r="A439" s="24"/>
      <c r="B439" s="32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</row>
    <row r="440" spans="1:27" ht="15.75" customHeight="1" x14ac:dyDescent="0.3">
      <c r="A440" s="24"/>
      <c r="B440" s="32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</row>
    <row r="441" spans="1:27" ht="15.75" customHeight="1" x14ac:dyDescent="0.3">
      <c r="A441" s="24"/>
      <c r="B441" s="32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</row>
    <row r="442" spans="1:27" ht="15.75" customHeight="1" x14ac:dyDescent="0.3">
      <c r="A442" s="24"/>
      <c r="B442" s="32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</row>
    <row r="443" spans="1:27" ht="15.75" customHeight="1" x14ac:dyDescent="0.3">
      <c r="A443" s="24"/>
      <c r="B443" s="32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</row>
    <row r="444" spans="1:27" ht="15.75" customHeight="1" x14ac:dyDescent="0.3">
      <c r="A444" s="24"/>
      <c r="B444" s="32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</row>
    <row r="445" spans="1:27" ht="15.75" customHeight="1" x14ac:dyDescent="0.3">
      <c r="A445" s="24"/>
      <c r="B445" s="32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</row>
    <row r="446" spans="1:27" ht="15.75" customHeight="1" x14ac:dyDescent="0.3">
      <c r="A446" s="24"/>
      <c r="B446" s="32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</row>
    <row r="447" spans="1:27" ht="15.75" customHeight="1" x14ac:dyDescent="0.3">
      <c r="A447" s="24"/>
      <c r="B447" s="32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</row>
    <row r="448" spans="1:27" ht="15.75" customHeight="1" x14ac:dyDescent="0.3">
      <c r="A448" s="24"/>
      <c r="B448" s="32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</row>
    <row r="449" spans="1:27" ht="15.75" customHeight="1" x14ac:dyDescent="0.3">
      <c r="A449" s="24"/>
      <c r="B449" s="32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</row>
    <row r="450" spans="1:27" ht="15.75" customHeight="1" x14ac:dyDescent="0.3">
      <c r="A450" s="24"/>
      <c r="B450" s="32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</row>
    <row r="451" spans="1:27" ht="15.75" customHeight="1" x14ac:dyDescent="0.3">
      <c r="A451" s="24"/>
      <c r="B451" s="32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</row>
    <row r="452" spans="1:27" ht="15.75" customHeight="1" x14ac:dyDescent="0.3">
      <c r="A452" s="24"/>
      <c r="B452" s="32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</row>
    <row r="453" spans="1:27" ht="15.75" customHeight="1" x14ac:dyDescent="0.3">
      <c r="A453" s="24"/>
      <c r="B453" s="32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</row>
    <row r="454" spans="1:27" ht="15.75" customHeight="1" x14ac:dyDescent="0.3">
      <c r="A454" s="24"/>
      <c r="B454" s="32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</row>
    <row r="455" spans="1:27" ht="15.75" customHeight="1" x14ac:dyDescent="0.3">
      <c r="A455" s="24"/>
      <c r="B455" s="32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</row>
    <row r="456" spans="1:27" ht="15.75" customHeight="1" x14ac:dyDescent="0.3">
      <c r="A456" s="24"/>
      <c r="B456" s="32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</row>
    <row r="457" spans="1:27" ht="15.75" customHeight="1" x14ac:dyDescent="0.3">
      <c r="A457" s="24"/>
      <c r="B457" s="32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</row>
    <row r="458" spans="1:27" ht="15.75" customHeight="1" x14ac:dyDescent="0.3">
      <c r="A458" s="24"/>
      <c r="B458" s="32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</row>
    <row r="459" spans="1:27" ht="15.75" customHeight="1" x14ac:dyDescent="0.3">
      <c r="A459" s="24"/>
      <c r="B459" s="32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</row>
    <row r="460" spans="1:27" ht="15.75" customHeight="1" x14ac:dyDescent="0.3">
      <c r="A460" s="24"/>
      <c r="B460" s="32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</row>
    <row r="461" spans="1:27" ht="15.75" customHeight="1" x14ac:dyDescent="0.3">
      <c r="A461" s="24"/>
      <c r="B461" s="32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</row>
    <row r="462" spans="1:27" ht="15.75" customHeight="1" x14ac:dyDescent="0.3">
      <c r="A462" s="24"/>
      <c r="B462" s="32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</row>
    <row r="463" spans="1:27" ht="15.75" customHeight="1" x14ac:dyDescent="0.3">
      <c r="A463" s="24"/>
      <c r="B463" s="32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</row>
    <row r="464" spans="1:27" ht="15.75" customHeight="1" x14ac:dyDescent="0.3">
      <c r="A464" s="24"/>
      <c r="B464" s="32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</row>
    <row r="465" spans="1:27" ht="15.75" customHeight="1" x14ac:dyDescent="0.3">
      <c r="A465" s="24"/>
      <c r="B465" s="32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</row>
    <row r="466" spans="1:27" ht="15.75" customHeight="1" x14ac:dyDescent="0.3">
      <c r="A466" s="24"/>
      <c r="B466" s="32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</row>
    <row r="467" spans="1:27" ht="15.75" customHeight="1" x14ac:dyDescent="0.3">
      <c r="A467" s="24"/>
      <c r="B467" s="32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</row>
    <row r="468" spans="1:27" ht="15.75" customHeight="1" x14ac:dyDescent="0.3">
      <c r="A468" s="24"/>
      <c r="B468" s="32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</row>
    <row r="469" spans="1:27" ht="15.75" customHeight="1" x14ac:dyDescent="0.3">
      <c r="A469" s="24"/>
      <c r="B469" s="32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</row>
    <row r="470" spans="1:27" ht="15.75" customHeight="1" x14ac:dyDescent="0.3">
      <c r="A470" s="24"/>
      <c r="B470" s="32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</row>
    <row r="471" spans="1:27" ht="15.75" customHeight="1" x14ac:dyDescent="0.3">
      <c r="A471" s="24"/>
      <c r="B471" s="32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</row>
    <row r="472" spans="1:27" ht="15.75" customHeight="1" x14ac:dyDescent="0.3">
      <c r="A472" s="24"/>
      <c r="B472" s="32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</row>
    <row r="473" spans="1:27" ht="15.75" customHeight="1" x14ac:dyDescent="0.3">
      <c r="A473" s="24"/>
      <c r="B473" s="32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</row>
    <row r="474" spans="1:27" ht="15.75" customHeight="1" x14ac:dyDescent="0.3">
      <c r="A474" s="24"/>
      <c r="B474" s="32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</row>
    <row r="475" spans="1:27" ht="15.75" customHeight="1" x14ac:dyDescent="0.3">
      <c r="A475" s="24"/>
      <c r="B475" s="32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</row>
    <row r="476" spans="1:27" ht="15.75" customHeight="1" x14ac:dyDescent="0.3">
      <c r="A476" s="24"/>
      <c r="B476" s="32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</row>
    <row r="477" spans="1:27" ht="15.75" customHeight="1" x14ac:dyDescent="0.3">
      <c r="A477" s="24"/>
      <c r="B477" s="32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</row>
    <row r="478" spans="1:27" ht="15.75" customHeight="1" x14ac:dyDescent="0.3">
      <c r="A478" s="24"/>
      <c r="B478" s="32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</row>
    <row r="479" spans="1:27" ht="15.75" customHeight="1" x14ac:dyDescent="0.3">
      <c r="A479" s="24"/>
      <c r="B479" s="32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</row>
    <row r="480" spans="1:27" ht="15.75" customHeight="1" x14ac:dyDescent="0.3">
      <c r="A480" s="24"/>
      <c r="B480" s="32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</row>
    <row r="481" spans="1:27" ht="15.75" customHeight="1" x14ac:dyDescent="0.3">
      <c r="A481" s="24"/>
      <c r="B481" s="32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</row>
    <row r="482" spans="1:27" ht="15.75" customHeight="1" x14ac:dyDescent="0.3">
      <c r="A482" s="24"/>
      <c r="B482" s="32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</row>
    <row r="483" spans="1:27" ht="15.75" customHeight="1" x14ac:dyDescent="0.3">
      <c r="A483" s="24"/>
      <c r="B483" s="32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</row>
    <row r="484" spans="1:27" ht="15.75" customHeight="1" x14ac:dyDescent="0.3">
      <c r="A484" s="24"/>
      <c r="B484" s="32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</row>
    <row r="485" spans="1:27" ht="15.75" customHeight="1" x14ac:dyDescent="0.3">
      <c r="A485" s="24"/>
      <c r="B485" s="32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</row>
    <row r="486" spans="1:27" ht="15.75" customHeight="1" x14ac:dyDescent="0.3">
      <c r="A486" s="24"/>
      <c r="B486" s="32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</row>
    <row r="487" spans="1:27" ht="15.75" customHeight="1" x14ac:dyDescent="0.3">
      <c r="A487" s="24"/>
      <c r="B487" s="32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</row>
    <row r="488" spans="1:27" ht="15.75" customHeight="1" x14ac:dyDescent="0.3">
      <c r="A488" s="24"/>
      <c r="B488" s="32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</row>
    <row r="489" spans="1:27" ht="15.75" customHeight="1" x14ac:dyDescent="0.3">
      <c r="A489" s="24"/>
      <c r="B489" s="32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</row>
    <row r="490" spans="1:27" ht="15.75" customHeight="1" x14ac:dyDescent="0.3">
      <c r="A490" s="24"/>
      <c r="B490" s="32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</row>
    <row r="491" spans="1:27" ht="15.75" customHeight="1" x14ac:dyDescent="0.3">
      <c r="A491" s="24"/>
      <c r="B491" s="32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</row>
    <row r="492" spans="1:27" ht="15.75" customHeight="1" x14ac:dyDescent="0.3">
      <c r="A492" s="24"/>
      <c r="B492" s="32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</row>
    <row r="493" spans="1:27" ht="15.75" customHeight="1" x14ac:dyDescent="0.3">
      <c r="A493" s="24"/>
      <c r="B493" s="32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</row>
    <row r="494" spans="1:27" ht="15.75" customHeight="1" x14ac:dyDescent="0.3">
      <c r="A494" s="24"/>
      <c r="B494" s="32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</row>
    <row r="495" spans="1:27" ht="15.75" customHeight="1" x14ac:dyDescent="0.3">
      <c r="A495" s="24"/>
      <c r="B495" s="32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</row>
    <row r="496" spans="1:27" ht="15.75" customHeight="1" x14ac:dyDescent="0.3">
      <c r="A496" s="24"/>
      <c r="B496" s="32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</row>
    <row r="497" spans="1:27" ht="15.75" customHeight="1" x14ac:dyDescent="0.3">
      <c r="A497" s="24"/>
      <c r="B497" s="32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</row>
    <row r="498" spans="1:27" ht="15.75" customHeight="1" x14ac:dyDescent="0.3">
      <c r="A498" s="24"/>
      <c r="B498" s="32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</row>
    <row r="499" spans="1:27" ht="15.75" customHeight="1" x14ac:dyDescent="0.3">
      <c r="A499" s="24"/>
      <c r="B499" s="32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</row>
    <row r="500" spans="1:27" ht="15.75" customHeight="1" x14ac:dyDescent="0.3">
      <c r="A500" s="24"/>
      <c r="B500" s="32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</row>
    <row r="501" spans="1:27" ht="15.75" customHeight="1" x14ac:dyDescent="0.3">
      <c r="A501" s="24"/>
      <c r="B501" s="32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</row>
    <row r="502" spans="1:27" ht="15.75" customHeight="1" x14ac:dyDescent="0.3">
      <c r="A502" s="24"/>
      <c r="B502" s="32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</row>
    <row r="503" spans="1:27" ht="15.75" customHeight="1" x14ac:dyDescent="0.3">
      <c r="A503" s="24"/>
      <c r="B503" s="32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</row>
    <row r="504" spans="1:27" ht="15.75" customHeight="1" x14ac:dyDescent="0.3">
      <c r="A504" s="24"/>
      <c r="B504" s="32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</row>
    <row r="505" spans="1:27" ht="15.75" customHeight="1" x14ac:dyDescent="0.3">
      <c r="A505" s="24"/>
      <c r="B505" s="32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</row>
    <row r="506" spans="1:27" ht="15.75" customHeight="1" x14ac:dyDescent="0.3">
      <c r="A506" s="24"/>
      <c r="B506" s="32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</row>
    <row r="507" spans="1:27" ht="15.75" customHeight="1" x14ac:dyDescent="0.3">
      <c r="A507" s="24"/>
      <c r="B507" s="32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</row>
    <row r="508" spans="1:27" ht="15.75" customHeight="1" x14ac:dyDescent="0.3">
      <c r="A508" s="24"/>
      <c r="B508" s="32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</row>
    <row r="509" spans="1:27" ht="15.75" customHeight="1" x14ac:dyDescent="0.3">
      <c r="A509" s="24"/>
      <c r="B509" s="32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</row>
    <row r="510" spans="1:27" ht="15.75" customHeight="1" x14ac:dyDescent="0.3">
      <c r="A510" s="24"/>
      <c r="B510" s="32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</row>
    <row r="511" spans="1:27" ht="15.75" customHeight="1" x14ac:dyDescent="0.3">
      <c r="A511" s="24"/>
      <c r="B511" s="32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</row>
    <row r="512" spans="1:27" ht="15.75" customHeight="1" x14ac:dyDescent="0.3">
      <c r="A512" s="24"/>
      <c r="B512" s="32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</row>
    <row r="513" spans="1:27" ht="15.75" customHeight="1" x14ac:dyDescent="0.3">
      <c r="A513" s="24"/>
      <c r="B513" s="32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</row>
    <row r="514" spans="1:27" ht="15.75" customHeight="1" x14ac:dyDescent="0.3">
      <c r="A514" s="24"/>
      <c r="B514" s="32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</row>
    <row r="515" spans="1:27" ht="15.75" customHeight="1" x14ac:dyDescent="0.3">
      <c r="A515" s="24"/>
      <c r="B515" s="32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</row>
    <row r="516" spans="1:27" ht="15.75" customHeight="1" x14ac:dyDescent="0.3">
      <c r="A516" s="24"/>
      <c r="B516" s="32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</row>
    <row r="517" spans="1:27" ht="15.75" customHeight="1" x14ac:dyDescent="0.3">
      <c r="A517" s="24"/>
      <c r="B517" s="32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</row>
    <row r="518" spans="1:27" ht="15.75" customHeight="1" x14ac:dyDescent="0.3">
      <c r="A518" s="24"/>
      <c r="B518" s="32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</row>
    <row r="519" spans="1:27" ht="15.75" customHeight="1" x14ac:dyDescent="0.3">
      <c r="A519" s="24"/>
      <c r="B519" s="32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</row>
    <row r="520" spans="1:27" ht="15.75" customHeight="1" x14ac:dyDescent="0.3">
      <c r="A520" s="24"/>
      <c r="B520" s="32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</row>
    <row r="521" spans="1:27" ht="15.75" customHeight="1" x14ac:dyDescent="0.3">
      <c r="A521" s="24"/>
      <c r="B521" s="32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</row>
    <row r="522" spans="1:27" ht="15.75" customHeight="1" x14ac:dyDescent="0.3">
      <c r="A522" s="24"/>
      <c r="B522" s="32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</row>
    <row r="523" spans="1:27" ht="15.75" customHeight="1" x14ac:dyDescent="0.3">
      <c r="A523" s="24"/>
      <c r="B523" s="32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</row>
    <row r="524" spans="1:27" ht="15.75" customHeight="1" x14ac:dyDescent="0.3">
      <c r="A524" s="24"/>
      <c r="B524" s="32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</row>
    <row r="525" spans="1:27" ht="15.75" customHeight="1" x14ac:dyDescent="0.3">
      <c r="A525" s="24"/>
      <c r="B525" s="32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</row>
    <row r="526" spans="1:27" ht="15.75" customHeight="1" x14ac:dyDescent="0.3">
      <c r="A526" s="24"/>
      <c r="B526" s="32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</row>
    <row r="527" spans="1:27" ht="15.75" customHeight="1" x14ac:dyDescent="0.3">
      <c r="A527" s="24"/>
      <c r="B527" s="32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</row>
    <row r="528" spans="1:27" ht="15.75" customHeight="1" x14ac:dyDescent="0.3">
      <c r="A528" s="24"/>
      <c r="B528" s="32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</row>
    <row r="529" spans="1:27" ht="15.75" customHeight="1" x14ac:dyDescent="0.3">
      <c r="A529" s="24"/>
      <c r="B529" s="32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</row>
    <row r="530" spans="1:27" ht="15.75" customHeight="1" x14ac:dyDescent="0.3">
      <c r="A530" s="24"/>
      <c r="B530" s="32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</row>
    <row r="531" spans="1:27" ht="15.75" customHeight="1" x14ac:dyDescent="0.3">
      <c r="A531" s="24"/>
      <c r="B531" s="32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</row>
    <row r="532" spans="1:27" ht="15.75" customHeight="1" x14ac:dyDescent="0.3">
      <c r="A532" s="24"/>
      <c r="B532" s="32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</row>
    <row r="533" spans="1:27" ht="15.75" customHeight="1" x14ac:dyDescent="0.3">
      <c r="A533" s="24"/>
      <c r="B533" s="32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</row>
    <row r="534" spans="1:27" ht="15.75" customHeight="1" x14ac:dyDescent="0.3">
      <c r="A534" s="24"/>
      <c r="B534" s="32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</row>
    <row r="535" spans="1:27" ht="15.75" customHeight="1" x14ac:dyDescent="0.3">
      <c r="A535" s="24"/>
      <c r="B535" s="32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</row>
    <row r="536" spans="1:27" ht="15.75" customHeight="1" x14ac:dyDescent="0.3">
      <c r="A536" s="24"/>
      <c r="B536" s="32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</row>
    <row r="537" spans="1:27" ht="15.75" customHeight="1" x14ac:dyDescent="0.3">
      <c r="A537" s="24"/>
      <c r="B537" s="32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</row>
    <row r="538" spans="1:27" ht="15.75" customHeight="1" x14ac:dyDescent="0.3">
      <c r="A538" s="24"/>
      <c r="B538" s="32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</row>
    <row r="539" spans="1:27" ht="15.75" customHeight="1" x14ac:dyDescent="0.3">
      <c r="A539" s="24"/>
      <c r="B539" s="32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</row>
    <row r="540" spans="1:27" ht="15.75" customHeight="1" x14ac:dyDescent="0.3">
      <c r="A540" s="24"/>
      <c r="B540" s="32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</row>
    <row r="541" spans="1:27" ht="15.75" customHeight="1" x14ac:dyDescent="0.3">
      <c r="A541" s="24"/>
      <c r="B541" s="32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</row>
    <row r="542" spans="1:27" ht="15.75" customHeight="1" x14ac:dyDescent="0.3">
      <c r="A542" s="24"/>
      <c r="B542" s="32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</row>
    <row r="543" spans="1:27" ht="15.75" customHeight="1" x14ac:dyDescent="0.3">
      <c r="A543" s="24"/>
      <c r="B543" s="32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</row>
    <row r="544" spans="1:27" ht="15.75" customHeight="1" x14ac:dyDescent="0.3">
      <c r="A544" s="24"/>
      <c r="B544" s="32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</row>
    <row r="545" spans="1:27" ht="15.75" customHeight="1" x14ac:dyDescent="0.3">
      <c r="A545" s="24"/>
      <c r="B545" s="32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</row>
    <row r="546" spans="1:27" ht="15.75" customHeight="1" x14ac:dyDescent="0.3">
      <c r="A546" s="24"/>
      <c r="B546" s="32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</row>
    <row r="547" spans="1:27" ht="15.75" customHeight="1" x14ac:dyDescent="0.3">
      <c r="A547" s="24"/>
      <c r="B547" s="32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</row>
    <row r="548" spans="1:27" ht="15.75" customHeight="1" x14ac:dyDescent="0.3">
      <c r="A548" s="24"/>
      <c r="B548" s="32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</row>
    <row r="549" spans="1:27" ht="15.75" customHeight="1" x14ac:dyDescent="0.3">
      <c r="A549" s="24"/>
      <c r="B549" s="32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</row>
    <row r="550" spans="1:27" ht="15.75" customHeight="1" x14ac:dyDescent="0.3">
      <c r="A550" s="24"/>
      <c r="B550" s="32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</row>
    <row r="551" spans="1:27" ht="15.75" customHeight="1" x14ac:dyDescent="0.3">
      <c r="A551" s="24"/>
      <c r="B551" s="32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</row>
    <row r="552" spans="1:27" ht="15.75" customHeight="1" x14ac:dyDescent="0.3">
      <c r="A552" s="24"/>
      <c r="B552" s="32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</row>
    <row r="553" spans="1:27" ht="15.75" customHeight="1" x14ac:dyDescent="0.3">
      <c r="A553" s="24"/>
      <c r="B553" s="32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</row>
    <row r="554" spans="1:27" ht="15.75" customHeight="1" x14ac:dyDescent="0.3">
      <c r="A554" s="24"/>
      <c r="B554" s="32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</row>
    <row r="555" spans="1:27" ht="15.75" customHeight="1" x14ac:dyDescent="0.3">
      <c r="A555" s="24"/>
      <c r="B555" s="32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</row>
    <row r="556" spans="1:27" ht="15.75" customHeight="1" x14ac:dyDescent="0.3">
      <c r="A556" s="24"/>
      <c r="B556" s="32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</row>
    <row r="557" spans="1:27" ht="15.75" customHeight="1" x14ac:dyDescent="0.3">
      <c r="A557" s="24"/>
      <c r="B557" s="32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</row>
    <row r="558" spans="1:27" ht="15.75" customHeight="1" x14ac:dyDescent="0.3">
      <c r="A558" s="24"/>
      <c r="B558" s="32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</row>
    <row r="559" spans="1:27" ht="15.75" customHeight="1" x14ac:dyDescent="0.3">
      <c r="A559" s="24"/>
      <c r="B559" s="32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</row>
    <row r="560" spans="1:27" ht="15.75" customHeight="1" x14ac:dyDescent="0.3">
      <c r="A560" s="24"/>
      <c r="B560" s="32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</row>
    <row r="561" spans="1:27" ht="15.75" customHeight="1" x14ac:dyDescent="0.3">
      <c r="A561" s="24"/>
      <c r="B561" s="32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</row>
    <row r="562" spans="1:27" ht="15.75" customHeight="1" x14ac:dyDescent="0.3">
      <c r="A562" s="24"/>
      <c r="B562" s="32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</row>
    <row r="563" spans="1:27" ht="15.75" customHeight="1" x14ac:dyDescent="0.3">
      <c r="A563" s="24"/>
      <c r="B563" s="32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</row>
    <row r="564" spans="1:27" ht="15.75" customHeight="1" x14ac:dyDescent="0.3">
      <c r="A564" s="24"/>
      <c r="B564" s="32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</row>
    <row r="565" spans="1:27" ht="15.75" customHeight="1" x14ac:dyDescent="0.3">
      <c r="A565" s="24"/>
      <c r="B565" s="32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</row>
    <row r="566" spans="1:27" ht="15.75" customHeight="1" x14ac:dyDescent="0.3">
      <c r="A566" s="24"/>
      <c r="B566" s="32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</row>
    <row r="567" spans="1:27" ht="15.75" customHeight="1" x14ac:dyDescent="0.3">
      <c r="A567" s="24"/>
      <c r="B567" s="32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</row>
    <row r="568" spans="1:27" ht="15.75" customHeight="1" x14ac:dyDescent="0.3">
      <c r="A568" s="24"/>
      <c r="B568" s="32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</row>
    <row r="569" spans="1:27" ht="15.75" customHeight="1" x14ac:dyDescent="0.3">
      <c r="A569" s="24"/>
      <c r="B569" s="32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</row>
    <row r="570" spans="1:27" ht="15.75" customHeight="1" x14ac:dyDescent="0.3">
      <c r="A570" s="24"/>
      <c r="B570" s="32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</row>
    <row r="571" spans="1:27" ht="15.75" customHeight="1" x14ac:dyDescent="0.3">
      <c r="A571" s="24"/>
      <c r="B571" s="32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</row>
    <row r="572" spans="1:27" ht="15.75" customHeight="1" x14ac:dyDescent="0.3">
      <c r="A572" s="24"/>
      <c r="B572" s="32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</row>
    <row r="573" spans="1:27" ht="15.75" customHeight="1" x14ac:dyDescent="0.3">
      <c r="A573" s="24"/>
      <c r="B573" s="32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</row>
    <row r="574" spans="1:27" ht="15.75" customHeight="1" x14ac:dyDescent="0.3">
      <c r="A574" s="24"/>
      <c r="B574" s="32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</row>
    <row r="575" spans="1:27" ht="15.75" customHeight="1" x14ac:dyDescent="0.3">
      <c r="A575" s="24"/>
      <c r="B575" s="32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</row>
    <row r="576" spans="1:27" ht="15.75" customHeight="1" x14ac:dyDescent="0.3">
      <c r="A576" s="24"/>
      <c r="B576" s="32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</row>
    <row r="577" spans="1:27" ht="15.75" customHeight="1" x14ac:dyDescent="0.3">
      <c r="A577" s="24"/>
      <c r="B577" s="32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</row>
    <row r="578" spans="1:27" ht="15.75" customHeight="1" x14ac:dyDescent="0.3">
      <c r="A578" s="24"/>
      <c r="B578" s="32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</row>
    <row r="579" spans="1:27" ht="15.75" customHeight="1" x14ac:dyDescent="0.3">
      <c r="A579" s="24"/>
      <c r="B579" s="32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</row>
    <row r="580" spans="1:27" ht="15.75" customHeight="1" x14ac:dyDescent="0.3">
      <c r="A580" s="24"/>
      <c r="B580" s="32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</row>
    <row r="581" spans="1:27" ht="15.75" customHeight="1" x14ac:dyDescent="0.3">
      <c r="A581" s="24"/>
      <c r="B581" s="32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</row>
    <row r="582" spans="1:27" ht="15.75" customHeight="1" x14ac:dyDescent="0.3">
      <c r="A582" s="24"/>
      <c r="B582" s="32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</row>
    <row r="583" spans="1:27" ht="15.75" customHeight="1" x14ac:dyDescent="0.3">
      <c r="A583" s="24"/>
      <c r="B583" s="32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</row>
    <row r="584" spans="1:27" ht="15.75" customHeight="1" x14ac:dyDescent="0.3">
      <c r="A584" s="24"/>
      <c r="B584" s="32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</row>
    <row r="585" spans="1:27" ht="15.75" customHeight="1" x14ac:dyDescent="0.3">
      <c r="A585" s="24"/>
      <c r="B585" s="32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</row>
    <row r="586" spans="1:27" ht="15.75" customHeight="1" x14ac:dyDescent="0.3">
      <c r="A586" s="24"/>
      <c r="B586" s="32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</row>
    <row r="587" spans="1:27" ht="15.75" customHeight="1" x14ac:dyDescent="0.3">
      <c r="A587" s="24"/>
      <c r="B587" s="32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</row>
    <row r="588" spans="1:27" ht="15.75" customHeight="1" x14ac:dyDescent="0.3">
      <c r="A588" s="24"/>
      <c r="B588" s="32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</row>
    <row r="589" spans="1:27" ht="15.75" customHeight="1" x14ac:dyDescent="0.3">
      <c r="A589" s="24"/>
      <c r="B589" s="32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</row>
    <row r="590" spans="1:27" ht="15.75" customHeight="1" x14ac:dyDescent="0.3">
      <c r="A590" s="24"/>
      <c r="B590" s="32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</row>
    <row r="591" spans="1:27" ht="15.75" customHeight="1" x14ac:dyDescent="0.3">
      <c r="A591" s="24"/>
      <c r="B591" s="32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</row>
    <row r="592" spans="1:27" ht="15.75" customHeight="1" x14ac:dyDescent="0.3">
      <c r="A592" s="24"/>
      <c r="B592" s="32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</row>
    <row r="593" spans="1:27" ht="15.75" customHeight="1" x14ac:dyDescent="0.3">
      <c r="A593" s="24"/>
      <c r="B593" s="32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</row>
    <row r="594" spans="1:27" ht="15.75" customHeight="1" x14ac:dyDescent="0.3">
      <c r="A594" s="24"/>
      <c r="B594" s="32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</row>
    <row r="595" spans="1:27" ht="15.75" customHeight="1" x14ac:dyDescent="0.3">
      <c r="A595" s="24"/>
      <c r="B595" s="32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</row>
    <row r="596" spans="1:27" ht="15.75" customHeight="1" x14ac:dyDescent="0.3">
      <c r="A596" s="24"/>
      <c r="B596" s="32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</row>
    <row r="597" spans="1:27" ht="15.75" customHeight="1" x14ac:dyDescent="0.3">
      <c r="A597" s="24"/>
      <c r="B597" s="32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</row>
    <row r="598" spans="1:27" ht="15.75" customHeight="1" x14ac:dyDescent="0.3">
      <c r="A598" s="24"/>
      <c r="B598" s="32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</row>
    <row r="599" spans="1:27" ht="15.75" customHeight="1" x14ac:dyDescent="0.3">
      <c r="A599" s="24"/>
      <c r="B599" s="32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</row>
    <row r="600" spans="1:27" ht="15.75" customHeight="1" x14ac:dyDescent="0.3">
      <c r="A600" s="24"/>
      <c r="B600" s="32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</row>
    <row r="601" spans="1:27" ht="15.75" customHeight="1" x14ac:dyDescent="0.3">
      <c r="A601" s="24"/>
      <c r="B601" s="32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</row>
    <row r="602" spans="1:27" ht="15.75" customHeight="1" x14ac:dyDescent="0.3">
      <c r="A602" s="24"/>
      <c r="B602" s="32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</row>
    <row r="603" spans="1:27" ht="15.75" customHeight="1" x14ac:dyDescent="0.3">
      <c r="A603" s="24"/>
      <c r="B603" s="32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</row>
    <row r="604" spans="1:27" ht="15.75" customHeight="1" x14ac:dyDescent="0.3">
      <c r="A604" s="24"/>
      <c r="B604" s="32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</row>
    <row r="605" spans="1:27" ht="15.75" customHeight="1" x14ac:dyDescent="0.3">
      <c r="A605" s="24"/>
      <c r="B605" s="32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</row>
    <row r="606" spans="1:27" ht="15.75" customHeight="1" x14ac:dyDescent="0.3">
      <c r="A606" s="24"/>
      <c r="B606" s="32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</row>
    <row r="607" spans="1:27" ht="15.75" customHeight="1" x14ac:dyDescent="0.3">
      <c r="A607" s="24"/>
      <c r="B607" s="32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</row>
    <row r="608" spans="1:27" ht="15.75" customHeight="1" x14ac:dyDescent="0.3">
      <c r="A608" s="24"/>
      <c r="B608" s="32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</row>
    <row r="609" spans="1:27" ht="15.75" customHeight="1" x14ac:dyDescent="0.3">
      <c r="A609" s="24"/>
      <c r="B609" s="32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</row>
    <row r="610" spans="1:27" ht="15.75" customHeight="1" x14ac:dyDescent="0.3">
      <c r="A610" s="24"/>
      <c r="B610" s="32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</row>
    <row r="611" spans="1:27" ht="15.75" customHeight="1" x14ac:dyDescent="0.3">
      <c r="A611" s="24"/>
      <c r="B611" s="32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</row>
    <row r="612" spans="1:27" ht="15.75" customHeight="1" x14ac:dyDescent="0.3">
      <c r="A612" s="24"/>
      <c r="B612" s="32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</row>
    <row r="613" spans="1:27" ht="15.75" customHeight="1" x14ac:dyDescent="0.3">
      <c r="A613" s="24"/>
      <c r="B613" s="32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</row>
    <row r="614" spans="1:27" ht="15.75" customHeight="1" x14ac:dyDescent="0.3">
      <c r="A614" s="24"/>
      <c r="B614" s="32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</row>
    <row r="615" spans="1:27" ht="15.75" customHeight="1" x14ac:dyDescent="0.3">
      <c r="A615" s="24"/>
      <c r="B615" s="32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</row>
    <row r="616" spans="1:27" ht="15.75" customHeight="1" x14ac:dyDescent="0.3">
      <c r="A616" s="24"/>
      <c r="B616" s="32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</row>
    <row r="617" spans="1:27" ht="15.75" customHeight="1" x14ac:dyDescent="0.3">
      <c r="A617" s="24"/>
      <c r="B617" s="32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</row>
    <row r="618" spans="1:27" ht="15.75" customHeight="1" x14ac:dyDescent="0.3">
      <c r="A618" s="24"/>
      <c r="B618" s="32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</row>
    <row r="619" spans="1:27" ht="15.75" customHeight="1" x14ac:dyDescent="0.3">
      <c r="A619" s="24"/>
      <c r="B619" s="32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</row>
    <row r="620" spans="1:27" ht="15.75" customHeight="1" x14ac:dyDescent="0.3">
      <c r="A620" s="24"/>
      <c r="B620" s="32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</row>
    <row r="621" spans="1:27" ht="15.75" customHeight="1" x14ac:dyDescent="0.3">
      <c r="A621" s="24"/>
      <c r="B621" s="32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</row>
    <row r="622" spans="1:27" ht="15.75" customHeight="1" x14ac:dyDescent="0.3">
      <c r="A622" s="24"/>
      <c r="B622" s="32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</row>
    <row r="623" spans="1:27" ht="15.75" customHeight="1" x14ac:dyDescent="0.3">
      <c r="A623" s="24"/>
      <c r="B623" s="32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</row>
    <row r="624" spans="1:27" ht="15.75" customHeight="1" x14ac:dyDescent="0.3">
      <c r="A624" s="24"/>
      <c r="B624" s="32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</row>
    <row r="625" spans="1:27" ht="15.75" customHeight="1" x14ac:dyDescent="0.3">
      <c r="A625" s="24"/>
      <c r="B625" s="32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</row>
    <row r="626" spans="1:27" ht="15.75" customHeight="1" x14ac:dyDescent="0.3">
      <c r="A626" s="24"/>
      <c r="B626" s="32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</row>
    <row r="627" spans="1:27" ht="15.75" customHeight="1" x14ac:dyDescent="0.3">
      <c r="A627" s="24"/>
      <c r="B627" s="32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</row>
    <row r="628" spans="1:27" ht="15.75" customHeight="1" x14ac:dyDescent="0.3">
      <c r="A628" s="24"/>
      <c r="B628" s="32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</row>
    <row r="629" spans="1:27" ht="15.75" customHeight="1" x14ac:dyDescent="0.3">
      <c r="A629" s="24"/>
      <c r="B629" s="32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</row>
    <row r="630" spans="1:27" ht="15.75" customHeight="1" x14ac:dyDescent="0.3">
      <c r="A630" s="24"/>
      <c r="B630" s="32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</row>
    <row r="631" spans="1:27" ht="15.75" customHeight="1" x14ac:dyDescent="0.3">
      <c r="A631" s="24"/>
      <c r="B631" s="32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</row>
    <row r="632" spans="1:27" ht="15.75" customHeight="1" x14ac:dyDescent="0.3">
      <c r="A632" s="24"/>
      <c r="B632" s="32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</row>
    <row r="633" spans="1:27" ht="15.75" customHeight="1" x14ac:dyDescent="0.3">
      <c r="A633" s="24"/>
      <c r="B633" s="32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</row>
    <row r="634" spans="1:27" ht="15.75" customHeight="1" x14ac:dyDescent="0.3">
      <c r="A634" s="24"/>
      <c r="B634" s="32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</row>
    <row r="635" spans="1:27" ht="15.75" customHeight="1" x14ac:dyDescent="0.3">
      <c r="A635" s="24"/>
      <c r="B635" s="32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</row>
    <row r="636" spans="1:27" ht="15.75" customHeight="1" x14ac:dyDescent="0.3">
      <c r="A636" s="24"/>
      <c r="B636" s="32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</row>
    <row r="637" spans="1:27" ht="15.75" customHeight="1" x14ac:dyDescent="0.3">
      <c r="A637" s="24"/>
      <c r="B637" s="32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</row>
    <row r="638" spans="1:27" ht="15.75" customHeight="1" x14ac:dyDescent="0.3">
      <c r="A638" s="24"/>
      <c r="B638" s="32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</row>
    <row r="639" spans="1:27" ht="15.75" customHeight="1" x14ac:dyDescent="0.3">
      <c r="A639" s="24"/>
      <c r="B639" s="32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</row>
    <row r="640" spans="1:27" ht="15.75" customHeight="1" x14ac:dyDescent="0.3">
      <c r="A640" s="24"/>
      <c r="B640" s="32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</row>
    <row r="641" spans="1:27" ht="15.75" customHeight="1" x14ac:dyDescent="0.3">
      <c r="A641" s="24"/>
      <c r="B641" s="32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</row>
    <row r="642" spans="1:27" ht="15.75" customHeight="1" x14ac:dyDescent="0.3">
      <c r="A642" s="24"/>
      <c r="B642" s="32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</row>
    <row r="643" spans="1:27" ht="15.75" customHeight="1" x14ac:dyDescent="0.3">
      <c r="A643" s="24"/>
      <c r="B643" s="32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</row>
    <row r="644" spans="1:27" ht="15.75" customHeight="1" x14ac:dyDescent="0.3">
      <c r="A644" s="24"/>
      <c r="B644" s="32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</row>
    <row r="645" spans="1:27" ht="15.75" customHeight="1" x14ac:dyDescent="0.3">
      <c r="A645" s="24"/>
      <c r="B645" s="32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</row>
    <row r="646" spans="1:27" ht="15.75" customHeight="1" x14ac:dyDescent="0.3">
      <c r="A646" s="24"/>
      <c r="B646" s="32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</row>
    <row r="647" spans="1:27" ht="15.75" customHeight="1" x14ac:dyDescent="0.3">
      <c r="A647" s="24"/>
      <c r="B647" s="32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</row>
    <row r="648" spans="1:27" ht="15.75" customHeight="1" x14ac:dyDescent="0.3">
      <c r="A648" s="24"/>
      <c r="B648" s="32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</row>
    <row r="649" spans="1:27" ht="15.75" customHeight="1" x14ac:dyDescent="0.3">
      <c r="A649" s="24"/>
      <c r="B649" s="32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</row>
    <row r="650" spans="1:27" ht="15.75" customHeight="1" x14ac:dyDescent="0.3">
      <c r="A650" s="24"/>
      <c r="B650" s="32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</row>
    <row r="651" spans="1:27" ht="15.75" customHeight="1" x14ac:dyDescent="0.3">
      <c r="A651" s="24"/>
      <c r="B651" s="32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</row>
    <row r="652" spans="1:27" ht="15.75" customHeight="1" x14ac:dyDescent="0.3">
      <c r="A652" s="24"/>
      <c r="B652" s="32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</row>
    <row r="653" spans="1:27" ht="15.75" customHeight="1" x14ac:dyDescent="0.3">
      <c r="A653" s="24"/>
      <c r="B653" s="32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</row>
    <row r="654" spans="1:27" ht="15.75" customHeight="1" x14ac:dyDescent="0.3">
      <c r="A654" s="24"/>
      <c r="B654" s="32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</row>
    <row r="655" spans="1:27" ht="15.75" customHeight="1" x14ac:dyDescent="0.3">
      <c r="A655" s="24"/>
      <c r="B655" s="32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</row>
    <row r="656" spans="1:27" ht="15.75" customHeight="1" x14ac:dyDescent="0.3">
      <c r="A656" s="24"/>
      <c r="B656" s="32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</row>
    <row r="657" spans="1:27" ht="15.75" customHeight="1" x14ac:dyDescent="0.3">
      <c r="A657" s="24"/>
      <c r="B657" s="32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</row>
    <row r="658" spans="1:27" ht="15.75" customHeight="1" x14ac:dyDescent="0.3">
      <c r="A658" s="24"/>
      <c r="B658" s="32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</row>
    <row r="659" spans="1:27" ht="15.75" customHeight="1" x14ac:dyDescent="0.3">
      <c r="A659" s="24"/>
      <c r="B659" s="32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</row>
    <row r="660" spans="1:27" ht="15.75" customHeight="1" x14ac:dyDescent="0.3">
      <c r="A660" s="24"/>
      <c r="B660" s="32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</row>
    <row r="661" spans="1:27" ht="15.75" customHeight="1" x14ac:dyDescent="0.3">
      <c r="A661" s="24"/>
      <c r="B661" s="32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</row>
    <row r="662" spans="1:27" ht="15.75" customHeight="1" x14ac:dyDescent="0.3">
      <c r="A662" s="24"/>
      <c r="B662" s="32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</row>
    <row r="663" spans="1:27" ht="15.75" customHeight="1" x14ac:dyDescent="0.3">
      <c r="A663" s="24"/>
      <c r="B663" s="32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</row>
    <row r="664" spans="1:27" ht="15.75" customHeight="1" x14ac:dyDescent="0.3">
      <c r="A664" s="24"/>
      <c r="B664" s="32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</row>
    <row r="665" spans="1:27" ht="15.75" customHeight="1" x14ac:dyDescent="0.3">
      <c r="A665" s="24"/>
      <c r="B665" s="32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</row>
    <row r="666" spans="1:27" ht="15.75" customHeight="1" x14ac:dyDescent="0.3">
      <c r="A666" s="24"/>
      <c r="B666" s="32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</row>
    <row r="667" spans="1:27" ht="15.75" customHeight="1" x14ac:dyDescent="0.3">
      <c r="A667" s="24"/>
      <c r="B667" s="32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</row>
    <row r="668" spans="1:27" ht="15.75" customHeight="1" x14ac:dyDescent="0.3">
      <c r="A668" s="24"/>
      <c r="B668" s="32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</row>
    <row r="669" spans="1:27" ht="15.75" customHeight="1" x14ac:dyDescent="0.3">
      <c r="A669" s="24"/>
      <c r="B669" s="32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</row>
    <row r="670" spans="1:27" ht="15.75" customHeight="1" x14ac:dyDescent="0.3">
      <c r="A670" s="24"/>
      <c r="B670" s="32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</row>
    <row r="671" spans="1:27" ht="15.75" customHeight="1" x14ac:dyDescent="0.3">
      <c r="A671" s="24"/>
      <c r="B671" s="32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</row>
    <row r="672" spans="1:27" ht="15.75" customHeight="1" x14ac:dyDescent="0.3">
      <c r="A672" s="24"/>
      <c r="B672" s="32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</row>
    <row r="673" spans="1:27" ht="15.75" customHeight="1" x14ac:dyDescent="0.3">
      <c r="A673" s="24"/>
      <c r="B673" s="32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</row>
    <row r="674" spans="1:27" ht="15.75" customHeight="1" x14ac:dyDescent="0.3">
      <c r="A674" s="24"/>
      <c r="B674" s="32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</row>
    <row r="675" spans="1:27" ht="15.75" customHeight="1" x14ac:dyDescent="0.3">
      <c r="A675" s="24"/>
      <c r="B675" s="32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</row>
    <row r="676" spans="1:27" ht="15.75" customHeight="1" x14ac:dyDescent="0.3">
      <c r="A676" s="24"/>
      <c r="B676" s="32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</row>
    <row r="677" spans="1:27" ht="15.75" customHeight="1" x14ac:dyDescent="0.3">
      <c r="A677" s="24"/>
      <c r="B677" s="32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</row>
    <row r="678" spans="1:27" ht="15.75" customHeight="1" x14ac:dyDescent="0.3">
      <c r="A678" s="24"/>
      <c r="B678" s="32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</row>
    <row r="679" spans="1:27" ht="15.75" customHeight="1" x14ac:dyDescent="0.3">
      <c r="A679" s="24"/>
      <c r="B679" s="32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</row>
    <row r="680" spans="1:27" ht="15.75" customHeight="1" x14ac:dyDescent="0.3">
      <c r="A680" s="24"/>
      <c r="B680" s="32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</row>
    <row r="681" spans="1:27" ht="15.75" customHeight="1" x14ac:dyDescent="0.3">
      <c r="A681" s="24"/>
      <c r="B681" s="32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</row>
    <row r="682" spans="1:27" ht="15.75" customHeight="1" x14ac:dyDescent="0.3">
      <c r="A682" s="24"/>
      <c r="B682" s="32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</row>
    <row r="683" spans="1:27" ht="15.75" customHeight="1" x14ac:dyDescent="0.3">
      <c r="A683" s="24"/>
      <c r="B683" s="32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</row>
    <row r="684" spans="1:27" ht="15.75" customHeight="1" x14ac:dyDescent="0.3">
      <c r="A684" s="24"/>
      <c r="B684" s="32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</row>
    <row r="685" spans="1:27" ht="15.75" customHeight="1" x14ac:dyDescent="0.3">
      <c r="A685" s="24"/>
      <c r="B685" s="32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</row>
    <row r="686" spans="1:27" ht="15.75" customHeight="1" x14ac:dyDescent="0.3">
      <c r="A686" s="24"/>
      <c r="B686" s="32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</row>
    <row r="687" spans="1:27" ht="15.75" customHeight="1" x14ac:dyDescent="0.3">
      <c r="A687" s="24"/>
      <c r="B687" s="32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</row>
    <row r="688" spans="1:27" ht="15.75" customHeight="1" x14ac:dyDescent="0.3">
      <c r="A688" s="24"/>
      <c r="B688" s="32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</row>
    <row r="689" spans="1:27" ht="15.75" customHeight="1" x14ac:dyDescent="0.3">
      <c r="A689" s="24"/>
      <c r="B689" s="32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</row>
    <row r="690" spans="1:27" ht="15.75" customHeight="1" x14ac:dyDescent="0.3">
      <c r="A690" s="24"/>
      <c r="B690" s="32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</row>
    <row r="691" spans="1:27" ht="15.75" customHeight="1" x14ac:dyDescent="0.3">
      <c r="A691" s="24"/>
      <c r="B691" s="32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</row>
    <row r="692" spans="1:27" ht="15.75" customHeight="1" x14ac:dyDescent="0.3">
      <c r="A692" s="24"/>
      <c r="B692" s="32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</row>
    <row r="693" spans="1:27" ht="15.75" customHeight="1" x14ac:dyDescent="0.3">
      <c r="A693" s="24"/>
      <c r="B693" s="32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</row>
    <row r="694" spans="1:27" ht="15.75" customHeight="1" x14ac:dyDescent="0.3">
      <c r="A694" s="24"/>
      <c r="B694" s="32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</row>
    <row r="695" spans="1:27" ht="15.75" customHeight="1" x14ac:dyDescent="0.3">
      <c r="A695" s="24"/>
      <c r="B695" s="32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</row>
    <row r="696" spans="1:27" ht="15.75" customHeight="1" x14ac:dyDescent="0.3">
      <c r="A696" s="24"/>
      <c r="B696" s="32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</row>
    <row r="697" spans="1:27" ht="15.75" customHeight="1" x14ac:dyDescent="0.3">
      <c r="A697" s="24"/>
      <c r="B697" s="32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</row>
    <row r="698" spans="1:27" ht="15.75" customHeight="1" x14ac:dyDescent="0.3">
      <c r="A698" s="24"/>
      <c r="B698" s="32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</row>
    <row r="699" spans="1:27" ht="15.75" customHeight="1" x14ac:dyDescent="0.3">
      <c r="A699" s="24"/>
      <c r="B699" s="32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</row>
    <row r="700" spans="1:27" ht="15.75" customHeight="1" x14ac:dyDescent="0.3">
      <c r="A700" s="24"/>
      <c r="B700" s="32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</row>
    <row r="701" spans="1:27" ht="15.75" customHeight="1" x14ac:dyDescent="0.3">
      <c r="A701" s="24"/>
      <c r="B701" s="32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</row>
    <row r="702" spans="1:27" ht="15.75" customHeight="1" x14ac:dyDescent="0.3">
      <c r="A702" s="24"/>
      <c r="B702" s="32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</row>
    <row r="703" spans="1:27" ht="15.75" customHeight="1" x14ac:dyDescent="0.3">
      <c r="A703" s="24"/>
      <c r="B703" s="32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</row>
    <row r="704" spans="1:27" ht="15.75" customHeight="1" x14ac:dyDescent="0.3">
      <c r="A704" s="24"/>
      <c r="B704" s="32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</row>
    <row r="705" spans="1:27" ht="15.75" customHeight="1" x14ac:dyDescent="0.3">
      <c r="A705" s="24"/>
      <c r="B705" s="32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</row>
    <row r="706" spans="1:27" ht="15.75" customHeight="1" x14ac:dyDescent="0.3">
      <c r="A706" s="24"/>
      <c r="B706" s="32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</row>
    <row r="707" spans="1:27" ht="15.75" customHeight="1" x14ac:dyDescent="0.3">
      <c r="A707" s="24"/>
      <c r="B707" s="32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</row>
    <row r="708" spans="1:27" ht="15.75" customHeight="1" x14ac:dyDescent="0.3">
      <c r="A708" s="24"/>
      <c r="B708" s="32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</row>
    <row r="709" spans="1:27" ht="15.75" customHeight="1" x14ac:dyDescent="0.3">
      <c r="A709" s="24"/>
      <c r="B709" s="32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</row>
    <row r="710" spans="1:27" ht="15.75" customHeight="1" x14ac:dyDescent="0.3">
      <c r="A710" s="24"/>
      <c r="B710" s="32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</row>
    <row r="711" spans="1:27" ht="15.75" customHeight="1" x14ac:dyDescent="0.3">
      <c r="A711" s="24"/>
      <c r="B711" s="32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</row>
    <row r="712" spans="1:27" ht="15.75" customHeight="1" x14ac:dyDescent="0.3">
      <c r="A712" s="24"/>
      <c r="B712" s="32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</row>
    <row r="713" spans="1:27" ht="15.75" customHeight="1" x14ac:dyDescent="0.3">
      <c r="A713" s="24"/>
      <c r="B713" s="32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</row>
    <row r="714" spans="1:27" ht="15.75" customHeight="1" x14ac:dyDescent="0.3">
      <c r="A714" s="24"/>
      <c r="B714" s="32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</row>
    <row r="715" spans="1:27" ht="15.75" customHeight="1" x14ac:dyDescent="0.3">
      <c r="A715" s="24"/>
      <c r="B715" s="32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</row>
    <row r="716" spans="1:27" ht="15.75" customHeight="1" x14ac:dyDescent="0.3">
      <c r="A716" s="24"/>
      <c r="B716" s="32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</row>
    <row r="717" spans="1:27" ht="15.75" customHeight="1" x14ac:dyDescent="0.3">
      <c r="A717" s="24"/>
      <c r="B717" s="32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</row>
    <row r="718" spans="1:27" ht="15.75" customHeight="1" x14ac:dyDescent="0.3">
      <c r="A718" s="24"/>
      <c r="B718" s="32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</row>
    <row r="719" spans="1:27" ht="15.75" customHeight="1" x14ac:dyDescent="0.3">
      <c r="A719" s="24"/>
      <c r="B719" s="32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</row>
    <row r="720" spans="1:27" ht="15.75" customHeight="1" x14ac:dyDescent="0.3">
      <c r="A720" s="24"/>
      <c r="B720" s="32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</row>
    <row r="721" spans="1:27" ht="15.75" customHeight="1" x14ac:dyDescent="0.3">
      <c r="A721" s="24"/>
      <c r="B721" s="32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</row>
    <row r="722" spans="1:27" ht="15.75" customHeight="1" x14ac:dyDescent="0.3">
      <c r="A722" s="24"/>
      <c r="B722" s="32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</row>
    <row r="723" spans="1:27" ht="15.75" customHeight="1" x14ac:dyDescent="0.3">
      <c r="A723" s="24"/>
      <c r="B723" s="32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</row>
    <row r="724" spans="1:27" ht="15.75" customHeight="1" x14ac:dyDescent="0.3">
      <c r="A724" s="24"/>
      <c r="B724" s="32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</row>
    <row r="725" spans="1:27" ht="15.75" customHeight="1" x14ac:dyDescent="0.3">
      <c r="A725" s="24"/>
      <c r="B725" s="32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</row>
    <row r="726" spans="1:27" ht="15.75" customHeight="1" x14ac:dyDescent="0.3">
      <c r="A726" s="24"/>
      <c r="B726" s="32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</row>
    <row r="727" spans="1:27" ht="15.75" customHeight="1" x14ac:dyDescent="0.3">
      <c r="A727" s="24"/>
      <c r="B727" s="32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</row>
    <row r="728" spans="1:27" ht="15.75" customHeight="1" x14ac:dyDescent="0.3">
      <c r="A728" s="24"/>
      <c r="B728" s="32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</row>
    <row r="729" spans="1:27" ht="15.75" customHeight="1" x14ac:dyDescent="0.3">
      <c r="A729" s="24"/>
      <c r="B729" s="32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</row>
    <row r="730" spans="1:27" ht="15.75" customHeight="1" x14ac:dyDescent="0.3">
      <c r="A730" s="24"/>
      <c r="B730" s="32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</row>
    <row r="731" spans="1:27" ht="15.75" customHeight="1" x14ac:dyDescent="0.3">
      <c r="A731" s="24"/>
      <c r="B731" s="32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</row>
    <row r="732" spans="1:27" ht="15.75" customHeight="1" x14ac:dyDescent="0.3">
      <c r="A732" s="24"/>
      <c r="B732" s="32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</row>
    <row r="733" spans="1:27" ht="15.75" customHeight="1" x14ac:dyDescent="0.3">
      <c r="A733" s="24"/>
      <c r="B733" s="32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</row>
    <row r="734" spans="1:27" ht="15.75" customHeight="1" x14ac:dyDescent="0.3">
      <c r="A734" s="24"/>
      <c r="B734" s="32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</row>
    <row r="735" spans="1:27" ht="15.75" customHeight="1" x14ac:dyDescent="0.3">
      <c r="A735" s="24"/>
      <c r="B735" s="32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</row>
    <row r="736" spans="1:27" ht="15.75" customHeight="1" x14ac:dyDescent="0.3">
      <c r="A736" s="24"/>
      <c r="B736" s="32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</row>
    <row r="737" spans="1:27" ht="15.75" customHeight="1" x14ac:dyDescent="0.3">
      <c r="A737" s="24"/>
      <c r="B737" s="32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</row>
    <row r="738" spans="1:27" ht="15.75" customHeight="1" x14ac:dyDescent="0.3">
      <c r="A738" s="24"/>
      <c r="B738" s="32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</row>
    <row r="739" spans="1:27" ht="15.75" customHeight="1" x14ac:dyDescent="0.3">
      <c r="A739" s="24"/>
      <c r="B739" s="32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</row>
    <row r="740" spans="1:27" ht="15.75" customHeight="1" x14ac:dyDescent="0.3">
      <c r="A740" s="24"/>
      <c r="B740" s="32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</row>
    <row r="741" spans="1:27" ht="15.75" customHeight="1" x14ac:dyDescent="0.3">
      <c r="A741" s="24"/>
      <c r="B741" s="32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</row>
    <row r="742" spans="1:27" ht="15.75" customHeight="1" x14ac:dyDescent="0.3">
      <c r="A742" s="24"/>
      <c r="B742" s="32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</row>
    <row r="743" spans="1:27" ht="15.75" customHeight="1" x14ac:dyDescent="0.3">
      <c r="A743" s="24"/>
      <c r="B743" s="32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</row>
    <row r="744" spans="1:27" ht="15.75" customHeight="1" x14ac:dyDescent="0.3">
      <c r="A744" s="24"/>
      <c r="B744" s="32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</row>
    <row r="745" spans="1:27" ht="15.75" customHeight="1" x14ac:dyDescent="0.3">
      <c r="A745" s="24"/>
      <c r="B745" s="32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</row>
    <row r="746" spans="1:27" ht="15.75" customHeight="1" x14ac:dyDescent="0.3">
      <c r="A746" s="24"/>
      <c r="B746" s="32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</row>
    <row r="747" spans="1:27" ht="15.75" customHeight="1" x14ac:dyDescent="0.3">
      <c r="A747" s="24"/>
      <c r="B747" s="32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</row>
    <row r="748" spans="1:27" ht="15.75" customHeight="1" x14ac:dyDescent="0.3">
      <c r="A748" s="24"/>
      <c r="B748" s="32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</row>
    <row r="749" spans="1:27" ht="15.75" customHeight="1" x14ac:dyDescent="0.3">
      <c r="A749" s="24"/>
      <c r="B749" s="32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</row>
    <row r="750" spans="1:27" ht="15.75" customHeight="1" x14ac:dyDescent="0.3">
      <c r="A750" s="24"/>
      <c r="B750" s="32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</row>
    <row r="751" spans="1:27" ht="15.75" customHeight="1" x14ac:dyDescent="0.3">
      <c r="A751" s="24"/>
      <c r="B751" s="32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</row>
    <row r="752" spans="1:27" ht="15.75" customHeight="1" x14ac:dyDescent="0.3">
      <c r="A752" s="24"/>
      <c r="B752" s="32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</row>
    <row r="753" spans="1:27" ht="15.75" customHeight="1" x14ac:dyDescent="0.3">
      <c r="A753" s="24"/>
      <c r="B753" s="32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</row>
    <row r="754" spans="1:27" ht="15.75" customHeight="1" x14ac:dyDescent="0.3">
      <c r="A754" s="24"/>
      <c r="B754" s="32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</row>
    <row r="755" spans="1:27" ht="15.75" customHeight="1" x14ac:dyDescent="0.3">
      <c r="A755" s="24"/>
      <c r="B755" s="32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</row>
    <row r="756" spans="1:27" ht="15.75" customHeight="1" x14ac:dyDescent="0.3">
      <c r="A756" s="24"/>
      <c r="B756" s="32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</row>
    <row r="757" spans="1:27" ht="15.75" customHeight="1" x14ac:dyDescent="0.3">
      <c r="A757" s="24"/>
      <c r="B757" s="32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</row>
    <row r="758" spans="1:27" ht="15.75" customHeight="1" x14ac:dyDescent="0.3">
      <c r="A758" s="24"/>
      <c r="B758" s="32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</row>
    <row r="759" spans="1:27" ht="15.75" customHeight="1" x14ac:dyDescent="0.3">
      <c r="A759" s="24"/>
      <c r="B759" s="32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</row>
    <row r="760" spans="1:27" ht="15.75" customHeight="1" x14ac:dyDescent="0.3">
      <c r="A760" s="24"/>
      <c r="B760" s="32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</row>
    <row r="761" spans="1:27" ht="15.75" customHeight="1" x14ac:dyDescent="0.3">
      <c r="A761" s="24"/>
      <c r="B761" s="32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</row>
    <row r="762" spans="1:27" ht="15.75" customHeight="1" x14ac:dyDescent="0.3">
      <c r="A762" s="24"/>
      <c r="B762" s="32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</row>
    <row r="763" spans="1:27" ht="15.75" customHeight="1" x14ac:dyDescent="0.3">
      <c r="A763" s="24"/>
      <c r="B763" s="32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</row>
    <row r="764" spans="1:27" ht="15.75" customHeight="1" x14ac:dyDescent="0.3">
      <c r="A764" s="24"/>
      <c r="B764" s="32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</row>
    <row r="765" spans="1:27" ht="15.75" customHeight="1" x14ac:dyDescent="0.3">
      <c r="A765" s="24"/>
      <c r="B765" s="32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</row>
    <row r="766" spans="1:27" ht="15.75" customHeight="1" x14ac:dyDescent="0.3">
      <c r="A766" s="24"/>
      <c r="B766" s="32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</row>
    <row r="767" spans="1:27" ht="15.75" customHeight="1" x14ac:dyDescent="0.3">
      <c r="A767" s="24"/>
      <c r="B767" s="32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</row>
    <row r="768" spans="1:27" ht="15.75" customHeight="1" x14ac:dyDescent="0.3">
      <c r="A768" s="24"/>
      <c r="B768" s="32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</row>
    <row r="769" spans="1:27" ht="15.75" customHeight="1" x14ac:dyDescent="0.3">
      <c r="A769" s="24"/>
      <c r="B769" s="32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</row>
    <row r="770" spans="1:27" ht="15.75" customHeight="1" x14ac:dyDescent="0.3">
      <c r="A770" s="24"/>
      <c r="B770" s="32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</row>
    <row r="771" spans="1:27" ht="15.75" customHeight="1" x14ac:dyDescent="0.3">
      <c r="A771" s="24"/>
      <c r="B771" s="32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</row>
    <row r="772" spans="1:27" ht="15.75" customHeight="1" x14ac:dyDescent="0.3">
      <c r="A772" s="24"/>
      <c r="B772" s="32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</row>
    <row r="773" spans="1:27" ht="15.75" customHeight="1" x14ac:dyDescent="0.3">
      <c r="A773" s="24"/>
      <c r="B773" s="32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</row>
    <row r="774" spans="1:27" ht="15.75" customHeight="1" x14ac:dyDescent="0.3">
      <c r="A774" s="24"/>
      <c r="B774" s="32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</row>
    <row r="775" spans="1:27" ht="15.75" customHeight="1" x14ac:dyDescent="0.3">
      <c r="A775" s="24"/>
      <c r="B775" s="32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</row>
    <row r="776" spans="1:27" ht="15.75" customHeight="1" x14ac:dyDescent="0.3">
      <c r="A776" s="24"/>
      <c r="B776" s="32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</row>
    <row r="777" spans="1:27" ht="15.75" customHeight="1" x14ac:dyDescent="0.3">
      <c r="A777" s="24"/>
      <c r="B777" s="32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</row>
    <row r="778" spans="1:27" ht="15.75" customHeight="1" x14ac:dyDescent="0.3">
      <c r="A778" s="24"/>
      <c r="B778" s="32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</row>
    <row r="779" spans="1:27" ht="15.75" customHeight="1" x14ac:dyDescent="0.3">
      <c r="A779" s="24"/>
      <c r="B779" s="32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</row>
    <row r="780" spans="1:27" ht="15.75" customHeight="1" x14ac:dyDescent="0.3">
      <c r="A780" s="24"/>
      <c r="B780" s="32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</row>
    <row r="781" spans="1:27" ht="15.75" customHeight="1" x14ac:dyDescent="0.3">
      <c r="A781" s="24"/>
      <c r="B781" s="32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</row>
    <row r="782" spans="1:27" ht="15.75" customHeight="1" x14ac:dyDescent="0.3">
      <c r="A782" s="24"/>
      <c r="B782" s="32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</row>
    <row r="783" spans="1:27" ht="15.75" customHeight="1" x14ac:dyDescent="0.3">
      <c r="A783" s="24"/>
      <c r="B783" s="32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</row>
    <row r="784" spans="1:27" ht="15.75" customHeight="1" x14ac:dyDescent="0.3">
      <c r="A784" s="24"/>
      <c r="B784" s="32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</row>
    <row r="785" spans="1:27" ht="15.75" customHeight="1" x14ac:dyDescent="0.3">
      <c r="A785" s="24"/>
      <c r="B785" s="32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</row>
    <row r="786" spans="1:27" ht="15.75" customHeight="1" x14ac:dyDescent="0.3">
      <c r="A786" s="24"/>
      <c r="B786" s="32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</row>
    <row r="787" spans="1:27" ht="15.75" customHeight="1" x14ac:dyDescent="0.3">
      <c r="A787" s="24"/>
      <c r="B787" s="32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</row>
    <row r="788" spans="1:27" ht="15.75" customHeight="1" x14ac:dyDescent="0.3">
      <c r="A788" s="24"/>
      <c r="B788" s="32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</row>
    <row r="789" spans="1:27" ht="15.75" customHeight="1" x14ac:dyDescent="0.3">
      <c r="A789" s="24"/>
      <c r="B789" s="32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</row>
    <row r="790" spans="1:27" ht="15.75" customHeight="1" x14ac:dyDescent="0.3">
      <c r="A790" s="24"/>
      <c r="B790" s="32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</row>
    <row r="791" spans="1:27" ht="15.75" customHeight="1" x14ac:dyDescent="0.3">
      <c r="A791" s="24"/>
      <c r="B791" s="32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</row>
    <row r="792" spans="1:27" ht="15.75" customHeight="1" x14ac:dyDescent="0.3">
      <c r="A792" s="24"/>
      <c r="B792" s="32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</row>
    <row r="793" spans="1:27" ht="15.75" customHeight="1" x14ac:dyDescent="0.3">
      <c r="A793" s="24"/>
      <c r="B793" s="32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</row>
    <row r="794" spans="1:27" ht="15.75" customHeight="1" x14ac:dyDescent="0.3">
      <c r="A794" s="24"/>
      <c r="B794" s="32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</row>
    <row r="795" spans="1:27" ht="15.75" customHeight="1" x14ac:dyDescent="0.3">
      <c r="A795" s="24"/>
      <c r="B795" s="32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</row>
    <row r="796" spans="1:27" ht="15.75" customHeight="1" x14ac:dyDescent="0.3">
      <c r="A796" s="24"/>
      <c r="B796" s="32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</row>
    <row r="797" spans="1:27" ht="15.75" customHeight="1" x14ac:dyDescent="0.3">
      <c r="A797" s="24"/>
      <c r="B797" s="32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</row>
    <row r="798" spans="1:27" ht="15.75" customHeight="1" x14ac:dyDescent="0.3">
      <c r="A798" s="24"/>
      <c r="B798" s="32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</row>
    <row r="799" spans="1:27" ht="15.75" customHeight="1" x14ac:dyDescent="0.3">
      <c r="A799" s="24"/>
      <c r="B799" s="32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</row>
    <row r="800" spans="1:27" ht="15.75" customHeight="1" x14ac:dyDescent="0.3">
      <c r="A800" s="24"/>
      <c r="B800" s="32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</row>
    <row r="801" spans="1:27" ht="15.75" customHeight="1" x14ac:dyDescent="0.3">
      <c r="A801" s="24"/>
      <c r="B801" s="32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</row>
    <row r="802" spans="1:27" ht="15.75" customHeight="1" x14ac:dyDescent="0.3">
      <c r="A802" s="24"/>
      <c r="B802" s="32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</row>
    <row r="803" spans="1:27" ht="15.75" customHeight="1" x14ac:dyDescent="0.3">
      <c r="A803" s="24"/>
      <c r="B803" s="32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</row>
    <row r="804" spans="1:27" ht="15.75" customHeight="1" x14ac:dyDescent="0.3">
      <c r="A804" s="24"/>
      <c r="B804" s="32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</row>
    <row r="805" spans="1:27" ht="15.75" customHeight="1" x14ac:dyDescent="0.3">
      <c r="A805" s="24"/>
      <c r="B805" s="32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</row>
    <row r="806" spans="1:27" ht="15.75" customHeight="1" x14ac:dyDescent="0.3">
      <c r="A806" s="24"/>
      <c r="B806" s="32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</row>
    <row r="807" spans="1:27" ht="15.75" customHeight="1" x14ac:dyDescent="0.3">
      <c r="A807" s="24"/>
      <c r="B807" s="32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</row>
    <row r="808" spans="1:27" ht="15.75" customHeight="1" x14ac:dyDescent="0.3">
      <c r="A808" s="24"/>
      <c r="B808" s="32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</row>
    <row r="809" spans="1:27" ht="15.75" customHeight="1" x14ac:dyDescent="0.3">
      <c r="A809" s="24"/>
      <c r="B809" s="32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</row>
    <row r="810" spans="1:27" ht="15.75" customHeight="1" x14ac:dyDescent="0.3">
      <c r="A810" s="24"/>
      <c r="B810" s="32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</row>
    <row r="811" spans="1:27" ht="15.75" customHeight="1" x14ac:dyDescent="0.3">
      <c r="A811" s="24"/>
      <c r="B811" s="32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</row>
    <row r="812" spans="1:27" ht="15.75" customHeight="1" x14ac:dyDescent="0.3">
      <c r="A812" s="24"/>
      <c r="B812" s="32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</row>
    <row r="813" spans="1:27" ht="15.75" customHeight="1" x14ac:dyDescent="0.3">
      <c r="A813" s="24"/>
      <c r="B813" s="32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</row>
    <row r="814" spans="1:27" ht="15.75" customHeight="1" x14ac:dyDescent="0.3">
      <c r="A814" s="24"/>
      <c r="B814" s="32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</row>
    <row r="815" spans="1:27" ht="15.75" customHeight="1" x14ac:dyDescent="0.3">
      <c r="A815" s="24"/>
      <c r="B815" s="32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</row>
    <row r="816" spans="1:27" ht="15.75" customHeight="1" x14ac:dyDescent="0.3">
      <c r="A816" s="24"/>
      <c r="B816" s="32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</row>
    <row r="817" spans="1:27" ht="15.75" customHeight="1" x14ac:dyDescent="0.3">
      <c r="A817" s="24"/>
      <c r="B817" s="32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</row>
    <row r="818" spans="1:27" ht="15.75" customHeight="1" x14ac:dyDescent="0.3">
      <c r="A818" s="24"/>
      <c r="B818" s="32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</row>
    <row r="819" spans="1:27" ht="15.75" customHeight="1" x14ac:dyDescent="0.3">
      <c r="A819" s="24"/>
      <c r="B819" s="32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</row>
    <row r="820" spans="1:27" ht="15.75" customHeight="1" x14ac:dyDescent="0.3">
      <c r="A820" s="24"/>
      <c r="B820" s="32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</row>
    <row r="821" spans="1:27" ht="15.75" customHeight="1" x14ac:dyDescent="0.3">
      <c r="A821" s="24"/>
      <c r="B821" s="32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</row>
    <row r="822" spans="1:27" ht="15.75" customHeight="1" x14ac:dyDescent="0.3">
      <c r="A822" s="24"/>
      <c r="B822" s="32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</row>
    <row r="823" spans="1:27" ht="15.75" customHeight="1" x14ac:dyDescent="0.3">
      <c r="A823" s="24"/>
      <c r="B823" s="32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</row>
    <row r="824" spans="1:27" ht="15.75" customHeight="1" x14ac:dyDescent="0.3">
      <c r="A824" s="24"/>
      <c r="B824" s="32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</row>
    <row r="825" spans="1:27" ht="15.75" customHeight="1" x14ac:dyDescent="0.3">
      <c r="A825" s="24"/>
      <c r="B825" s="32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</row>
    <row r="826" spans="1:27" ht="15.75" customHeight="1" x14ac:dyDescent="0.3">
      <c r="A826" s="24"/>
      <c r="B826" s="32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</row>
    <row r="827" spans="1:27" ht="15.75" customHeight="1" x14ac:dyDescent="0.3">
      <c r="A827" s="24"/>
      <c r="B827" s="32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</row>
    <row r="828" spans="1:27" ht="15.75" customHeight="1" x14ac:dyDescent="0.3">
      <c r="A828" s="24"/>
      <c r="B828" s="32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</row>
    <row r="829" spans="1:27" ht="15.75" customHeight="1" x14ac:dyDescent="0.3">
      <c r="A829" s="24"/>
      <c r="B829" s="32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</row>
    <row r="830" spans="1:27" ht="15.75" customHeight="1" x14ac:dyDescent="0.3">
      <c r="A830" s="24"/>
      <c r="B830" s="32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</row>
    <row r="831" spans="1:27" ht="15.75" customHeight="1" x14ac:dyDescent="0.3">
      <c r="A831" s="24"/>
      <c r="B831" s="32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</row>
    <row r="832" spans="1:27" ht="15.75" customHeight="1" x14ac:dyDescent="0.3">
      <c r="A832" s="24"/>
      <c r="B832" s="32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</row>
    <row r="833" spans="1:27" ht="15.75" customHeight="1" x14ac:dyDescent="0.3">
      <c r="A833" s="24"/>
      <c r="B833" s="32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</row>
    <row r="834" spans="1:27" ht="15.75" customHeight="1" x14ac:dyDescent="0.3">
      <c r="A834" s="24"/>
      <c r="B834" s="32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</row>
    <row r="835" spans="1:27" ht="15.75" customHeight="1" x14ac:dyDescent="0.3">
      <c r="A835" s="24"/>
      <c r="B835" s="32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</row>
    <row r="836" spans="1:27" ht="15.75" customHeight="1" x14ac:dyDescent="0.3">
      <c r="A836" s="24"/>
      <c r="B836" s="32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</row>
    <row r="837" spans="1:27" ht="15.75" customHeight="1" x14ac:dyDescent="0.3">
      <c r="A837" s="24"/>
      <c r="B837" s="32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</row>
    <row r="838" spans="1:27" ht="15.75" customHeight="1" x14ac:dyDescent="0.3">
      <c r="A838" s="24"/>
      <c r="B838" s="32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</row>
    <row r="839" spans="1:27" ht="15.75" customHeight="1" x14ac:dyDescent="0.3">
      <c r="A839" s="24"/>
      <c r="B839" s="32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</row>
    <row r="840" spans="1:27" ht="15.75" customHeight="1" x14ac:dyDescent="0.3">
      <c r="A840" s="24"/>
      <c r="B840" s="32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</row>
    <row r="841" spans="1:27" ht="15.75" customHeight="1" x14ac:dyDescent="0.3">
      <c r="A841" s="24"/>
      <c r="B841" s="32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</row>
    <row r="842" spans="1:27" ht="15.75" customHeight="1" x14ac:dyDescent="0.3">
      <c r="A842" s="24"/>
      <c r="B842" s="32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</row>
    <row r="843" spans="1:27" ht="15.75" customHeight="1" x14ac:dyDescent="0.3">
      <c r="A843" s="24"/>
      <c r="B843" s="32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</row>
    <row r="844" spans="1:27" ht="15.75" customHeight="1" x14ac:dyDescent="0.3">
      <c r="A844" s="24"/>
      <c r="B844" s="32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</row>
    <row r="845" spans="1:27" ht="15.75" customHeight="1" x14ac:dyDescent="0.3">
      <c r="A845" s="24"/>
      <c r="B845" s="32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</row>
    <row r="846" spans="1:27" ht="15.75" customHeight="1" x14ac:dyDescent="0.3">
      <c r="A846" s="24"/>
      <c r="B846" s="32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</row>
    <row r="847" spans="1:27" ht="15.75" customHeight="1" x14ac:dyDescent="0.3">
      <c r="A847" s="24"/>
      <c r="B847" s="32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</row>
    <row r="848" spans="1:27" ht="15.75" customHeight="1" x14ac:dyDescent="0.3">
      <c r="A848" s="24"/>
      <c r="B848" s="32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</row>
    <row r="849" spans="1:27" ht="15.75" customHeight="1" x14ac:dyDescent="0.3">
      <c r="A849" s="24"/>
      <c r="B849" s="32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</row>
    <row r="850" spans="1:27" ht="15.75" customHeight="1" x14ac:dyDescent="0.3">
      <c r="A850" s="24"/>
      <c r="B850" s="32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</row>
    <row r="851" spans="1:27" ht="15.75" customHeight="1" x14ac:dyDescent="0.3">
      <c r="A851" s="24"/>
      <c r="B851" s="32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</row>
    <row r="852" spans="1:27" ht="15.75" customHeight="1" x14ac:dyDescent="0.3">
      <c r="A852" s="24"/>
      <c r="B852" s="32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</row>
    <row r="853" spans="1:27" ht="15.75" customHeight="1" x14ac:dyDescent="0.3">
      <c r="A853" s="24"/>
      <c r="B853" s="32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</row>
    <row r="854" spans="1:27" ht="15.75" customHeight="1" x14ac:dyDescent="0.3">
      <c r="A854" s="24"/>
      <c r="B854" s="32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</row>
    <row r="855" spans="1:27" ht="15.75" customHeight="1" x14ac:dyDescent="0.3">
      <c r="A855" s="24"/>
      <c r="B855" s="32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</row>
    <row r="856" spans="1:27" ht="15.75" customHeight="1" x14ac:dyDescent="0.3">
      <c r="A856" s="24"/>
      <c r="B856" s="32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</row>
    <row r="857" spans="1:27" ht="15.75" customHeight="1" x14ac:dyDescent="0.3">
      <c r="A857" s="24"/>
      <c r="B857" s="32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</row>
    <row r="858" spans="1:27" ht="15.75" customHeight="1" x14ac:dyDescent="0.3">
      <c r="A858" s="24"/>
      <c r="B858" s="32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</row>
    <row r="859" spans="1:27" ht="15.75" customHeight="1" x14ac:dyDescent="0.3">
      <c r="A859" s="24"/>
      <c r="B859" s="32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</row>
    <row r="860" spans="1:27" ht="15.75" customHeight="1" x14ac:dyDescent="0.3">
      <c r="A860" s="24"/>
      <c r="B860" s="32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</row>
    <row r="861" spans="1:27" ht="15.75" customHeight="1" x14ac:dyDescent="0.3">
      <c r="A861" s="24"/>
      <c r="B861" s="32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</row>
    <row r="862" spans="1:27" ht="15.75" customHeight="1" x14ac:dyDescent="0.3">
      <c r="A862" s="24"/>
      <c r="B862" s="32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</row>
    <row r="863" spans="1:27" ht="15.75" customHeight="1" x14ac:dyDescent="0.3">
      <c r="A863" s="24"/>
      <c r="B863" s="32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</row>
    <row r="864" spans="1:27" ht="15.75" customHeight="1" x14ac:dyDescent="0.3">
      <c r="A864" s="24"/>
      <c r="B864" s="32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</row>
    <row r="865" spans="1:27" ht="15.75" customHeight="1" x14ac:dyDescent="0.3">
      <c r="A865" s="24"/>
      <c r="B865" s="32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</row>
    <row r="866" spans="1:27" ht="15.75" customHeight="1" x14ac:dyDescent="0.3">
      <c r="A866" s="24"/>
      <c r="B866" s="32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</row>
    <row r="867" spans="1:27" ht="15.75" customHeight="1" x14ac:dyDescent="0.3">
      <c r="A867" s="24"/>
      <c r="B867" s="32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</row>
    <row r="868" spans="1:27" ht="15.75" customHeight="1" x14ac:dyDescent="0.3">
      <c r="A868" s="24"/>
      <c r="B868" s="32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</row>
    <row r="869" spans="1:27" ht="15.75" customHeight="1" x14ac:dyDescent="0.3">
      <c r="A869" s="24"/>
      <c r="B869" s="32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</row>
    <row r="870" spans="1:27" ht="15.75" customHeight="1" x14ac:dyDescent="0.3">
      <c r="A870" s="24"/>
      <c r="B870" s="32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</row>
    <row r="871" spans="1:27" ht="15.75" customHeight="1" x14ac:dyDescent="0.3">
      <c r="A871" s="24"/>
      <c r="B871" s="32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</row>
    <row r="872" spans="1:27" ht="15.75" customHeight="1" x14ac:dyDescent="0.3">
      <c r="A872" s="24"/>
      <c r="B872" s="32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</row>
    <row r="873" spans="1:27" ht="15.75" customHeight="1" x14ac:dyDescent="0.3">
      <c r="A873" s="24"/>
      <c r="B873" s="32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</row>
    <row r="874" spans="1:27" ht="15.75" customHeight="1" x14ac:dyDescent="0.3">
      <c r="A874" s="24"/>
      <c r="B874" s="32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</row>
    <row r="875" spans="1:27" ht="15.75" customHeight="1" x14ac:dyDescent="0.3">
      <c r="A875" s="24"/>
      <c r="B875" s="32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</row>
    <row r="876" spans="1:27" ht="15.75" customHeight="1" x14ac:dyDescent="0.3">
      <c r="A876" s="24"/>
      <c r="B876" s="32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</row>
    <row r="877" spans="1:27" ht="15.75" customHeight="1" x14ac:dyDescent="0.3">
      <c r="A877" s="24"/>
      <c r="B877" s="32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</row>
    <row r="878" spans="1:27" ht="15.75" customHeight="1" x14ac:dyDescent="0.3">
      <c r="A878" s="24"/>
      <c r="B878" s="32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</row>
    <row r="879" spans="1:27" ht="15.75" customHeight="1" x14ac:dyDescent="0.3">
      <c r="A879" s="24"/>
      <c r="B879" s="32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</row>
    <row r="880" spans="1:27" ht="15.75" customHeight="1" x14ac:dyDescent="0.3">
      <c r="A880" s="24"/>
      <c r="B880" s="32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</row>
    <row r="881" spans="1:27" ht="15.75" customHeight="1" x14ac:dyDescent="0.3">
      <c r="A881" s="24"/>
      <c r="B881" s="32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</row>
    <row r="882" spans="1:27" ht="15.75" customHeight="1" x14ac:dyDescent="0.3">
      <c r="A882" s="24"/>
      <c r="B882" s="32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</row>
    <row r="883" spans="1:27" ht="15.75" customHeight="1" x14ac:dyDescent="0.3">
      <c r="A883" s="24"/>
      <c r="B883" s="32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</row>
    <row r="884" spans="1:27" ht="15.75" customHeight="1" x14ac:dyDescent="0.3">
      <c r="A884" s="24"/>
      <c r="B884" s="32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</row>
    <row r="885" spans="1:27" ht="15.75" customHeight="1" x14ac:dyDescent="0.3">
      <c r="A885" s="24"/>
      <c r="B885" s="32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</row>
    <row r="886" spans="1:27" ht="15.75" customHeight="1" x14ac:dyDescent="0.3">
      <c r="A886" s="24"/>
      <c r="B886" s="32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</row>
    <row r="887" spans="1:27" ht="15.75" customHeight="1" x14ac:dyDescent="0.3">
      <c r="A887" s="24"/>
      <c r="B887" s="32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</row>
    <row r="888" spans="1:27" ht="15.75" customHeight="1" x14ac:dyDescent="0.3">
      <c r="A888" s="24"/>
      <c r="B888" s="32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</row>
    <row r="889" spans="1:27" ht="15.75" customHeight="1" x14ac:dyDescent="0.3">
      <c r="A889" s="24"/>
      <c r="B889" s="32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</row>
    <row r="890" spans="1:27" ht="15.75" customHeight="1" x14ac:dyDescent="0.3">
      <c r="A890" s="24"/>
      <c r="B890" s="32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</row>
    <row r="891" spans="1:27" ht="15.75" customHeight="1" x14ac:dyDescent="0.3">
      <c r="A891" s="24"/>
      <c r="B891" s="32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</row>
    <row r="892" spans="1:27" ht="15.75" customHeight="1" x14ac:dyDescent="0.3">
      <c r="A892" s="24"/>
      <c r="B892" s="32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</row>
    <row r="893" spans="1:27" ht="15.75" customHeight="1" x14ac:dyDescent="0.3">
      <c r="A893" s="24"/>
      <c r="B893" s="32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</row>
    <row r="894" spans="1:27" ht="15.75" customHeight="1" x14ac:dyDescent="0.3">
      <c r="A894" s="24"/>
      <c r="B894" s="32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</row>
    <row r="895" spans="1:27" ht="15.75" customHeight="1" x14ac:dyDescent="0.3">
      <c r="A895" s="24"/>
      <c r="B895" s="32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</row>
    <row r="896" spans="1:27" ht="15.75" customHeight="1" x14ac:dyDescent="0.3">
      <c r="A896" s="24"/>
      <c r="B896" s="32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</row>
    <row r="897" spans="1:27" ht="15.75" customHeight="1" x14ac:dyDescent="0.3">
      <c r="A897" s="24"/>
      <c r="B897" s="32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</row>
    <row r="898" spans="1:27" ht="15.75" customHeight="1" x14ac:dyDescent="0.3">
      <c r="A898" s="24"/>
      <c r="B898" s="32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</row>
    <row r="899" spans="1:27" ht="15.75" customHeight="1" x14ac:dyDescent="0.3">
      <c r="A899" s="24"/>
      <c r="B899" s="32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</row>
    <row r="900" spans="1:27" ht="15.75" customHeight="1" x14ac:dyDescent="0.3">
      <c r="A900" s="24"/>
      <c r="B900" s="32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</row>
    <row r="901" spans="1:27" ht="15.75" customHeight="1" x14ac:dyDescent="0.3">
      <c r="A901" s="24"/>
      <c r="B901" s="32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</row>
    <row r="902" spans="1:27" ht="15.75" customHeight="1" x14ac:dyDescent="0.3">
      <c r="A902" s="24"/>
      <c r="B902" s="32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</row>
    <row r="903" spans="1:27" ht="15.75" customHeight="1" x14ac:dyDescent="0.3">
      <c r="A903" s="24"/>
      <c r="B903" s="32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</row>
    <row r="904" spans="1:27" ht="15.75" customHeight="1" x14ac:dyDescent="0.3">
      <c r="A904" s="24"/>
      <c r="B904" s="32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</row>
    <row r="905" spans="1:27" ht="15.75" customHeight="1" x14ac:dyDescent="0.3">
      <c r="A905" s="24"/>
      <c r="B905" s="32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</row>
    <row r="906" spans="1:27" ht="15.75" customHeight="1" x14ac:dyDescent="0.3">
      <c r="A906" s="24"/>
      <c r="B906" s="32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</row>
    <row r="907" spans="1:27" ht="15.75" customHeight="1" x14ac:dyDescent="0.3">
      <c r="A907" s="24"/>
      <c r="B907" s="32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</row>
    <row r="908" spans="1:27" ht="15.75" customHeight="1" x14ac:dyDescent="0.3">
      <c r="A908" s="24"/>
      <c r="B908" s="32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</row>
    <row r="909" spans="1:27" ht="15.75" customHeight="1" x14ac:dyDescent="0.3">
      <c r="A909" s="24"/>
      <c r="B909" s="32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</row>
    <row r="910" spans="1:27" ht="15.75" customHeight="1" x14ac:dyDescent="0.3">
      <c r="A910" s="24"/>
      <c r="B910" s="32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</row>
    <row r="911" spans="1:27" ht="15.75" customHeight="1" x14ac:dyDescent="0.3">
      <c r="A911" s="24"/>
      <c r="B911" s="32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</row>
    <row r="912" spans="1:27" ht="15.75" customHeight="1" x14ac:dyDescent="0.3">
      <c r="A912" s="24"/>
      <c r="B912" s="32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</row>
    <row r="913" spans="1:27" ht="15.75" customHeight="1" x14ac:dyDescent="0.3">
      <c r="A913" s="24"/>
      <c r="B913" s="32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</row>
    <row r="914" spans="1:27" ht="15.75" customHeight="1" x14ac:dyDescent="0.3">
      <c r="A914" s="24"/>
      <c r="B914" s="32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</row>
    <row r="915" spans="1:27" ht="15.75" customHeight="1" x14ac:dyDescent="0.3">
      <c r="A915" s="24"/>
      <c r="B915" s="32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</row>
    <row r="916" spans="1:27" ht="15.75" customHeight="1" x14ac:dyDescent="0.3">
      <c r="A916" s="24"/>
      <c r="B916" s="32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</row>
    <row r="917" spans="1:27" ht="15.75" customHeight="1" x14ac:dyDescent="0.3">
      <c r="A917" s="24"/>
      <c r="B917" s="32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</row>
    <row r="918" spans="1:27" ht="15.75" customHeight="1" x14ac:dyDescent="0.3">
      <c r="A918" s="24"/>
      <c r="B918" s="32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</row>
    <row r="919" spans="1:27" ht="15.75" customHeight="1" x14ac:dyDescent="0.3">
      <c r="A919" s="24"/>
      <c r="B919" s="32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</row>
    <row r="920" spans="1:27" ht="15.75" customHeight="1" x14ac:dyDescent="0.3">
      <c r="A920" s="24"/>
      <c r="B920" s="32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</row>
    <row r="921" spans="1:27" ht="15.75" customHeight="1" x14ac:dyDescent="0.3">
      <c r="A921" s="24"/>
      <c r="B921" s="32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</row>
    <row r="922" spans="1:27" ht="15.75" customHeight="1" x14ac:dyDescent="0.3">
      <c r="A922" s="24"/>
      <c r="B922" s="32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</row>
    <row r="923" spans="1:27" ht="15.75" customHeight="1" x14ac:dyDescent="0.3">
      <c r="A923" s="24"/>
      <c r="B923" s="32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</row>
    <row r="924" spans="1:27" ht="15.75" customHeight="1" x14ac:dyDescent="0.3">
      <c r="A924" s="24"/>
      <c r="B924" s="32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</row>
    <row r="925" spans="1:27" ht="15.75" customHeight="1" x14ac:dyDescent="0.3">
      <c r="A925" s="24"/>
      <c r="B925" s="32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</row>
    <row r="926" spans="1:27" ht="15.75" customHeight="1" x14ac:dyDescent="0.3">
      <c r="A926" s="24"/>
      <c r="B926" s="32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</row>
    <row r="927" spans="1:27" ht="15.75" customHeight="1" x14ac:dyDescent="0.3">
      <c r="A927" s="24"/>
      <c r="B927" s="32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</row>
    <row r="928" spans="1:27" ht="15.75" customHeight="1" x14ac:dyDescent="0.3">
      <c r="A928" s="24"/>
      <c r="B928" s="32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</row>
    <row r="929" spans="1:27" ht="15.75" customHeight="1" x14ac:dyDescent="0.3">
      <c r="A929" s="24"/>
      <c r="B929" s="32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</row>
    <row r="930" spans="1:27" ht="15.75" customHeight="1" x14ac:dyDescent="0.3">
      <c r="A930" s="24"/>
      <c r="B930" s="32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</row>
    <row r="931" spans="1:27" ht="15.75" customHeight="1" x14ac:dyDescent="0.3">
      <c r="A931" s="24"/>
      <c r="B931" s="32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</row>
    <row r="932" spans="1:27" ht="15.75" customHeight="1" x14ac:dyDescent="0.3">
      <c r="A932" s="24"/>
      <c r="B932" s="32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</row>
    <row r="933" spans="1:27" ht="15.75" customHeight="1" x14ac:dyDescent="0.3">
      <c r="A933" s="24"/>
      <c r="B933" s="32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</row>
    <row r="934" spans="1:27" ht="15.75" customHeight="1" x14ac:dyDescent="0.3">
      <c r="A934" s="24"/>
      <c r="B934" s="32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</row>
    <row r="935" spans="1:27" ht="15.75" customHeight="1" x14ac:dyDescent="0.3">
      <c r="A935" s="24"/>
      <c r="B935" s="32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</row>
    <row r="936" spans="1:27" ht="15.75" customHeight="1" x14ac:dyDescent="0.3">
      <c r="A936" s="24"/>
      <c r="B936" s="32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</row>
    <row r="937" spans="1:27" ht="15.75" customHeight="1" x14ac:dyDescent="0.3">
      <c r="A937" s="24"/>
      <c r="B937" s="32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</row>
    <row r="938" spans="1:27" ht="15.75" customHeight="1" x14ac:dyDescent="0.3">
      <c r="A938" s="24"/>
      <c r="B938" s="32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</row>
    <row r="939" spans="1:27" ht="15.75" customHeight="1" x14ac:dyDescent="0.3">
      <c r="A939" s="24"/>
      <c r="B939" s="32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</row>
    <row r="940" spans="1:27" ht="15.75" customHeight="1" x14ac:dyDescent="0.3">
      <c r="A940" s="24"/>
      <c r="B940" s="32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</row>
    <row r="941" spans="1:27" ht="15.75" customHeight="1" x14ac:dyDescent="0.3">
      <c r="A941" s="24"/>
      <c r="B941" s="32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</row>
    <row r="942" spans="1:27" ht="15.75" customHeight="1" x14ac:dyDescent="0.3">
      <c r="A942" s="24"/>
      <c r="B942" s="32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</row>
    <row r="943" spans="1:27" ht="15.75" customHeight="1" x14ac:dyDescent="0.3">
      <c r="A943" s="24"/>
      <c r="B943" s="32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</row>
    <row r="944" spans="1:27" ht="15.75" customHeight="1" x14ac:dyDescent="0.3">
      <c r="A944" s="24"/>
      <c r="B944" s="32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</row>
    <row r="945" spans="1:27" ht="15.75" customHeight="1" x14ac:dyDescent="0.3">
      <c r="A945" s="24"/>
      <c r="B945" s="32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</row>
    <row r="946" spans="1:27" ht="15.75" customHeight="1" x14ac:dyDescent="0.3">
      <c r="A946" s="24"/>
      <c r="B946" s="32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</row>
    <row r="947" spans="1:27" ht="15.75" customHeight="1" x14ac:dyDescent="0.3">
      <c r="A947" s="24"/>
      <c r="B947" s="32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</row>
    <row r="948" spans="1:27" ht="15.75" customHeight="1" x14ac:dyDescent="0.3">
      <c r="A948" s="24"/>
      <c r="B948" s="32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</row>
    <row r="949" spans="1:27" ht="15.75" customHeight="1" x14ac:dyDescent="0.3">
      <c r="A949" s="24"/>
      <c r="B949" s="32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</row>
    <row r="950" spans="1:27" ht="15.75" customHeight="1" x14ac:dyDescent="0.3">
      <c r="A950" s="24"/>
      <c r="B950" s="32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</row>
    <row r="951" spans="1:27" ht="15.75" customHeight="1" x14ac:dyDescent="0.3">
      <c r="A951" s="24"/>
      <c r="B951" s="32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</row>
    <row r="952" spans="1:27" ht="15.75" customHeight="1" x14ac:dyDescent="0.3">
      <c r="A952" s="24"/>
      <c r="B952" s="32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</row>
    <row r="953" spans="1:27" ht="15.75" customHeight="1" x14ac:dyDescent="0.3">
      <c r="A953" s="24"/>
      <c r="B953" s="32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</row>
    <row r="954" spans="1:27" ht="15.75" customHeight="1" x14ac:dyDescent="0.3">
      <c r="A954" s="24"/>
      <c r="B954" s="32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</row>
    <row r="955" spans="1:27" ht="15.75" customHeight="1" x14ac:dyDescent="0.3">
      <c r="A955" s="24"/>
      <c r="B955" s="32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</row>
    <row r="956" spans="1:27" ht="15.75" customHeight="1" x14ac:dyDescent="0.3">
      <c r="A956" s="24"/>
      <c r="B956" s="32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</row>
    <row r="957" spans="1:27" ht="15.75" customHeight="1" x14ac:dyDescent="0.3">
      <c r="A957" s="24"/>
      <c r="B957" s="32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</row>
    <row r="958" spans="1:27" ht="15.75" customHeight="1" x14ac:dyDescent="0.3">
      <c r="A958" s="24"/>
      <c r="B958" s="32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</row>
    <row r="959" spans="1:27" ht="15.75" customHeight="1" x14ac:dyDescent="0.3">
      <c r="A959" s="24"/>
      <c r="B959" s="32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</row>
    <row r="960" spans="1:27" ht="15.75" customHeight="1" x14ac:dyDescent="0.3">
      <c r="A960" s="24"/>
      <c r="B960" s="32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</row>
    <row r="961" spans="1:27" ht="15.75" customHeight="1" x14ac:dyDescent="0.3">
      <c r="A961" s="24"/>
      <c r="B961" s="32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</row>
    <row r="962" spans="1:27" ht="15.75" customHeight="1" x14ac:dyDescent="0.3">
      <c r="A962" s="24"/>
      <c r="B962" s="32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</row>
    <row r="963" spans="1:27" ht="15.75" customHeight="1" x14ac:dyDescent="0.3">
      <c r="A963" s="24"/>
      <c r="B963" s="32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</row>
    <row r="964" spans="1:27" ht="15.75" customHeight="1" x14ac:dyDescent="0.3">
      <c r="A964" s="24"/>
      <c r="B964" s="32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</row>
    <row r="965" spans="1:27" ht="15.75" customHeight="1" x14ac:dyDescent="0.3">
      <c r="A965" s="24"/>
      <c r="B965" s="32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</row>
    <row r="966" spans="1:27" ht="15.75" customHeight="1" x14ac:dyDescent="0.3">
      <c r="A966" s="24"/>
      <c r="B966" s="32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</row>
    <row r="967" spans="1:27" ht="15.75" customHeight="1" x14ac:dyDescent="0.3">
      <c r="A967" s="24"/>
      <c r="B967" s="32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</row>
    <row r="968" spans="1:27" ht="15.75" customHeight="1" x14ac:dyDescent="0.3">
      <c r="A968" s="24"/>
      <c r="B968" s="32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</row>
    <row r="969" spans="1:27" ht="15.75" customHeight="1" x14ac:dyDescent="0.3">
      <c r="A969" s="24"/>
      <c r="B969" s="32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</row>
    <row r="970" spans="1:27" ht="15.75" customHeight="1" x14ac:dyDescent="0.3">
      <c r="A970" s="24"/>
      <c r="B970" s="32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</row>
    <row r="971" spans="1:27" ht="15.75" customHeight="1" x14ac:dyDescent="0.3">
      <c r="A971" s="24"/>
      <c r="B971" s="32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</row>
    <row r="972" spans="1:27" ht="15.75" customHeight="1" x14ac:dyDescent="0.3">
      <c r="A972" s="24"/>
      <c r="B972" s="32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</row>
    <row r="973" spans="1:27" ht="15.75" customHeight="1" x14ac:dyDescent="0.3">
      <c r="A973" s="24"/>
      <c r="B973" s="32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</row>
    <row r="974" spans="1:27" ht="15.75" customHeight="1" x14ac:dyDescent="0.3">
      <c r="A974" s="24"/>
      <c r="B974" s="32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</row>
    <row r="975" spans="1:27" ht="15.75" customHeight="1" x14ac:dyDescent="0.3">
      <c r="A975" s="24"/>
      <c r="B975" s="32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</row>
    <row r="976" spans="1:27" ht="15.75" customHeight="1" x14ac:dyDescent="0.3">
      <c r="A976" s="24"/>
      <c r="B976" s="32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</row>
    <row r="977" spans="1:27" ht="15.75" customHeight="1" x14ac:dyDescent="0.3">
      <c r="A977" s="24"/>
      <c r="B977" s="32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</row>
    <row r="978" spans="1:27" ht="15.75" customHeight="1" x14ac:dyDescent="0.3">
      <c r="A978" s="24"/>
      <c r="B978" s="32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</row>
    <row r="979" spans="1:27" ht="15.75" customHeight="1" x14ac:dyDescent="0.3">
      <c r="A979" s="24"/>
      <c r="B979" s="32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</row>
    <row r="980" spans="1:27" ht="15.75" customHeight="1" x14ac:dyDescent="0.3">
      <c r="A980" s="24"/>
      <c r="B980" s="32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</row>
    <row r="981" spans="1:27" ht="15.75" customHeight="1" x14ac:dyDescent="0.3">
      <c r="A981" s="24"/>
      <c r="B981" s="32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</row>
    <row r="982" spans="1:27" ht="15.75" customHeight="1" x14ac:dyDescent="0.3">
      <c r="A982" s="24"/>
      <c r="B982" s="32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</row>
    <row r="983" spans="1:27" ht="15.75" customHeight="1" x14ac:dyDescent="0.3">
      <c r="A983" s="24"/>
      <c r="B983" s="32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</row>
    <row r="984" spans="1:27" ht="15.75" customHeight="1" x14ac:dyDescent="0.3">
      <c r="A984" s="24"/>
      <c r="B984" s="32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</row>
    <row r="985" spans="1:27" ht="15.75" customHeight="1" x14ac:dyDescent="0.3">
      <c r="A985" s="24"/>
      <c r="B985" s="32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</row>
    <row r="986" spans="1:27" ht="15.75" customHeight="1" x14ac:dyDescent="0.3">
      <c r="A986" s="24"/>
      <c r="B986" s="32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</row>
    <row r="987" spans="1:27" ht="15.75" customHeight="1" x14ac:dyDescent="0.3">
      <c r="A987" s="24"/>
      <c r="B987" s="32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</row>
    <row r="988" spans="1:27" ht="15.75" customHeight="1" x14ac:dyDescent="0.3">
      <c r="A988" s="24"/>
      <c r="B988" s="32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</row>
    <row r="989" spans="1:27" ht="15.75" customHeight="1" x14ac:dyDescent="0.3">
      <c r="A989" s="24"/>
      <c r="B989" s="32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</row>
    <row r="990" spans="1:27" ht="15.75" customHeight="1" x14ac:dyDescent="0.3">
      <c r="A990" s="24"/>
      <c r="B990" s="32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</row>
    <row r="991" spans="1:27" ht="15.75" customHeight="1" x14ac:dyDescent="0.3">
      <c r="A991" s="24"/>
      <c r="B991" s="32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</row>
    <row r="992" spans="1:27" ht="15.75" customHeight="1" x14ac:dyDescent="0.3">
      <c r="A992" s="24"/>
      <c r="B992" s="32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</row>
    <row r="993" spans="1:27" ht="15.75" customHeight="1" x14ac:dyDescent="0.3">
      <c r="A993" s="24"/>
      <c r="B993" s="32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</row>
    <row r="994" spans="1:27" ht="15.75" customHeight="1" x14ac:dyDescent="0.3">
      <c r="A994" s="24"/>
      <c r="B994" s="32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</row>
    <row r="995" spans="1:27" ht="15.75" customHeight="1" x14ac:dyDescent="0.3">
      <c r="A995" s="24"/>
      <c r="B995" s="32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</row>
    <row r="996" spans="1:27" ht="15.75" customHeight="1" x14ac:dyDescent="0.3">
      <c r="A996" s="24"/>
      <c r="B996" s="32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</row>
    <row r="997" spans="1:27" ht="15.75" customHeight="1" x14ac:dyDescent="0.3">
      <c r="A997" s="24"/>
      <c r="B997" s="32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</row>
    <row r="998" spans="1:27" ht="15.75" customHeight="1" x14ac:dyDescent="0.3">
      <c r="A998" s="24"/>
      <c r="B998" s="32"/>
      <c r="C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</row>
  </sheetData>
  <autoFilter ref="A2:Q43" xr:uid="{00000000-0009-0000-0000-000008000000}"/>
  <mergeCells count="1">
    <mergeCell ref="B1:E1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000"/>
  <sheetViews>
    <sheetView workbookViewId="0"/>
  </sheetViews>
  <sheetFormatPr baseColWidth="10" defaultColWidth="14.44140625" defaultRowHeight="15" customHeight="1" x14ac:dyDescent="0.3"/>
  <cols>
    <col min="1" max="1" width="13.33203125" customWidth="1"/>
    <col min="2" max="2" width="34.109375" customWidth="1"/>
    <col min="3" max="3" width="28.33203125" customWidth="1"/>
    <col min="4" max="4" width="23.88671875" customWidth="1"/>
    <col min="5" max="5" width="4.109375" customWidth="1"/>
    <col min="6" max="6" width="13" customWidth="1"/>
    <col min="7" max="7" width="27.6640625" customWidth="1"/>
    <col min="8" max="8" width="9.5546875" customWidth="1"/>
    <col min="9" max="9" width="16.109375" customWidth="1"/>
    <col min="10" max="10" width="10" customWidth="1"/>
    <col min="11" max="12" width="10.6640625" customWidth="1"/>
    <col min="13" max="13" width="17.88671875" customWidth="1"/>
    <col min="15" max="15" width="14.5546875" customWidth="1"/>
  </cols>
  <sheetData>
    <row r="1" spans="1:16" ht="15" customHeight="1" x14ac:dyDescent="0.3">
      <c r="A1" s="20" t="s">
        <v>410</v>
      </c>
      <c r="B1" s="181" t="str">
        <f>'Formato Cronograma'!C12</f>
        <v>Modelamiento y análisis de datos usando Power BI.</v>
      </c>
      <c r="C1" s="182"/>
      <c r="D1" s="182"/>
    </row>
    <row r="2" spans="1:16" ht="15" customHeight="1" x14ac:dyDescent="0.3">
      <c r="A2" s="20" t="s">
        <v>411</v>
      </c>
      <c r="B2" s="21" t="s">
        <v>412</v>
      </c>
      <c r="C2" s="22" t="s">
        <v>413</v>
      </c>
      <c r="D2" s="23" t="s">
        <v>414</v>
      </c>
      <c r="E2" s="24"/>
      <c r="F2" s="25"/>
      <c r="G2" s="25"/>
      <c r="H2" s="25"/>
      <c r="I2" s="25"/>
      <c r="J2" s="25"/>
      <c r="K2" s="25"/>
      <c r="L2" s="25"/>
      <c r="M2" s="25"/>
      <c r="N2" s="24"/>
      <c r="O2" s="24"/>
      <c r="P2" s="24"/>
    </row>
    <row r="3" spans="1:16" ht="15" customHeight="1" x14ac:dyDescent="0.3">
      <c r="A3" s="26">
        <v>1</v>
      </c>
      <c r="B3" s="27">
        <f>VLOOKUP((MATCH(A3,'Formato Cronograma'!$N$12:$LJ$12,0)),Datos!A:D,4,FALSE)</f>
        <v>46281</v>
      </c>
      <c r="C3" s="26" t="s">
        <v>417</v>
      </c>
      <c r="D3" s="26" t="s">
        <v>434</v>
      </c>
      <c r="E3" s="24"/>
      <c r="F3" s="28"/>
      <c r="G3" s="28"/>
      <c r="H3" s="25"/>
      <c r="I3" s="28"/>
      <c r="J3" s="28"/>
      <c r="K3" s="28"/>
      <c r="L3" s="28"/>
      <c r="M3" s="28"/>
      <c r="N3" s="24"/>
      <c r="O3" s="24"/>
      <c r="P3" s="24"/>
    </row>
    <row r="4" spans="1:16" ht="15" customHeight="1" x14ac:dyDescent="0.3">
      <c r="A4" s="26">
        <v>2</v>
      </c>
      <c r="B4" s="27">
        <f>VLOOKUP((MATCH(A4,'Formato Cronograma'!$N$12:$LJ$12,0)),Datos!A:D,4,FALSE)</f>
        <v>46283</v>
      </c>
      <c r="C4" s="26" t="s">
        <v>415</v>
      </c>
      <c r="D4" s="26" t="s">
        <v>421</v>
      </c>
      <c r="E4" s="24"/>
      <c r="F4" s="29"/>
      <c r="G4" s="30"/>
      <c r="H4" s="29"/>
      <c r="I4" s="29"/>
      <c r="J4" s="29"/>
      <c r="K4" s="31"/>
      <c r="L4" s="31"/>
      <c r="M4" s="29"/>
      <c r="N4" s="24"/>
      <c r="O4" s="24"/>
      <c r="P4" s="24"/>
    </row>
    <row r="5" spans="1:16" ht="15" customHeight="1" x14ac:dyDescent="0.3">
      <c r="A5" s="26">
        <v>3</v>
      </c>
      <c r="B5" s="27">
        <f>VLOOKUP((MATCH(A5,'Formato Cronograma'!$N$12:$LJ$12,0)),Datos!A:D,4,FALSE)</f>
        <v>46293</v>
      </c>
      <c r="C5" s="26" t="s">
        <v>417</v>
      </c>
      <c r="D5" s="26" t="s">
        <v>434</v>
      </c>
      <c r="E5" s="24"/>
      <c r="F5" s="29"/>
      <c r="G5" s="30"/>
      <c r="H5" s="29"/>
      <c r="I5" s="29"/>
      <c r="J5" s="29"/>
      <c r="K5" s="31"/>
      <c r="L5" s="31"/>
      <c r="M5" s="29"/>
      <c r="N5" s="24"/>
      <c r="O5" s="24"/>
      <c r="P5" s="24"/>
    </row>
    <row r="6" spans="1:16" ht="15" customHeight="1" x14ac:dyDescent="0.3">
      <c r="A6" s="26">
        <v>4</v>
      </c>
      <c r="B6" s="27">
        <f>VLOOKUP((MATCH(A6,'Formato Cronograma'!$N$12:$LJ$12,0)),Datos!A:D,4,FALSE)</f>
        <v>46295</v>
      </c>
      <c r="C6" s="26" t="s">
        <v>417</v>
      </c>
      <c r="D6" s="26" t="s">
        <v>434</v>
      </c>
      <c r="E6" s="24"/>
      <c r="F6" s="29"/>
      <c r="G6" s="30"/>
      <c r="H6" s="29"/>
      <c r="I6" s="29"/>
      <c r="J6" s="29"/>
      <c r="K6" s="31"/>
      <c r="L6" s="31"/>
      <c r="M6" s="29"/>
      <c r="N6" s="24"/>
      <c r="O6" s="24"/>
      <c r="P6" s="24"/>
    </row>
    <row r="7" spans="1:16" ht="15" customHeight="1" x14ac:dyDescent="0.3">
      <c r="A7" s="26">
        <v>5</v>
      </c>
      <c r="B7" s="27">
        <f>VLOOKUP((MATCH(A7,'Formato Cronograma'!$N$12:$LJ$12,0)),Datos!A:D,4,FALSE)</f>
        <v>46297</v>
      </c>
      <c r="C7" s="26" t="s">
        <v>415</v>
      </c>
      <c r="D7" s="26" t="s">
        <v>421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</row>
    <row r="8" spans="1:16" ht="15" customHeight="1" x14ac:dyDescent="0.3">
      <c r="A8" s="26">
        <v>6</v>
      </c>
      <c r="B8" s="27">
        <f>VLOOKUP((MATCH(A8,'Formato Cronograma'!$N$12:$LJ$12,0)),Datos!A:D,4,FALSE)</f>
        <v>46309</v>
      </c>
      <c r="C8" s="26" t="s">
        <v>417</v>
      </c>
      <c r="D8" s="26" t="s">
        <v>434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spans="1:16" ht="15" customHeight="1" x14ac:dyDescent="0.3">
      <c r="A9" s="26">
        <v>7</v>
      </c>
      <c r="B9" s="27">
        <f>VLOOKUP((MATCH(A9,'Formato Cronograma'!$N$12:$LJ$12,0)),Datos!A:D,4,FALSE)</f>
        <v>46311</v>
      </c>
      <c r="C9" s="26" t="s">
        <v>415</v>
      </c>
      <c r="D9" s="26" t="s">
        <v>421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 ht="15" customHeight="1" x14ac:dyDescent="0.3">
      <c r="A10" s="26">
        <v>8</v>
      </c>
      <c r="B10" s="27">
        <f>VLOOKUP((MATCH(A10,'Formato Cronograma'!$N$12:$LJ$12,0)),Datos!A:D,4,FALSE)</f>
        <v>46314</v>
      </c>
      <c r="C10" s="26" t="s">
        <v>417</v>
      </c>
      <c r="D10" s="26" t="s">
        <v>434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6" ht="14.4" x14ac:dyDescent="0.3">
      <c r="A11" s="26">
        <v>9</v>
      </c>
      <c r="B11" s="27">
        <f>VLOOKUP((MATCH(A11,'Formato Cronograma'!$N$12:$LJ$12,0)),Datos!A:D,4,FALSE)</f>
        <v>46316</v>
      </c>
      <c r="C11" s="26" t="s">
        <v>417</v>
      </c>
      <c r="D11" s="26" t="s">
        <v>434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spans="1:16" ht="14.4" x14ac:dyDescent="0.3">
      <c r="A12" s="26">
        <v>10</v>
      </c>
      <c r="B12" s="27">
        <f>VLOOKUP((MATCH(A12,'Formato Cronograma'!$N$12:$LJ$12,0)),Datos!A:D,4,FALSE)</f>
        <v>46318</v>
      </c>
      <c r="C12" s="26" t="s">
        <v>415</v>
      </c>
      <c r="D12" s="26" t="s">
        <v>421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spans="1:16" ht="14.4" x14ac:dyDescent="0.3">
      <c r="A13" s="26">
        <v>11</v>
      </c>
      <c r="B13" s="27">
        <f>VLOOKUP((MATCH(A13,'Formato Cronograma'!$N$12:$LJ$12,0)),Datos!A:D,4,FALSE)</f>
        <v>46321</v>
      </c>
      <c r="C13" s="26" t="s">
        <v>417</v>
      </c>
      <c r="D13" s="26" t="s">
        <v>434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1:16" ht="14.4" x14ac:dyDescent="0.3">
      <c r="A14" s="26">
        <v>12</v>
      </c>
      <c r="B14" s="27">
        <f>VLOOKUP((MATCH(A14,'Formato Cronograma'!$N$12:$LJ$12,0)),Datos!A:D,4,FALSE)</f>
        <v>46323</v>
      </c>
      <c r="C14" s="26" t="s">
        <v>417</v>
      </c>
      <c r="D14" s="26" t="s">
        <v>434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</row>
    <row r="15" spans="1:16" ht="14.4" x14ac:dyDescent="0.3">
      <c r="A15" s="26">
        <v>13</v>
      </c>
      <c r="B15" s="27">
        <f>VLOOKUP((MATCH(A15,'Formato Cronograma'!$N$12:$LJ$12,0)),Datos!A:D,4,FALSE)</f>
        <v>46325</v>
      </c>
      <c r="C15" s="26" t="s">
        <v>415</v>
      </c>
      <c r="D15" s="26" t="s">
        <v>421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</row>
    <row r="16" spans="1:16" ht="14.4" x14ac:dyDescent="0.3">
      <c r="A16" s="26">
        <v>14</v>
      </c>
      <c r="B16" s="27">
        <f>VLOOKUP((MATCH(A16,'Formato Cronograma'!$N$12:$LJ$12,0)),Datos!A:D,4,FALSE)</f>
        <v>46330</v>
      </c>
      <c r="C16" s="26" t="s">
        <v>417</v>
      </c>
      <c r="D16" s="26" t="s">
        <v>434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6" ht="14.4" x14ac:dyDescent="0.3">
      <c r="A17" s="26">
        <v>15</v>
      </c>
      <c r="B17" s="27">
        <f>VLOOKUP((MATCH(A17,'Formato Cronograma'!$N$12:$LJ$12,0)),Datos!A:D,4,FALSE)</f>
        <v>46332</v>
      </c>
      <c r="C17" s="26" t="s">
        <v>415</v>
      </c>
      <c r="D17" s="26" t="s">
        <v>421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</row>
    <row r="18" spans="1:16" ht="14.4" x14ac:dyDescent="0.3">
      <c r="A18" s="26">
        <v>16</v>
      </c>
      <c r="B18" s="27">
        <f>VLOOKUP((MATCH(A18,'Formato Cronograma'!$N$12:$LJ$12,0)),Datos!A:D,4,FALSE)</f>
        <v>46335</v>
      </c>
      <c r="C18" s="26" t="s">
        <v>417</v>
      </c>
      <c r="D18" s="26" t="s">
        <v>434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</row>
    <row r="19" spans="1:16" ht="14.4" x14ac:dyDescent="0.3">
      <c r="A19" s="26">
        <v>17</v>
      </c>
      <c r="B19" s="27">
        <f>VLOOKUP((MATCH(A19,'Formato Cronograma'!$N$12:$LJ$12,0)),Datos!A:D,4,FALSE)</f>
        <v>46337</v>
      </c>
      <c r="C19" s="26" t="s">
        <v>417</v>
      </c>
      <c r="D19" s="26" t="s">
        <v>434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spans="1:16" ht="15.75" customHeight="1" x14ac:dyDescent="0.3">
      <c r="A20" s="26">
        <v>18</v>
      </c>
      <c r="B20" s="27">
        <f>VLOOKUP((MATCH(A20,'Formato Cronograma'!$N$12:$LJ$12,0)),Datos!A:D,4,FALSE)</f>
        <v>46339</v>
      </c>
      <c r="C20" s="26" t="s">
        <v>415</v>
      </c>
      <c r="D20" s="26" t="s">
        <v>421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 ht="15.75" customHeight="1" x14ac:dyDescent="0.3">
      <c r="A21" s="26">
        <v>19</v>
      </c>
      <c r="B21" s="27">
        <f>VLOOKUP((MATCH(A21,'Formato Cronograma'!$N$12:$LJ$12,0)),Datos!A:D,4,FALSE)</f>
        <v>46344</v>
      </c>
      <c r="C21" s="26" t="s">
        <v>417</v>
      </c>
      <c r="D21" s="26" t="s">
        <v>434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spans="1:16" ht="15.75" customHeight="1" x14ac:dyDescent="0.3">
      <c r="A22" s="26">
        <v>20</v>
      </c>
      <c r="B22" s="27">
        <f>VLOOKUP((MATCH(A22,'Formato Cronograma'!$N$12:$LJ$12,0)),Datos!A:D,4,FALSE)</f>
        <v>46346</v>
      </c>
      <c r="C22" s="26" t="s">
        <v>415</v>
      </c>
      <c r="D22" s="26" t="s">
        <v>421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</row>
    <row r="23" spans="1:16" ht="15.75" customHeight="1" x14ac:dyDescent="0.3">
      <c r="A23" s="24"/>
      <c r="B23" s="32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4" spans="1:16" ht="15.75" customHeight="1" x14ac:dyDescent="0.3">
      <c r="A24" s="24"/>
      <c r="B24" s="32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  <row r="25" spans="1:16" ht="15.75" customHeight="1" x14ac:dyDescent="0.3">
      <c r="A25" s="24"/>
      <c r="B25" s="32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16" ht="15.75" customHeight="1" x14ac:dyDescent="0.3">
      <c r="A26" s="24"/>
      <c r="B26" s="32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</row>
    <row r="27" spans="1:16" ht="15.75" customHeight="1" x14ac:dyDescent="0.3">
      <c r="A27" s="24"/>
      <c r="B27" s="32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</row>
    <row r="28" spans="1:16" ht="15.75" customHeight="1" x14ac:dyDescent="0.3">
      <c r="A28" s="24"/>
      <c r="B28" s="32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</row>
    <row r="29" spans="1:16" ht="15.75" customHeight="1" x14ac:dyDescent="0.3">
      <c r="A29" s="24"/>
      <c r="B29" s="32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</row>
    <row r="30" spans="1:16" ht="15.75" customHeight="1" x14ac:dyDescent="0.3">
      <c r="A30" s="24"/>
      <c r="B30" s="32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</row>
    <row r="31" spans="1:16" ht="15.75" customHeight="1" x14ac:dyDescent="0.3">
      <c r="A31" s="24"/>
      <c r="B31" s="32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</row>
    <row r="32" spans="1:16" ht="15.75" customHeight="1" x14ac:dyDescent="0.3">
      <c r="A32" s="24"/>
      <c r="B32" s="32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</row>
    <row r="33" spans="1:16" ht="15.75" customHeight="1" x14ac:dyDescent="0.3">
      <c r="A33" s="24"/>
      <c r="B33" s="32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</row>
    <row r="34" spans="1:16" ht="15.75" customHeight="1" x14ac:dyDescent="0.3">
      <c r="A34" s="24"/>
      <c r="B34" s="32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spans="1:16" ht="15.75" customHeight="1" x14ac:dyDescent="0.3">
      <c r="A35" s="24"/>
      <c r="B35" s="32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</row>
    <row r="36" spans="1:16" ht="15.75" customHeight="1" x14ac:dyDescent="0.3">
      <c r="A36" s="24"/>
      <c r="B36" s="32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</row>
    <row r="37" spans="1:16" ht="15.75" customHeight="1" x14ac:dyDescent="0.3">
      <c r="A37" s="24"/>
      <c r="B37" s="32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</row>
    <row r="38" spans="1:16" ht="15.75" customHeight="1" x14ac:dyDescent="0.3">
      <c r="A38" s="24"/>
      <c r="B38" s="32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</row>
    <row r="39" spans="1:16" ht="15.75" customHeight="1" x14ac:dyDescent="0.3">
      <c r="A39" s="24"/>
      <c r="B39" s="32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</row>
    <row r="40" spans="1:16" ht="15.75" customHeight="1" x14ac:dyDescent="0.3">
      <c r="A40" s="24"/>
      <c r="B40" s="32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</row>
    <row r="41" spans="1:16" ht="15.75" customHeight="1" x14ac:dyDescent="0.3">
      <c r="A41" s="24"/>
      <c r="B41" s="32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</row>
    <row r="42" spans="1:16" ht="15.75" customHeight="1" x14ac:dyDescent="0.3">
      <c r="A42" s="24"/>
      <c r="B42" s="32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</row>
    <row r="43" spans="1:16" ht="15.75" customHeight="1" x14ac:dyDescent="0.3">
      <c r="A43" s="24"/>
      <c r="B43" s="32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</row>
    <row r="44" spans="1:16" ht="15.75" customHeight="1" x14ac:dyDescent="0.3">
      <c r="A44" s="24"/>
      <c r="B44" s="32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</row>
    <row r="45" spans="1:16" ht="15.75" customHeight="1" x14ac:dyDescent="0.3">
      <c r="A45" s="24"/>
      <c r="B45" s="32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</row>
    <row r="46" spans="1:16" ht="15.75" customHeight="1" x14ac:dyDescent="0.3">
      <c r="A46" s="24"/>
      <c r="B46" s="32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</row>
    <row r="47" spans="1:16" ht="15.75" customHeight="1" x14ac:dyDescent="0.3">
      <c r="A47" s="24"/>
      <c r="B47" s="32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</row>
    <row r="48" spans="1:16" ht="15.75" customHeight="1" x14ac:dyDescent="0.3">
      <c r="A48" s="24"/>
      <c r="B48" s="32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</row>
    <row r="49" spans="1:16" ht="15.75" customHeight="1" x14ac:dyDescent="0.3">
      <c r="A49" s="24"/>
      <c r="B49" s="32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</row>
    <row r="50" spans="1:16" ht="15.75" customHeight="1" x14ac:dyDescent="0.3">
      <c r="A50" s="24"/>
      <c r="B50" s="32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</row>
    <row r="51" spans="1:16" ht="15.75" customHeight="1" x14ac:dyDescent="0.3">
      <c r="A51" s="24"/>
      <c r="B51" s="32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</row>
    <row r="52" spans="1:16" ht="15.75" customHeight="1" x14ac:dyDescent="0.3">
      <c r="A52" s="24"/>
      <c r="B52" s="32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</row>
    <row r="53" spans="1:16" ht="15.75" customHeight="1" x14ac:dyDescent="0.3">
      <c r="A53" s="24"/>
      <c r="B53" s="32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</row>
    <row r="54" spans="1:16" ht="15.75" customHeight="1" x14ac:dyDescent="0.3">
      <c r="A54" s="24"/>
      <c r="B54" s="32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1:16" ht="15.75" customHeight="1" x14ac:dyDescent="0.3">
      <c r="A55" s="24"/>
      <c r="B55" s="32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</row>
    <row r="56" spans="1:16" ht="15.75" customHeight="1" x14ac:dyDescent="0.3">
      <c r="A56" s="24"/>
      <c r="B56" s="32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</row>
    <row r="57" spans="1:16" ht="15.75" customHeight="1" x14ac:dyDescent="0.3">
      <c r="A57" s="24"/>
      <c r="B57" s="32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</row>
    <row r="58" spans="1:16" ht="15.75" customHeight="1" x14ac:dyDescent="0.3">
      <c r="A58" s="24"/>
      <c r="B58" s="32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</row>
    <row r="59" spans="1:16" ht="15.75" customHeight="1" x14ac:dyDescent="0.3">
      <c r="A59" s="24"/>
      <c r="B59" s="32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</row>
    <row r="60" spans="1:16" ht="15.75" customHeight="1" x14ac:dyDescent="0.3">
      <c r="A60" s="24"/>
      <c r="B60" s="32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</row>
    <row r="61" spans="1:16" ht="15.75" customHeight="1" x14ac:dyDescent="0.3">
      <c r="A61" s="24"/>
      <c r="B61" s="32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</row>
    <row r="62" spans="1:16" ht="15.75" customHeight="1" x14ac:dyDescent="0.3">
      <c r="A62" s="24"/>
      <c r="B62" s="32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</row>
    <row r="63" spans="1:16" ht="15.75" customHeight="1" x14ac:dyDescent="0.3">
      <c r="A63" s="24"/>
      <c r="B63" s="32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</row>
    <row r="64" spans="1:16" ht="15.75" customHeight="1" x14ac:dyDescent="0.3">
      <c r="A64" s="24"/>
      <c r="B64" s="32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</row>
    <row r="65" spans="1:16" ht="15.75" customHeight="1" x14ac:dyDescent="0.3">
      <c r="A65" s="24"/>
      <c r="B65" s="32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</row>
    <row r="66" spans="1:16" ht="15.75" customHeight="1" x14ac:dyDescent="0.3">
      <c r="A66" s="24"/>
      <c r="B66" s="32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</row>
    <row r="67" spans="1:16" ht="15.75" customHeight="1" x14ac:dyDescent="0.3">
      <c r="A67" s="24"/>
      <c r="B67" s="32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</row>
    <row r="68" spans="1:16" ht="15.75" customHeight="1" x14ac:dyDescent="0.3">
      <c r="A68" s="24"/>
      <c r="B68" s="32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</row>
    <row r="69" spans="1:16" ht="15.75" customHeight="1" x14ac:dyDescent="0.3">
      <c r="A69" s="24"/>
      <c r="B69" s="32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</row>
    <row r="70" spans="1:16" ht="15.75" customHeight="1" x14ac:dyDescent="0.3">
      <c r="A70" s="24"/>
      <c r="B70" s="32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</row>
    <row r="71" spans="1:16" ht="15.75" customHeight="1" x14ac:dyDescent="0.3">
      <c r="A71" s="24"/>
      <c r="B71" s="32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</row>
    <row r="72" spans="1:16" ht="15.75" customHeight="1" x14ac:dyDescent="0.3">
      <c r="A72" s="24"/>
      <c r="B72" s="32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</row>
    <row r="73" spans="1:16" ht="15.75" customHeight="1" x14ac:dyDescent="0.3">
      <c r="A73" s="24"/>
      <c r="B73" s="32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</row>
    <row r="74" spans="1:16" ht="15.75" customHeight="1" x14ac:dyDescent="0.3">
      <c r="A74" s="24"/>
      <c r="B74" s="32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</row>
    <row r="75" spans="1:16" ht="15.75" customHeight="1" x14ac:dyDescent="0.3">
      <c r="A75" s="24"/>
      <c r="B75" s="32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</row>
    <row r="76" spans="1:16" ht="15.75" customHeight="1" x14ac:dyDescent="0.3">
      <c r="A76" s="24"/>
      <c r="B76" s="32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</row>
    <row r="77" spans="1:16" ht="15.75" customHeight="1" x14ac:dyDescent="0.3">
      <c r="A77" s="24"/>
      <c r="B77" s="32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</row>
    <row r="78" spans="1:16" ht="15.75" customHeight="1" x14ac:dyDescent="0.3">
      <c r="A78" s="24"/>
      <c r="B78" s="32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</row>
    <row r="79" spans="1:16" ht="15.75" customHeight="1" x14ac:dyDescent="0.3">
      <c r="A79" s="24"/>
      <c r="B79" s="32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</row>
    <row r="80" spans="1:16" ht="15.75" customHeight="1" x14ac:dyDescent="0.3">
      <c r="A80" s="24"/>
      <c r="B80" s="32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</row>
    <row r="81" spans="1:16" ht="15.75" customHeight="1" x14ac:dyDescent="0.3">
      <c r="A81" s="24"/>
      <c r="B81" s="32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</row>
    <row r="82" spans="1:16" ht="15.75" customHeight="1" x14ac:dyDescent="0.3">
      <c r="A82" s="24"/>
      <c r="B82" s="32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</row>
    <row r="83" spans="1:16" ht="15.75" customHeight="1" x14ac:dyDescent="0.3">
      <c r="A83" s="24"/>
      <c r="B83" s="32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</row>
    <row r="84" spans="1:16" ht="15.75" customHeight="1" x14ac:dyDescent="0.3">
      <c r="A84" s="24"/>
      <c r="B84" s="32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</row>
    <row r="85" spans="1:16" ht="15.75" customHeight="1" x14ac:dyDescent="0.3">
      <c r="A85" s="24"/>
      <c r="B85" s="32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</row>
    <row r="86" spans="1:16" ht="15.75" customHeight="1" x14ac:dyDescent="0.3">
      <c r="A86" s="24"/>
      <c r="B86" s="32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</row>
    <row r="87" spans="1:16" ht="15.75" customHeight="1" x14ac:dyDescent="0.3">
      <c r="A87" s="24"/>
      <c r="B87" s="32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</row>
    <row r="88" spans="1:16" ht="15.75" customHeight="1" x14ac:dyDescent="0.3">
      <c r="A88" s="24"/>
      <c r="B88" s="32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</row>
    <row r="89" spans="1:16" ht="15.75" customHeight="1" x14ac:dyDescent="0.3">
      <c r="A89" s="24"/>
      <c r="B89" s="32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</row>
    <row r="90" spans="1:16" ht="15.75" customHeight="1" x14ac:dyDescent="0.3">
      <c r="A90" s="24"/>
      <c r="B90" s="32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</row>
    <row r="91" spans="1:16" ht="15.75" customHeight="1" x14ac:dyDescent="0.3">
      <c r="A91" s="24"/>
      <c r="B91" s="32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</row>
    <row r="92" spans="1:16" ht="15.75" customHeight="1" x14ac:dyDescent="0.3">
      <c r="A92" s="24"/>
      <c r="B92" s="32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</row>
    <row r="93" spans="1:16" ht="15.75" customHeight="1" x14ac:dyDescent="0.3">
      <c r="A93" s="24"/>
      <c r="B93" s="32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</row>
    <row r="94" spans="1:16" ht="15.75" customHeight="1" x14ac:dyDescent="0.3">
      <c r="A94" s="24"/>
      <c r="B94" s="32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</row>
    <row r="95" spans="1:16" ht="15.75" customHeight="1" x14ac:dyDescent="0.3">
      <c r="A95" s="24"/>
      <c r="B95" s="32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</row>
    <row r="96" spans="1:16" ht="15.75" customHeight="1" x14ac:dyDescent="0.3">
      <c r="A96" s="24"/>
      <c r="B96" s="32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</row>
    <row r="97" spans="1:16" ht="15.75" customHeight="1" x14ac:dyDescent="0.3">
      <c r="A97" s="24"/>
      <c r="B97" s="32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</row>
    <row r="98" spans="1:16" ht="15.75" customHeight="1" x14ac:dyDescent="0.3">
      <c r="A98" s="24"/>
      <c r="B98" s="32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</row>
    <row r="99" spans="1:16" ht="15.75" customHeight="1" x14ac:dyDescent="0.3">
      <c r="A99" s="24"/>
      <c r="B99" s="32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</row>
    <row r="100" spans="1:16" ht="15.75" customHeight="1" x14ac:dyDescent="0.3">
      <c r="A100" s="24"/>
      <c r="B100" s="32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</row>
    <row r="101" spans="1:16" ht="15.75" customHeight="1" x14ac:dyDescent="0.3">
      <c r="A101" s="24"/>
      <c r="B101" s="32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</row>
    <row r="102" spans="1:16" ht="15.75" customHeight="1" x14ac:dyDescent="0.3">
      <c r="A102" s="24"/>
      <c r="B102" s="32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</row>
    <row r="103" spans="1:16" ht="15.75" customHeight="1" x14ac:dyDescent="0.3">
      <c r="A103" s="24"/>
      <c r="B103" s="32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</row>
    <row r="104" spans="1:16" ht="15.75" customHeight="1" x14ac:dyDescent="0.3">
      <c r="A104" s="24"/>
      <c r="B104" s="32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</row>
    <row r="105" spans="1:16" ht="15.75" customHeight="1" x14ac:dyDescent="0.3">
      <c r="A105" s="24"/>
      <c r="B105" s="32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</row>
    <row r="106" spans="1:16" ht="15.75" customHeight="1" x14ac:dyDescent="0.3">
      <c r="A106" s="24"/>
      <c r="B106" s="32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</row>
    <row r="107" spans="1:16" ht="15.75" customHeight="1" x14ac:dyDescent="0.3">
      <c r="A107" s="24"/>
      <c r="B107" s="32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</row>
    <row r="108" spans="1:16" ht="15.75" customHeight="1" x14ac:dyDescent="0.3">
      <c r="A108" s="24"/>
      <c r="B108" s="32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</row>
    <row r="109" spans="1:16" ht="15.75" customHeight="1" x14ac:dyDescent="0.3">
      <c r="A109" s="24"/>
      <c r="B109" s="32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</row>
    <row r="110" spans="1:16" ht="15.75" customHeight="1" x14ac:dyDescent="0.3">
      <c r="A110" s="24"/>
      <c r="B110" s="32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</row>
    <row r="111" spans="1:16" ht="15.75" customHeight="1" x14ac:dyDescent="0.3">
      <c r="A111" s="24"/>
      <c r="B111" s="32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</row>
    <row r="112" spans="1:16" ht="15.75" customHeight="1" x14ac:dyDescent="0.3">
      <c r="A112" s="24"/>
      <c r="B112" s="32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</row>
    <row r="113" spans="1:16" ht="15.75" customHeight="1" x14ac:dyDescent="0.3">
      <c r="A113" s="24"/>
      <c r="B113" s="32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</row>
    <row r="114" spans="1:16" ht="15.75" customHeight="1" x14ac:dyDescent="0.3">
      <c r="A114" s="24"/>
      <c r="B114" s="32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</row>
    <row r="115" spans="1:16" ht="15.75" customHeight="1" x14ac:dyDescent="0.3">
      <c r="A115" s="24"/>
      <c r="B115" s="32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</row>
    <row r="116" spans="1:16" ht="15.75" customHeight="1" x14ac:dyDescent="0.3">
      <c r="A116" s="24"/>
      <c r="B116" s="32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</row>
    <row r="117" spans="1:16" ht="15.75" customHeight="1" x14ac:dyDescent="0.3">
      <c r="A117" s="24"/>
      <c r="B117" s="32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</row>
    <row r="118" spans="1:16" ht="15.75" customHeight="1" x14ac:dyDescent="0.3">
      <c r="A118" s="24"/>
      <c r="B118" s="32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</row>
    <row r="119" spans="1:16" ht="15.75" customHeight="1" x14ac:dyDescent="0.3">
      <c r="A119" s="24"/>
      <c r="B119" s="32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</row>
    <row r="120" spans="1:16" ht="15.75" customHeight="1" x14ac:dyDescent="0.3">
      <c r="A120" s="24"/>
      <c r="B120" s="32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</row>
    <row r="121" spans="1:16" ht="15.75" customHeight="1" x14ac:dyDescent="0.3">
      <c r="A121" s="24"/>
      <c r="B121" s="32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</row>
    <row r="122" spans="1:16" ht="15.75" customHeight="1" x14ac:dyDescent="0.3">
      <c r="A122" s="24"/>
      <c r="B122" s="32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</row>
    <row r="123" spans="1:16" ht="15.75" customHeight="1" x14ac:dyDescent="0.3">
      <c r="A123" s="24"/>
      <c r="B123" s="32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</row>
    <row r="124" spans="1:16" ht="15.75" customHeight="1" x14ac:dyDescent="0.3">
      <c r="A124" s="24"/>
      <c r="B124" s="32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</row>
    <row r="125" spans="1:16" ht="15.75" customHeight="1" x14ac:dyDescent="0.3">
      <c r="A125" s="24"/>
      <c r="B125" s="32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</row>
    <row r="126" spans="1:16" ht="15.75" customHeight="1" x14ac:dyDescent="0.3">
      <c r="A126" s="24"/>
      <c r="B126" s="32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</row>
    <row r="127" spans="1:16" ht="15.75" customHeight="1" x14ac:dyDescent="0.3">
      <c r="A127" s="24"/>
      <c r="B127" s="32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</row>
    <row r="128" spans="1:16" ht="15.75" customHeight="1" x14ac:dyDescent="0.3">
      <c r="A128" s="24"/>
      <c r="B128" s="32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</row>
    <row r="129" spans="1:16" ht="15.75" customHeight="1" x14ac:dyDescent="0.3">
      <c r="A129" s="24"/>
      <c r="B129" s="32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</row>
    <row r="130" spans="1:16" ht="15.75" customHeight="1" x14ac:dyDescent="0.3">
      <c r="A130" s="24"/>
      <c r="B130" s="32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</row>
    <row r="131" spans="1:16" ht="15.75" customHeight="1" x14ac:dyDescent="0.3">
      <c r="A131" s="24"/>
      <c r="B131" s="32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</row>
    <row r="132" spans="1:16" ht="15.75" customHeight="1" x14ac:dyDescent="0.3">
      <c r="A132" s="24"/>
      <c r="B132" s="32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</row>
    <row r="133" spans="1:16" ht="15.75" customHeight="1" x14ac:dyDescent="0.3">
      <c r="A133" s="24"/>
      <c r="B133" s="32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</row>
    <row r="134" spans="1:16" ht="15.75" customHeight="1" x14ac:dyDescent="0.3">
      <c r="A134" s="24"/>
      <c r="B134" s="32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</row>
    <row r="135" spans="1:16" ht="15.75" customHeight="1" x14ac:dyDescent="0.3">
      <c r="A135" s="24"/>
      <c r="B135" s="32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</row>
    <row r="136" spans="1:16" ht="15.75" customHeight="1" x14ac:dyDescent="0.3">
      <c r="A136" s="24"/>
      <c r="B136" s="32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</row>
    <row r="137" spans="1:16" ht="15.75" customHeight="1" x14ac:dyDescent="0.3">
      <c r="A137" s="24"/>
      <c r="B137" s="32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</row>
    <row r="138" spans="1:16" ht="15.75" customHeight="1" x14ac:dyDescent="0.3">
      <c r="A138" s="24"/>
      <c r="B138" s="32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</row>
    <row r="139" spans="1:16" ht="15.75" customHeight="1" x14ac:dyDescent="0.3">
      <c r="A139" s="24"/>
      <c r="B139" s="32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</row>
    <row r="140" spans="1:16" ht="15.75" customHeight="1" x14ac:dyDescent="0.3">
      <c r="A140" s="24"/>
      <c r="B140" s="32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</row>
    <row r="141" spans="1:16" ht="15.75" customHeight="1" x14ac:dyDescent="0.3">
      <c r="A141" s="24"/>
      <c r="B141" s="32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</row>
    <row r="142" spans="1:16" ht="15.75" customHeight="1" x14ac:dyDescent="0.3">
      <c r="A142" s="24"/>
      <c r="B142" s="32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</row>
    <row r="143" spans="1:16" ht="15.75" customHeight="1" x14ac:dyDescent="0.3">
      <c r="A143" s="24"/>
      <c r="B143" s="32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</row>
    <row r="144" spans="1:16" ht="15.75" customHeight="1" x14ac:dyDescent="0.3">
      <c r="A144" s="24"/>
      <c r="B144" s="32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</row>
    <row r="145" spans="1:16" ht="15.75" customHeight="1" x14ac:dyDescent="0.3">
      <c r="A145" s="24"/>
      <c r="B145" s="32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</row>
    <row r="146" spans="1:16" ht="15.75" customHeight="1" x14ac:dyDescent="0.3">
      <c r="A146" s="24"/>
      <c r="B146" s="32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</row>
    <row r="147" spans="1:16" ht="15.75" customHeight="1" x14ac:dyDescent="0.3">
      <c r="A147" s="24"/>
      <c r="B147" s="32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</row>
    <row r="148" spans="1:16" ht="15.75" customHeight="1" x14ac:dyDescent="0.3">
      <c r="A148" s="24"/>
      <c r="B148" s="32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</row>
    <row r="149" spans="1:16" ht="15.75" customHeight="1" x14ac:dyDescent="0.3">
      <c r="A149" s="24"/>
      <c r="B149" s="32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</row>
    <row r="150" spans="1:16" ht="15.75" customHeight="1" x14ac:dyDescent="0.3">
      <c r="A150" s="24"/>
      <c r="B150" s="32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</row>
    <row r="151" spans="1:16" ht="15.75" customHeight="1" x14ac:dyDescent="0.3">
      <c r="A151" s="24"/>
      <c r="B151" s="32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</row>
    <row r="152" spans="1:16" ht="15.75" customHeight="1" x14ac:dyDescent="0.3">
      <c r="A152" s="24"/>
      <c r="B152" s="32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</row>
    <row r="153" spans="1:16" ht="15.75" customHeight="1" x14ac:dyDescent="0.3">
      <c r="A153" s="24"/>
      <c r="B153" s="32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</row>
    <row r="154" spans="1:16" ht="15.75" customHeight="1" x14ac:dyDescent="0.3">
      <c r="A154" s="24"/>
      <c r="B154" s="32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</row>
    <row r="155" spans="1:16" ht="15.75" customHeight="1" x14ac:dyDescent="0.3">
      <c r="A155" s="24"/>
      <c r="B155" s="32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</row>
    <row r="156" spans="1:16" ht="15.75" customHeight="1" x14ac:dyDescent="0.3">
      <c r="A156" s="24"/>
      <c r="B156" s="32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</row>
    <row r="157" spans="1:16" ht="15.75" customHeight="1" x14ac:dyDescent="0.3">
      <c r="A157" s="24"/>
      <c r="B157" s="32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</row>
    <row r="158" spans="1:16" ht="15.75" customHeight="1" x14ac:dyDescent="0.3">
      <c r="A158" s="24"/>
      <c r="B158" s="32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</row>
    <row r="159" spans="1:16" ht="15.75" customHeight="1" x14ac:dyDescent="0.3">
      <c r="A159" s="24"/>
      <c r="B159" s="32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</row>
    <row r="160" spans="1:16" ht="15.75" customHeight="1" x14ac:dyDescent="0.3">
      <c r="A160" s="24"/>
      <c r="B160" s="32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</row>
    <row r="161" spans="1:16" ht="15.75" customHeight="1" x14ac:dyDescent="0.3">
      <c r="A161" s="24"/>
      <c r="B161" s="32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</row>
    <row r="162" spans="1:16" ht="15.75" customHeight="1" x14ac:dyDescent="0.3">
      <c r="A162" s="24"/>
      <c r="B162" s="32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</row>
    <row r="163" spans="1:16" ht="15.75" customHeight="1" x14ac:dyDescent="0.3">
      <c r="A163" s="24"/>
      <c r="B163" s="32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</row>
    <row r="164" spans="1:16" ht="15.75" customHeight="1" x14ac:dyDescent="0.3">
      <c r="A164" s="24"/>
      <c r="B164" s="32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</row>
    <row r="165" spans="1:16" ht="15.75" customHeight="1" x14ac:dyDescent="0.3">
      <c r="A165" s="24"/>
      <c r="B165" s="32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</row>
    <row r="166" spans="1:16" ht="15.75" customHeight="1" x14ac:dyDescent="0.3">
      <c r="A166" s="24"/>
      <c r="B166" s="32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</row>
    <row r="167" spans="1:16" ht="15.75" customHeight="1" x14ac:dyDescent="0.3">
      <c r="A167" s="24"/>
      <c r="B167" s="32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</row>
    <row r="168" spans="1:16" ht="15.75" customHeight="1" x14ac:dyDescent="0.3">
      <c r="A168" s="24"/>
      <c r="B168" s="32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</row>
    <row r="169" spans="1:16" ht="15.75" customHeight="1" x14ac:dyDescent="0.3">
      <c r="A169" s="24"/>
      <c r="B169" s="32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</row>
    <row r="170" spans="1:16" ht="15.75" customHeight="1" x14ac:dyDescent="0.3">
      <c r="A170" s="24"/>
      <c r="B170" s="32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</row>
    <row r="171" spans="1:16" ht="15.75" customHeight="1" x14ac:dyDescent="0.3">
      <c r="A171" s="24"/>
      <c r="B171" s="32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</row>
    <row r="172" spans="1:16" ht="15.75" customHeight="1" x14ac:dyDescent="0.3">
      <c r="A172" s="24"/>
      <c r="B172" s="32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</row>
    <row r="173" spans="1:16" ht="15.75" customHeight="1" x14ac:dyDescent="0.3">
      <c r="A173" s="24"/>
      <c r="B173" s="32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</row>
    <row r="174" spans="1:16" ht="15.75" customHeight="1" x14ac:dyDescent="0.3">
      <c r="A174" s="24"/>
      <c r="B174" s="32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</row>
    <row r="175" spans="1:16" ht="15.75" customHeight="1" x14ac:dyDescent="0.3">
      <c r="A175" s="24"/>
      <c r="B175" s="32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</row>
    <row r="176" spans="1:16" ht="15.75" customHeight="1" x14ac:dyDescent="0.3">
      <c r="A176" s="24"/>
      <c r="B176" s="32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</row>
    <row r="177" spans="1:16" ht="15.75" customHeight="1" x14ac:dyDescent="0.3">
      <c r="A177" s="24"/>
      <c r="B177" s="32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</row>
    <row r="178" spans="1:16" ht="15.75" customHeight="1" x14ac:dyDescent="0.3">
      <c r="A178" s="24"/>
      <c r="B178" s="32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</row>
    <row r="179" spans="1:16" ht="15.75" customHeight="1" x14ac:dyDescent="0.3">
      <c r="A179" s="24"/>
      <c r="B179" s="32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</row>
    <row r="180" spans="1:16" ht="15.75" customHeight="1" x14ac:dyDescent="0.3">
      <c r="A180" s="24"/>
      <c r="B180" s="32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</row>
    <row r="181" spans="1:16" ht="15.75" customHeight="1" x14ac:dyDescent="0.3">
      <c r="A181" s="24"/>
      <c r="B181" s="32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</row>
    <row r="182" spans="1:16" ht="15.75" customHeight="1" x14ac:dyDescent="0.3">
      <c r="A182" s="24"/>
      <c r="B182" s="32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</row>
    <row r="183" spans="1:16" ht="15.75" customHeight="1" x14ac:dyDescent="0.3">
      <c r="A183" s="24"/>
      <c r="B183" s="32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</row>
    <row r="184" spans="1:16" ht="15.75" customHeight="1" x14ac:dyDescent="0.3">
      <c r="A184" s="24"/>
      <c r="B184" s="32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</row>
    <row r="185" spans="1:16" ht="15.75" customHeight="1" x14ac:dyDescent="0.3">
      <c r="A185" s="24"/>
      <c r="B185" s="32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</row>
    <row r="186" spans="1:16" ht="15.75" customHeight="1" x14ac:dyDescent="0.3">
      <c r="A186" s="24"/>
      <c r="B186" s="32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</row>
    <row r="187" spans="1:16" ht="15.75" customHeight="1" x14ac:dyDescent="0.3">
      <c r="A187" s="24"/>
      <c r="B187" s="32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</row>
    <row r="188" spans="1:16" ht="15.75" customHeight="1" x14ac:dyDescent="0.3">
      <c r="A188" s="24"/>
      <c r="B188" s="32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</row>
    <row r="189" spans="1:16" ht="15.75" customHeight="1" x14ac:dyDescent="0.3">
      <c r="A189" s="24"/>
      <c r="B189" s="32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</row>
    <row r="190" spans="1:16" ht="15.75" customHeight="1" x14ac:dyDescent="0.3">
      <c r="A190" s="24"/>
      <c r="B190" s="32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</row>
    <row r="191" spans="1:16" ht="15.75" customHeight="1" x14ac:dyDescent="0.3">
      <c r="A191" s="24"/>
      <c r="B191" s="32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</row>
    <row r="192" spans="1:16" ht="15.75" customHeight="1" x14ac:dyDescent="0.3">
      <c r="A192" s="24"/>
      <c r="B192" s="32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</row>
    <row r="193" spans="1:16" ht="15.75" customHeight="1" x14ac:dyDescent="0.3">
      <c r="A193" s="24"/>
      <c r="B193" s="32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</row>
    <row r="194" spans="1:16" ht="15.75" customHeight="1" x14ac:dyDescent="0.3">
      <c r="A194" s="24"/>
      <c r="B194" s="32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</row>
    <row r="195" spans="1:16" ht="15.75" customHeight="1" x14ac:dyDescent="0.3">
      <c r="A195" s="24"/>
      <c r="B195" s="32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</row>
    <row r="196" spans="1:16" ht="15.75" customHeight="1" x14ac:dyDescent="0.3">
      <c r="A196" s="24"/>
      <c r="B196" s="32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</row>
    <row r="197" spans="1:16" ht="15.75" customHeight="1" x14ac:dyDescent="0.3">
      <c r="A197" s="24"/>
      <c r="B197" s="32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</row>
    <row r="198" spans="1:16" ht="15.75" customHeight="1" x14ac:dyDescent="0.3">
      <c r="A198" s="24"/>
      <c r="B198" s="32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</row>
    <row r="199" spans="1:16" ht="15.75" customHeight="1" x14ac:dyDescent="0.3">
      <c r="A199" s="24"/>
      <c r="B199" s="32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</row>
    <row r="200" spans="1:16" ht="15.75" customHeight="1" x14ac:dyDescent="0.3">
      <c r="A200" s="24"/>
      <c r="B200" s="32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</row>
    <row r="201" spans="1:16" ht="15.75" customHeight="1" x14ac:dyDescent="0.3">
      <c r="A201" s="24"/>
      <c r="B201" s="32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</row>
    <row r="202" spans="1:16" ht="15.75" customHeight="1" x14ac:dyDescent="0.3">
      <c r="A202" s="24"/>
      <c r="B202" s="32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</row>
    <row r="203" spans="1:16" ht="15.75" customHeight="1" x14ac:dyDescent="0.3">
      <c r="A203" s="24"/>
      <c r="B203" s="32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</row>
    <row r="204" spans="1:16" ht="15.75" customHeight="1" x14ac:dyDescent="0.3">
      <c r="A204" s="24"/>
      <c r="B204" s="32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</row>
    <row r="205" spans="1:16" ht="15.75" customHeight="1" x14ac:dyDescent="0.3">
      <c r="A205" s="24"/>
      <c r="B205" s="32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</row>
    <row r="206" spans="1:16" ht="15.75" customHeight="1" x14ac:dyDescent="0.3">
      <c r="A206" s="24"/>
      <c r="B206" s="32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</row>
    <row r="207" spans="1:16" ht="15.75" customHeight="1" x14ac:dyDescent="0.3">
      <c r="A207" s="24"/>
      <c r="B207" s="32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</row>
    <row r="208" spans="1:16" ht="15.75" customHeight="1" x14ac:dyDescent="0.3">
      <c r="A208" s="24"/>
      <c r="B208" s="32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</row>
    <row r="209" spans="1:16" ht="15.75" customHeight="1" x14ac:dyDescent="0.3">
      <c r="A209" s="24"/>
      <c r="B209" s="32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</row>
    <row r="210" spans="1:16" ht="15.75" customHeight="1" x14ac:dyDescent="0.3">
      <c r="A210" s="24"/>
      <c r="B210" s="32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</row>
    <row r="211" spans="1:16" ht="15.75" customHeight="1" x14ac:dyDescent="0.3">
      <c r="A211" s="24"/>
      <c r="B211" s="32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</row>
    <row r="212" spans="1:16" ht="15.75" customHeight="1" x14ac:dyDescent="0.3">
      <c r="A212" s="24"/>
      <c r="B212" s="32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</row>
    <row r="213" spans="1:16" ht="15.75" customHeight="1" x14ac:dyDescent="0.3">
      <c r="A213" s="24"/>
      <c r="B213" s="32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</row>
    <row r="214" spans="1:16" ht="15.75" customHeight="1" x14ac:dyDescent="0.3">
      <c r="A214" s="24"/>
      <c r="B214" s="32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</row>
    <row r="215" spans="1:16" ht="15.75" customHeight="1" x14ac:dyDescent="0.3">
      <c r="A215" s="24"/>
      <c r="B215" s="32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</row>
    <row r="216" spans="1:16" ht="15.75" customHeight="1" x14ac:dyDescent="0.3">
      <c r="A216" s="24"/>
      <c r="B216" s="32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</row>
    <row r="217" spans="1:16" ht="15.75" customHeight="1" x14ac:dyDescent="0.3">
      <c r="A217" s="24"/>
      <c r="B217" s="32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</row>
    <row r="218" spans="1:16" ht="15.75" customHeight="1" x14ac:dyDescent="0.3">
      <c r="A218" s="24"/>
      <c r="B218" s="32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</row>
    <row r="219" spans="1:16" ht="15.75" customHeight="1" x14ac:dyDescent="0.3">
      <c r="A219" s="24"/>
      <c r="B219" s="32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</row>
    <row r="220" spans="1:16" ht="15.75" customHeight="1" x14ac:dyDescent="0.3">
      <c r="A220" s="24"/>
      <c r="B220" s="32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</row>
    <row r="221" spans="1:16" ht="15.75" customHeight="1" x14ac:dyDescent="0.3">
      <c r="A221" s="24"/>
      <c r="B221" s="32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</row>
    <row r="222" spans="1:16" ht="15.75" customHeight="1" x14ac:dyDescent="0.3">
      <c r="A222" s="24"/>
      <c r="B222" s="32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</row>
    <row r="223" spans="1:16" ht="15.75" customHeight="1" x14ac:dyDescent="0.3">
      <c r="B223" s="33"/>
    </row>
    <row r="224" spans="1:16" ht="15.75" customHeight="1" x14ac:dyDescent="0.3">
      <c r="B224" s="33"/>
    </row>
    <row r="225" spans="2:2" ht="15.75" customHeight="1" x14ac:dyDescent="0.3">
      <c r="B225" s="33"/>
    </row>
    <row r="226" spans="2:2" ht="15.75" customHeight="1" x14ac:dyDescent="0.3">
      <c r="B226" s="33"/>
    </row>
    <row r="227" spans="2:2" ht="15.75" customHeight="1" x14ac:dyDescent="0.3">
      <c r="B227" s="33"/>
    </row>
    <row r="228" spans="2:2" ht="15.75" customHeight="1" x14ac:dyDescent="0.3">
      <c r="B228" s="33"/>
    </row>
    <row r="229" spans="2:2" ht="15.75" customHeight="1" x14ac:dyDescent="0.3">
      <c r="B229" s="33"/>
    </row>
    <row r="230" spans="2:2" ht="15.75" customHeight="1" x14ac:dyDescent="0.3">
      <c r="B230" s="33"/>
    </row>
    <row r="231" spans="2:2" ht="15.75" customHeight="1" x14ac:dyDescent="0.3">
      <c r="B231" s="33"/>
    </row>
    <row r="232" spans="2:2" ht="15.75" customHeight="1" x14ac:dyDescent="0.3">
      <c r="B232" s="33"/>
    </row>
    <row r="233" spans="2:2" ht="15.75" customHeight="1" x14ac:dyDescent="0.3">
      <c r="B233" s="33"/>
    </row>
    <row r="234" spans="2:2" ht="15.75" customHeight="1" x14ac:dyDescent="0.3">
      <c r="B234" s="33"/>
    </row>
    <row r="235" spans="2:2" ht="15.75" customHeight="1" x14ac:dyDescent="0.3">
      <c r="B235" s="33"/>
    </row>
    <row r="236" spans="2:2" ht="15.75" customHeight="1" x14ac:dyDescent="0.3">
      <c r="B236" s="33"/>
    </row>
    <row r="237" spans="2:2" ht="15.75" customHeight="1" x14ac:dyDescent="0.3">
      <c r="B237" s="33"/>
    </row>
    <row r="238" spans="2:2" ht="15.75" customHeight="1" x14ac:dyDescent="0.3">
      <c r="B238" s="33"/>
    </row>
    <row r="239" spans="2:2" ht="15.75" customHeight="1" x14ac:dyDescent="0.3">
      <c r="B239" s="33"/>
    </row>
    <row r="240" spans="2:2" ht="15.75" customHeight="1" x14ac:dyDescent="0.3">
      <c r="B240" s="33"/>
    </row>
    <row r="241" spans="2:2" ht="15.75" customHeight="1" x14ac:dyDescent="0.3">
      <c r="B241" s="33"/>
    </row>
    <row r="242" spans="2:2" ht="15.75" customHeight="1" x14ac:dyDescent="0.3">
      <c r="B242" s="33"/>
    </row>
    <row r="243" spans="2:2" ht="15.75" customHeight="1" x14ac:dyDescent="0.3">
      <c r="B243" s="33"/>
    </row>
    <row r="244" spans="2:2" ht="15.75" customHeight="1" x14ac:dyDescent="0.3">
      <c r="B244" s="33"/>
    </row>
    <row r="245" spans="2:2" ht="15.75" customHeight="1" x14ac:dyDescent="0.3">
      <c r="B245" s="33"/>
    </row>
    <row r="246" spans="2:2" ht="15.75" customHeight="1" x14ac:dyDescent="0.3">
      <c r="B246" s="33"/>
    </row>
    <row r="247" spans="2:2" ht="15.75" customHeight="1" x14ac:dyDescent="0.3">
      <c r="B247" s="33"/>
    </row>
    <row r="248" spans="2:2" ht="15.75" customHeight="1" x14ac:dyDescent="0.3">
      <c r="B248" s="33"/>
    </row>
    <row r="249" spans="2:2" ht="15.75" customHeight="1" x14ac:dyDescent="0.3">
      <c r="B249" s="33"/>
    </row>
    <row r="250" spans="2:2" ht="15.75" customHeight="1" x14ac:dyDescent="0.3">
      <c r="B250" s="33"/>
    </row>
    <row r="251" spans="2:2" ht="15.75" customHeight="1" x14ac:dyDescent="0.3">
      <c r="B251" s="33"/>
    </row>
    <row r="252" spans="2:2" ht="15.75" customHeight="1" x14ac:dyDescent="0.3">
      <c r="B252" s="33"/>
    </row>
    <row r="253" spans="2:2" ht="15.75" customHeight="1" x14ac:dyDescent="0.3">
      <c r="B253" s="33"/>
    </row>
    <row r="254" spans="2:2" ht="15.75" customHeight="1" x14ac:dyDescent="0.3">
      <c r="B254" s="33"/>
    </row>
    <row r="255" spans="2:2" ht="15.75" customHeight="1" x14ac:dyDescent="0.3">
      <c r="B255" s="33"/>
    </row>
    <row r="256" spans="2:2" ht="15.75" customHeight="1" x14ac:dyDescent="0.3">
      <c r="B256" s="33"/>
    </row>
    <row r="257" spans="2:2" ht="15.75" customHeight="1" x14ac:dyDescent="0.3">
      <c r="B257" s="33"/>
    </row>
    <row r="258" spans="2:2" ht="15.75" customHeight="1" x14ac:dyDescent="0.3">
      <c r="B258" s="33"/>
    </row>
    <row r="259" spans="2:2" ht="15.75" customHeight="1" x14ac:dyDescent="0.3">
      <c r="B259" s="33"/>
    </row>
    <row r="260" spans="2:2" ht="15.75" customHeight="1" x14ac:dyDescent="0.3">
      <c r="B260" s="33"/>
    </row>
    <row r="261" spans="2:2" ht="15.75" customHeight="1" x14ac:dyDescent="0.3">
      <c r="B261" s="33"/>
    </row>
    <row r="262" spans="2:2" ht="15.75" customHeight="1" x14ac:dyDescent="0.3">
      <c r="B262" s="33"/>
    </row>
    <row r="263" spans="2:2" ht="15.75" customHeight="1" x14ac:dyDescent="0.3">
      <c r="B263" s="33"/>
    </row>
    <row r="264" spans="2:2" ht="15.75" customHeight="1" x14ac:dyDescent="0.3">
      <c r="B264" s="33"/>
    </row>
    <row r="265" spans="2:2" ht="15.75" customHeight="1" x14ac:dyDescent="0.3">
      <c r="B265" s="33"/>
    </row>
    <row r="266" spans="2:2" ht="15.75" customHeight="1" x14ac:dyDescent="0.3">
      <c r="B266" s="33"/>
    </row>
    <row r="267" spans="2:2" ht="15.75" customHeight="1" x14ac:dyDescent="0.3">
      <c r="B267" s="33"/>
    </row>
    <row r="268" spans="2:2" ht="15.75" customHeight="1" x14ac:dyDescent="0.3">
      <c r="B268" s="33"/>
    </row>
    <row r="269" spans="2:2" ht="15.75" customHeight="1" x14ac:dyDescent="0.3">
      <c r="B269" s="33"/>
    </row>
    <row r="270" spans="2:2" ht="15.75" customHeight="1" x14ac:dyDescent="0.3">
      <c r="B270" s="33"/>
    </row>
    <row r="271" spans="2:2" ht="15.75" customHeight="1" x14ac:dyDescent="0.3">
      <c r="B271" s="33"/>
    </row>
    <row r="272" spans="2:2" ht="15.75" customHeight="1" x14ac:dyDescent="0.3">
      <c r="B272" s="33"/>
    </row>
    <row r="273" spans="2:2" ht="15.75" customHeight="1" x14ac:dyDescent="0.3">
      <c r="B273" s="33"/>
    </row>
    <row r="274" spans="2:2" ht="15.75" customHeight="1" x14ac:dyDescent="0.3">
      <c r="B274" s="33"/>
    </row>
    <row r="275" spans="2:2" ht="15.75" customHeight="1" x14ac:dyDescent="0.3">
      <c r="B275" s="33"/>
    </row>
    <row r="276" spans="2:2" ht="15.75" customHeight="1" x14ac:dyDescent="0.3">
      <c r="B276" s="33"/>
    </row>
    <row r="277" spans="2:2" ht="15.75" customHeight="1" x14ac:dyDescent="0.3">
      <c r="B277" s="33"/>
    </row>
    <row r="278" spans="2:2" ht="15.75" customHeight="1" x14ac:dyDescent="0.3">
      <c r="B278" s="33"/>
    </row>
    <row r="279" spans="2:2" ht="15.75" customHeight="1" x14ac:dyDescent="0.3">
      <c r="B279" s="33"/>
    </row>
    <row r="280" spans="2:2" ht="15.75" customHeight="1" x14ac:dyDescent="0.3">
      <c r="B280" s="33"/>
    </row>
    <row r="281" spans="2:2" ht="15.75" customHeight="1" x14ac:dyDescent="0.3">
      <c r="B281" s="33"/>
    </row>
    <row r="282" spans="2:2" ht="15.75" customHeight="1" x14ac:dyDescent="0.3">
      <c r="B282" s="33"/>
    </row>
    <row r="283" spans="2:2" ht="15.75" customHeight="1" x14ac:dyDescent="0.3">
      <c r="B283" s="33"/>
    </row>
    <row r="284" spans="2:2" ht="15.75" customHeight="1" x14ac:dyDescent="0.3">
      <c r="B284" s="33"/>
    </row>
    <row r="285" spans="2:2" ht="15.75" customHeight="1" x14ac:dyDescent="0.3">
      <c r="B285" s="33"/>
    </row>
    <row r="286" spans="2:2" ht="15.75" customHeight="1" x14ac:dyDescent="0.3">
      <c r="B286" s="33"/>
    </row>
    <row r="287" spans="2:2" ht="15.75" customHeight="1" x14ac:dyDescent="0.3">
      <c r="B287" s="33"/>
    </row>
    <row r="288" spans="2:2" ht="15.75" customHeight="1" x14ac:dyDescent="0.3">
      <c r="B288" s="33"/>
    </row>
    <row r="289" spans="2:2" ht="15.75" customHeight="1" x14ac:dyDescent="0.3">
      <c r="B289" s="33"/>
    </row>
    <row r="290" spans="2:2" ht="15.75" customHeight="1" x14ac:dyDescent="0.3">
      <c r="B290" s="33"/>
    </row>
    <row r="291" spans="2:2" ht="15.75" customHeight="1" x14ac:dyDescent="0.3">
      <c r="B291" s="33"/>
    </row>
    <row r="292" spans="2:2" ht="15.75" customHeight="1" x14ac:dyDescent="0.3">
      <c r="B292" s="33"/>
    </row>
    <row r="293" spans="2:2" ht="15.75" customHeight="1" x14ac:dyDescent="0.3">
      <c r="B293" s="33"/>
    </row>
    <row r="294" spans="2:2" ht="15.75" customHeight="1" x14ac:dyDescent="0.3">
      <c r="B294" s="33"/>
    </row>
    <row r="295" spans="2:2" ht="15.75" customHeight="1" x14ac:dyDescent="0.3">
      <c r="B295" s="33"/>
    </row>
    <row r="296" spans="2:2" ht="15.75" customHeight="1" x14ac:dyDescent="0.3">
      <c r="B296" s="33"/>
    </row>
    <row r="297" spans="2:2" ht="15.75" customHeight="1" x14ac:dyDescent="0.3">
      <c r="B297" s="33"/>
    </row>
    <row r="298" spans="2:2" ht="15.75" customHeight="1" x14ac:dyDescent="0.3">
      <c r="B298" s="33"/>
    </row>
    <row r="299" spans="2:2" ht="15.75" customHeight="1" x14ac:dyDescent="0.3">
      <c r="B299" s="33"/>
    </row>
    <row r="300" spans="2:2" ht="15.75" customHeight="1" x14ac:dyDescent="0.3">
      <c r="B300" s="33"/>
    </row>
    <row r="301" spans="2:2" ht="15.75" customHeight="1" x14ac:dyDescent="0.3">
      <c r="B301" s="33"/>
    </row>
    <row r="302" spans="2:2" ht="15.75" customHeight="1" x14ac:dyDescent="0.3">
      <c r="B302" s="33"/>
    </row>
    <row r="303" spans="2:2" ht="15.75" customHeight="1" x14ac:dyDescent="0.3">
      <c r="B303" s="33"/>
    </row>
    <row r="304" spans="2:2" ht="15.75" customHeight="1" x14ac:dyDescent="0.3">
      <c r="B304" s="33"/>
    </row>
    <row r="305" spans="2:2" ht="15.75" customHeight="1" x14ac:dyDescent="0.3">
      <c r="B305" s="33"/>
    </row>
    <row r="306" spans="2:2" ht="15.75" customHeight="1" x14ac:dyDescent="0.3">
      <c r="B306" s="33"/>
    </row>
    <row r="307" spans="2:2" ht="15.75" customHeight="1" x14ac:dyDescent="0.3">
      <c r="B307" s="33"/>
    </row>
    <row r="308" spans="2:2" ht="15.75" customHeight="1" x14ac:dyDescent="0.3">
      <c r="B308" s="33"/>
    </row>
    <row r="309" spans="2:2" ht="15.75" customHeight="1" x14ac:dyDescent="0.3">
      <c r="B309" s="33"/>
    </row>
    <row r="310" spans="2:2" ht="15.75" customHeight="1" x14ac:dyDescent="0.3">
      <c r="B310" s="33"/>
    </row>
    <row r="311" spans="2:2" ht="15.75" customHeight="1" x14ac:dyDescent="0.3">
      <c r="B311" s="33"/>
    </row>
    <row r="312" spans="2:2" ht="15.75" customHeight="1" x14ac:dyDescent="0.3">
      <c r="B312" s="33"/>
    </row>
    <row r="313" spans="2:2" ht="15.75" customHeight="1" x14ac:dyDescent="0.3">
      <c r="B313" s="33"/>
    </row>
    <row r="314" spans="2:2" ht="15.75" customHeight="1" x14ac:dyDescent="0.3">
      <c r="B314" s="33"/>
    </row>
    <row r="315" spans="2:2" ht="15.75" customHeight="1" x14ac:dyDescent="0.3">
      <c r="B315" s="33"/>
    </row>
    <row r="316" spans="2:2" ht="15.75" customHeight="1" x14ac:dyDescent="0.3">
      <c r="B316" s="33"/>
    </row>
    <row r="317" spans="2:2" ht="15.75" customHeight="1" x14ac:dyDescent="0.3">
      <c r="B317" s="33"/>
    </row>
    <row r="318" spans="2:2" ht="15.75" customHeight="1" x14ac:dyDescent="0.3">
      <c r="B318" s="33"/>
    </row>
    <row r="319" spans="2:2" ht="15.75" customHeight="1" x14ac:dyDescent="0.3">
      <c r="B319" s="33"/>
    </row>
    <row r="320" spans="2:2" ht="15.75" customHeight="1" x14ac:dyDescent="0.3">
      <c r="B320" s="33"/>
    </row>
    <row r="321" spans="2:2" ht="15.75" customHeight="1" x14ac:dyDescent="0.3">
      <c r="B321" s="33"/>
    </row>
    <row r="322" spans="2:2" ht="15.75" customHeight="1" x14ac:dyDescent="0.3">
      <c r="B322" s="33"/>
    </row>
    <row r="323" spans="2:2" ht="15.75" customHeight="1" x14ac:dyDescent="0.3">
      <c r="B323" s="33"/>
    </row>
    <row r="324" spans="2:2" ht="15.75" customHeight="1" x14ac:dyDescent="0.3">
      <c r="B324" s="33"/>
    </row>
    <row r="325" spans="2:2" ht="15.75" customHeight="1" x14ac:dyDescent="0.3">
      <c r="B325" s="33"/>
    </row>
    <row r="326" spans="2:2" ht="15.75" customHeight="1" x14ac:dyDescent="0.3">
      <c r="B326" s="33"/>
    </row>
    <row r="327" spans="2:2" ht="15.75" customHeight="1" x14ac:dyDescent="0.3">
      <c r="B327" s="33"/>
    </row>
    <row r="328" spans="2:2" ht="15.75" customHeight="1" x14ac:dyDescent="0.3">
      <c r="B328" s="33"/>
    </row>
    <row r="329" spans="2:2" ht="15.75" customHeight="1" x14ac:dyDescent="0.3">
      <c r="B329" s="33"/>
    </row>
    <row r="330" spans="2:2" ht="15.75" customHeight="1" x14ac:dyDescent="0.3">
      <c r="B330" s="33"/>
    </row>
    <row r="331" spans="2:2" ht="15.75" customHeight="1" x14ac:dyDescent="0.3">
      <c r="B331" s="33"/>
    </row>
    <row r="332" spans="2:2" ht="15.75" customHeight="1" x14ac:dyDescent="0.3">
      <c r="B332" s="33"/>
    </row>
    <row r="333" spans="2:2" ht="15.75" customHeight="1" x14ac:dyDescent="0.3">
      <c r="B333" s="33"/>
    </row>
    <row r="334" spans="2:2" ht="15.75" customHeight="1" x14ac:dyDescent="0.3">
      <c r="B334" s="33"/>
    </row>
    <row r="335" spans="2:2" ht="15.75" customHeight="1" x14ac:dyDescent="0.3">
      <c r="B335" s="33"/>
    </row>
    <row r="336" spans="2:2" ht="15.75" customHeight="1" x14ac:dyDescent="0.3">
      <c r="B336" s="33"/>
    </row>
    <row r="337" spans="2:2" ht="15.75" customHeight="1" x14ac:dyDescent="0.3">
      <c r="B337" s="33"/>
    </row>
    <row r="338" spans="2:2" ht="15.75" customHeight="1" x14ac:dyDescent="0.3">
      <c r="B338" s="33"/>
    </row>
    <row r="339" spans="2:2" ht="15.75" customHeight="1" x14ac:dyDescent="0.3">
      <c r="B339" s="33"/>
    </row>
    <row r="340" spans="2:2" ht="15.75" customHeight="1" x14ac:dyDescent="0.3">
      <c r="B340" s="33"/>
    </row>
    <row r="341" spans="2:2" ht="15.75" customHeight="1" x14ac:dyDescent="0.3">
      <c r="B341" s="33"/>
    </row>
    <row r="342" spans="2:2" ht="15.75" customHeight="1" x14ac:dyDescent="0.3">
      <c r="B342" s="33"/>
    </row>
    <row r="343" spans="2:2" ht="15.75" customHeight="1" x14ac:dyDescent="0.3">
      <c r="B343" s="33"/>
    </row>
    <row r="344" spans="2:2" ht="15.75" customHeight="1" x14ac:dyDescent="0.3">
      <c r="B344" s="33"/>
    </row>
    <row r="345" spans="2:2" ht="15.75" customHeight="1" x14ac:dyDescent="0.3">
      <c r="B345" s="33"/>
    </row>
    <row r="346" spans="2:2" ht="15.75" customHeight="1" x14ac:dyDescent="0.3">
      <c r="B346" s="33"/>
    </row>
    <row r="347" spans="2:2" ht="15.75" customHeight="1" x14ac:dyDescent="0.3">
      <c r="B347" s="33"/>
    </row>
    <row r="348" spans="2:2" ht="15.75" customHeight="1" x14ac:dyDescent="0.3">
      <c r="B348" s="33"/>
    </row>
    <row r="349" spans="2:2" ht="15.75" customHeight="1" x14ac:dyDescent="0.3">
      <c r="B349" s="33"/>
    </row>
    <row r="350" spans="2:2" ht="15.75" customHeight="1" x14ac:dyDescent="0.3">
      <c r="B350" s="33"/>
    </row>
    <row r="351" spans="2:2" ht="15.75" customHeight="1" x14ac:dyDescent="0.3">
      <c r="B351" s="33"/>
    </row>
    <row r="352" spans="2:2" ht="15.75" customHeight="1" x14ac:dyDescent="0.3">
      <c r="B352" s="33"/>
    </row>
    <row r="353" spans="2:2" ht="15.75" customHeight="1" x14ac:dyDescent="0.3">
      <c r="B353" s="33"/>
    </row>
    <row r="354" spans="2:2" ht="15.75" customHeight="1" x14ac:dyDescent="0.3">
      <c r="B354" s="33"/>
    </row>
    <row r="355" spans="2:2" ht="15.75" customHeight="1" x14ac:dyDescent="0.3">
      <c r="B355" s="33"/>
    </row>
    <row r="356" spans="2:2" ht="15.75" customHeight="1" x14ac:dyDescent="0.3">
      <c r="B356" s="33"/>
    </row>
    <row r="357" spans="2:2" ht="15.75" customHeight="1" x14ac:dyDescent="0.3">
      <c r="B357" s="33"/>
    </row>
    <row r="358" spans="2:2" ht="15.75" customHeight="1" x14ac:dyDescent="0.3">
      <c r="B358" s="33"/>
    </row>
    <row r="359" spans="2:2" ht="15.75" customHeight="1" x14ac:dyDescent="0.3">
      <c r="B359" s="33"/>
    </row>
    <row r="360" spans="2:2" ht="15.75" customHeight="1" x14ac:dyDescent="0.3">
      <c r="B360" s="33"/>
    </row>
    <row r="361" spans="2:2" ht="15.75" customHeight="1" x14ac:dyDescent="0.3">
      <c r="B361" s="33"/>
    </row>
    <row r="362" spans="2:2" ht="15.75" customHeight="1" x14ac:dyDescent="0.3">
      <c r="B362" s="33"/>
    </row>
    <row r="363" spans="2:2" ht="15.75" customHeight="1" x14ac:dyDescent="0.3">
      <c r="B363" s="33"/>
    </row>
    <row r="364" spans="2:2" ht="15.75" customHeight="1" x14ac:dyDescent="0.3">
      <c r="B364" s="33"/>
    </row>
    <row r="365" spans="2:2" ht="15.75" customHeight="1" x14ac:dyDescent="0.3">
      <c r="B365" s="33"/>
    </row>
    <row r="366" spans="2:2" ht="15.75" customHeight="1" x14ac:dyDescent="0.3">
      <c r="B366" s="33"/>
    </row>
    <row r="367" spans="2:2" ht="15.75" customHeight="1" x14ac:dyDescent="0.3">
      <c r="B367" s="33"/>
    </row>
    <row r="368" spans="2:2" ht="15.75" customHeight="1" x14ac:dyDescent="0.3">
      <c r="B368" s="33"/>
    </row>
    <row r="369" spans="2:2" ht="15.75" customHeight="1" x14ac:dyDescent="0.3">
      <c r="B369" s="33"/>
    </row>
    <row r="370" spans="2:2" ht="15.75" customHeight="1" x14ac:dyDescent="0.3">
      <c r="B370" s="33"/>
    </row>
    <row r="371" spans="2:2" ht="15.75" customHeight="1" x14ac:dyDescent="0.3">
      <c r="B371" s="33"/>
    </row>
    <row r="372" spans="2:2" ht="15.75" customHeight="1" x14ac:dyDescent="0.3">
      <c r="B372" s="33"/>
    </row>
    <row r="373" spans="2:2" ht="15.75" customHeight="1" x14ac:dyDescent="0.3">
      <c r="B373" s="33"/>
    </row>
    <row r="374" spans="2:2" ht="15.75" customHeight="1" x14ac:dyDescent="0.3">
      <c r="B374" s="33"/>
    </row>
    <row r="375" spans="2:2" ht="15.75" customHeight="1" x14ac:dyDescent="0.3">
      <c r="B375" s="33"/>
    </row>
    <row r="376" spans="2:2" ht="15.75" customHeight="1" x14ac:dyDescent="0.3">
      <c r="B376" s="33"/>
    </row>
    <row r="377" spans="2:2" ht="15.75" customHeight="1" x14ac:dyDescent="0.3">
      <c r="B377" s="33"/>
    </row>
    <row r="378" spans="2:2" ht="15.75" customHeight="1" x14ac:dyDescent="0.3">
      <c r="B378" s="33"/>
    </row>
    <row r="379" spans="2:2" ht="15.75" customHeight="1" x14ac:dyDescent="0.3">
      <c r="B379" s="33"/>
    </row>
    <row r="380" spans="2:2" ht="15.75" customHeight="1" x14ac:dyDescent="0.3">
      <c r="B380" s="33"/>
    </row>
    <row r="381" spans="2:2" ht="15.75" customHeight="1" x14ac:dyDescent="0.3">
      <c r="B381" s="33"/>
    </row>
    <row r="382" spans="2:2" ht="15.75" customHeight="1" x14ac:dyDescent="0.3">
      <c r="B382" s="33"/>
    </row>
    <row r="383" spans="2:2" ht="15.75" customHeight="1" x14ac:dyDescent="0.3">
      <c r="B383" s="33"/>
    </row>
    <row r="384" spans="2:2" ht="15.75" customHeight="1" x14ac:dyDescent="0.3">
      <c r="B384" s="33"/>
    </row>
    <row r="385" spans="2:2" ht="15.75" customHeight="1" x14ac:dyDescent="0.3">
      <c r="B385" s="33"/>
    </row>
    <row r="386" spans="2:2" ht="15.75" customHeight="1" x14ac:dyDescent="0.3">
      <c r="B386" s="33"/>
    </row>
    <row r="387" spans="2:2" ht="15.75" customHeight="1" x14ac:dyDescent="0.3">
      <c r="B387" s="33"/>
    </row>
    <row r="388" spans="2:2" ht="15.75" customHeight="1" x14ac:dyDescent="0.3">
      <c r="B388" s="33"/>
    </row>
    <row r="389" spans="2:2" ht="15.75" customHeight="1" x14ac:dyDescent="0.3">
      <c r="B389" s="33"/>
    </row>
    <row r="390" spans="2:2" ht="15.75" customHeight="1" x14ac:dyDescent="0.3">
      <c r="B390" s="33"/>
    </row>
    <row r="391" spans="2:2" ht="15.75" customHeight="1" x14ac:dyDescent="0.3">
      <c r="B391" s="33"/>
    </row>
    <row r="392" spans="2:2" ht="15.75" customHeight="1" x14ac:dyDescent="0.3">
      <c r="B392" s="33"/>
    </row>
    <row r="393" spans="2:2" ht="15.75" customHeight="1" x14ac:dyDescent="0.3">
      <c r="B393" s="33"/>
    </row>
    <row r="394" spans="2:2" ht="15.75" customHeight="1" x14ac:dyDescent="0.3">
      <c r="B394" s="33"/>
    </row>
    <row r="395" spans="2:2" ht="15.75" customHeight="1" x14ac:dyDescent="0.3">
      <c r="B395" s="33"/>
    </row>
    <row r="396" spans="2:2" ht="15.75" customHeight="1" x14ac:dyDescent="0.3">
      <c r="B396" s="33"/>
    </row>
    <row r="397" spans="2:2" ht="15.75" customHeight="1" x14ac:dyDescent="0.3">
      <c r="B397" s="33"/>
    </row>
    <row r="398" spans="2:2" ht="15.75" customHeight="1" x14ac:dyDescent="0.3">
      <c r="B398" s="33"/>
    </row>
    <row r="399" spans="2:2" ht="15.75" customHeight="1" x14ac:dyDescent="0.3">
      <c r="B399" s="33"/>
    </row>
    <row r="400" spans="2:2" ht="15.75" customHeight="1" x14ac:dyDescent="0.3">
      <c r="B400" s="33"/>
    </row>
    <row r="401" spans="2:2" ht="15.75" customHeight="1" x14ac:dyDescent="0.3">
      <c r="B401" s="33"/>
    </row>
    <row r="402" spans="2:2" ht="15.75" customHeight="1" x14ac:dyDescent="0.3">
      <c r="B402" s="33"/>
    </row>
    <row r="403" spans="2:2" ht="15.75" customHeight="1" x14ac:dyDescent="0.3">
      <c r="B403" s="33"/>
    </row>
    <row r="404" spans="2:2" ht="15.75" customHeight="1" x14ac:dyDescent="0.3">
      <c r="B404" s="33"/>
    </row>
    <row r="405" spans="2:2" ht="15.75" customHeight="1" x14ac:dyDescent="0.3">
      <c r="B405" s="33"/>
    </row>
    <row r="406" spans="2:2" ht="15.75" customHeight="1" x14ac:dyDescent="0.3">
      <c r="B406" s="33"/>
    </row>
    <row r="407" spans="2:2" ht="15.75" customHeight="1" x14ac:dyDescent="0.3">
      <c r="B407" s="33"/>
    </row>
    <row r="408" spans="2:2" ht="15.75" customHeight="1" x14ac:dyDescent="0.3">
      <c r="B408" s="33"/>
    </row>
    <row r="409" spans="2:2" ht="15.75" customHeight="1" x14ac:dyDescent="0.3">
      <c r="B409" s="33"/>
    </row>
    <row r="410" spans="2:2" ht="15.75" customHeight="1" x14ac:dyDescent="0.3">
      <c r="B410" s="33"/>
    </row>
    <row r="411" spans="2:2" ht="15.75" customHeight="1" x14ac:dyDescent="0.3">
      <c r="B411" s="33"/>
    </row>
    <row r="412" spans="2:2" ht="15.75" customHeight="1" x14ac:dyDescent="0.3">
      <c r="B412" s="33"/>
    </row>
    <row r="413" spans="2:2" ht="15.75" customHeight="1" x14ac:dyDescent="0.3">
      <c r="B413" s="33"/>
    </row>
    <row r="414" spans="2:2" ht="15.75" customHeight="1" x14ac:dyDescent="0.3">
      <c r="B414" s="33"/>
    </row>
    <row r="415" spans="2:2" ht="15.75" customHeight="1" x14ac:dyDescent="0.3">
      <c r="B415" s="33"/>
    </row>
    <row r="416" spans="2:2" ht="15.75" customHeight="1" x14ac:dyDescent="0.3">
      <c r="B416" s="33"/>
    </row>
    <row r="417" spans="2:2" ht="15.75" customHeight="1" x14ac:dyDescent="0.3">
      <c r="B417" s="33"/>
    </row>
    <row r="418" spans="2:2" ht="15.75" customHeight="1" x14ac:dyDescent="0.3">
      <c r="B418" s="33"/>
    </row>
    <row r="419" spans="2:2" ht="15.75" customHeight="1" x14ac:dyDescent="0.3">
      <c r="B419" s="33"/>
    </row>
    <row r="420" spans="2:2" ht="15.75" customHeight="1" x14ac:dyDescent="0.3">
      <c r="B420" s="33"/>
    </row>
    <row r="421" spans="2:2" ht="15.75" customHeight="1" x14ac:dyDescent="0.3">
      <c r="B421" s="33"/>
    </row>
    <row r="422" spans="2:2" ht="15.75" customHeight="1" x14ac:dyDescent="0.3">
      <c r="B422" s="33"/>
    </row>
    <row r="423" spans="2:2" ht="15.75" customHeight="1" x14ac:dyDescent="0.3">
      <c r="B423" s="33"/>
    </row>
    <row r="424" spans="2:2" ht="15.75" customHeight="1" x14ac:dyDescent="0.3">
      <c r="B424" s="33"/>
    </row>
    <row r="425" spans="2:2" ht="15.75" customHeight="1" x14ac:dyDescent="0.3">
      <c r="B425" s="33"/>
    </row>
    <row r="426" spans="2:2" ht="15.75" customHeight="1" x14ac:dyDescent="0.3">
      <c r="B426" s="33"/>
    </row>
    <row r="427" spans="2:2" ht="15.75" customHeight="1" x14ac:dyDescent="0.3">
      <c r="B427" s="33"/>
    </row>
    <row r="428" spans="2:2" ht="15.75" customHeight="1" x14ac:dyDescent="0.3">
      <c r="B428" s="33"/>
    </row>
    <row r="429" spans="2:2" ht="15.75" customHeight="1" x14ac:dyDescent="0.3">
      <c r="B429" s="33"/>
    </row>
    <row r="430" spans="2:2" ht="15.75" customHeight="1" x14ac:dyDescent="0.3">
      <c r="B430" s="33"/>
    </row>
    <row r="431" spans="2:2" ht="15.75" customHeight="1" x14ac:dyDescent="0.3">
      <c r="B431" s="33"/>
    </row>
    <row r="432" spans="2:2" ht="15.75" customHeight="1" x14ac:dyDescent="0.3">
      <c r="B432" s="33"/>
    </row>
    <row r="433" spans="2:2" ht="15.75" customHeight="1" x14ac:dyDescent="0.3">
      <c r="B433" s="33"/>
    </row>
    <row r="434" spans="2:2" ht="15.75" customHeight="1" x14ac:dyDescent="0.3">
      <c r="B434" s="33"/>
    </row>
    <row r="435" spans="2:2" ht="15.75" customHeight="1" x14ac:dyDescent="0.3">
      <c r="B435" s="33"/>
    </row>
    <row r="436" spans="2:2" ht="15.75" customHeight="1" x14ac:dyDescent="0.3">
      <c r="B436" s="33"/>
    </row>
    <row r="437" spans="2:2" ht="15.75" customHeight="1" x14ac:dyDescent="0.3">
      <c r="B437" s="33"/>
    </row>
    <row r="438" spans="2:2" ht="15.75" customHeight="1" x14ac:dyDescent="0.3">
      <c r="B438" s="33"/>
    </row>
    <row r="439" spans="2:2" ht="15.75" customHeight="1" x14ac:dyDescent="0.3">
      <c r="B439" s="33"/>
    </row>
    <row r="440" spans="2:2" ht="15.75" customHeight="1" x14ac:dyDescent="0.3">
      <c r="B440" s="33"/>
    </row>
    <row r="441" spans="2:2" ht="15.75" customHeight="1" x14ac:dyDescent="0.3">
      <c r="B441" s="33"/>
    </row>
    <row r="442" spans="2:2" ht="15.75" customHeight="1" x14ac:dyDescent="0.3">
      <c r="B442" s="33"/>
    </row>
    <row r="443" spans="2:2" ht="15.75" customHeight="1" x14ac:dyDescent="0.3">
      <c r="B443" s="33"/>
    </row>
    <row r="444" spans="2:2" ht="15.75" customHeight="1" x14ac:dyDescent="0.3">
      <c r="B444" s="33"/>
    </row>
    <row r="445" spans="2:2" ht="15.75" customHeight="1" x14ac:dyDescent="0.3">
      <c r="B445" s="33"/>
    </row>
    <row r="446" spans="2:2" ht="15.75" customHeight="1" x14ac:dyDescent="0.3">
      <c r="B446" s="33"/>
    </row>
    <row r="447" spans="2:2" ht="15.75" customHeight="1" x14ac:dyDescent="0.3">
      <c r="B447" s="33"/>
    </row>
    <row r="448" spans="2:2" ht="15.75" customHeight="1" x14ac:dyDescent="0.3">
      <c r="B448" s="33"/>
    </row>
    <row r="449" spans="2:2" ht="15.75" customHeight="1" x14ac:dyDescent="0.3">
      <c r="B449" s="33"/>
    </row>
    <row r="450" spans="2:2" ht="15.75" customHeight="1" x14ac:dyDescent="0.3">
      <c r="B450" s="33"/>
    </row>
    <row r="451" spans="2:2" ht="15.75" customHeight="1" x14ac:dyDescent="0.3">
      <c r="B451" s="33"/>
    </row>
    <row r="452" spans="2:2" ht="15.75" customHeight="1" x14ac:dyDescent="0.3">
      <c r="B452" s="33"/>
    </row>
    <row r="453" spans="2:2" ht="15.75" customHeight="1" x14ac:dyDescent="0.3">
      <c r="B453" s="33"/>
    </row>
    <row r="454" spans="2:2" ht="15.75" customHeight="1" x14ac:dyDescent="0.3">
      <c r="B454" s="33"/>
    </row>
    <row r="455" spans="2:2" ht="15.75" customHeight="1" x14ac:dyDescent="0.3">
      <c r="B455" s="33"/>
    </row>
    <row r="456" spans="2:2" ht="15.75" customHeight="1" x14ac:dyDescent="0.3">
      <c r="B456" s="33"/>
    </row>
    <row r="457" spans="2:2" ht="15.75" customHeight="1" x14ac:dyDescent="0.3">
      <c r="B457" s="33"/>
    </row>
    <row r="458" spans="2:2" ht="15.75" customHeight="1" x14ac:dyDescent="0.3">
      <c r="B458" s="33"/>
    </row>
    <row r="459" spans="2:2" ht="15.75" customHeight="1" x14ac:dyDescent="0.3">
      <c r="B459" s="33"/>
    </row>
    <row r="460" spans="2:2" ht="15.75" customHeight="1" x14ac:dyDescent="0.3">
      <c r="B460" s="33"/>
    </row>
    <row r="461" spans="2:2" ht="15.75" customHeight="1" x14ac:dyDescent="0.3">
      <c r="B461" s="33"/>
    </row>
    <row r="462" spans="2:2" ht="15.75" customHeight="1" x14ac:dyDescent="0.3">
      <c r="B462" s="33"/>
    </row>
    <row r="463" spans="2:2" ht="15.75" customHeight="1" x14ac:dyDescent="0.3">
      <c r="B463" s="33"/>
    </row>
    <row r="464" spans="2:2" ht="15.75" customHeight="1" x14ac:dyDescent="0.3">
      <c r="B464" s="33"/>
    </row>
    <row r="465" spans="2:2" ht="15.75" customHeight="1" x14ac:dyDescent="0.3">
      <c r="B465" s="33"/>
    </row>
    <row r="466" spans="2:2" ht="15.75" customHeight="1" x14ac:dyDescent="0.3">
      <c r="B466" s="33"/>
    </row>
    <row r="467" spans="2:2" ht="15.75" customHeight="1" x14ac:dyDescent="0.3">
      <c r="B467" s="33"/>
    </row>
    <row r="468" spans="2:2" ht="15.75" customHeight="1" x14ac:dyDescent="0.3">
      <c r="B468" s="33"/>
    </row>
    <row r="469" spans="2:2" ht="15.75" customHeight="1" x14ac:dyDescent="0.3">
      <c r="B469" s="33"/>
    </row>
    <row r="470" spans="2:2" ht="15.75" customHeight="1" x14ac:dyDescent="0.3">
      <c r="B470" s="33"/>
    </row>
    <row r="471" spans="2:2" ht="15.75" customHeight="1" x14ac:dyDescent="0.3">
      <c r="B471" s="33"/>
    </row>
    <row r="472" spans="2:2" ht="15.75" customHeight="1" x14ac:dyDescent="0.3">
      <c r="B472" s="33"/>
    </row>
    <row r="473" spans="2:2" ht="15.75" customHeight="1" x14ac:dyDescent="0.3">
      <c r="B473" s="33"/>
    </row>
    <row r="474" spans="2:2" ht="15.75" customHeight="1" x14ac:dyDescent="0.3">
      <c r="B474" s="33"/>
    </row>
    <row r="475" spans="2:2" ht="15.75" customHeight="1" x14ac:dyDescent="0.3">
      <c r="B475" s="33"/>
    </row>
    <row r="476" spans="2:2" ht="15.75" customHeight="1" x14ac:dyDescent="0.3">
      <c r="B476" s="33"/>
    </row>
    <row r="477" spans="2:2" ht="15.75" customHeight="1" x14ac:dyDescent="0.3">
      <c r="B477" s="33"/>
    </row>
    <row r="478" spans="2:2" ht="15.75" customHeight="1" x14ac:dyDescent="0.3">
      <c r="B478" s="33"/>
    </row>
    <row r="479" spans="2:2" ht="15.75" customHeight="1" x14ac:dyDescent="0.3">
      <c r="B479" s="33"/>
    </row>
    <row r="480" spans="2:2" ht="15.75" customHeight="1" x14ac:dyDescent="0.3">
      <c r="B480" s="33"/>
    </row>
    <row r="481" spans="2:2" ht="15.75" customHeight="1" x14ac:dyDescent="0.3">
      <c r="B481" s="33"/>
    </row>
    <row r="482" spans="2:2" ht="15.75" customHeight="1" x14ac:dyDescent="0.3">
      <c r="B482" s="33"/>
    </row>
    <row r="483" spans="2:2" ht="15.75" customHeight="1" x14ac:dyDescent="0.3">
      <c r="B483" s="33"/>
    </row>
    <row r="484" spans="2:2" ht="15.75" customHeight="1" x14ac:dyDescent="0.3">
      <c r="B484" s="33"/>
    </row>
    <row r="485" spans="2:2" ht="15.75" customHeight="1" x14ac:dyDescent="0.3">
      <c r="B485" s="33"/>
    </row>
    <row r="486" spans="2:2" ht="15.75" customHeight="1" x14ac:dyDescent="0.3">
      <c r="B486" s="33"/>
    </row>
    <row r="487" spans="2:2" ht="15.75" customHeight="1" x14ac:dyDescent="0.3">
      <c r="B487" s="33"/>
    </row>
    <row r="488" spans="2:2" ht="15.75" customHeight="1" x14ac:dyDescent="0.3">
      <c r="B488" s="33"/>
    </row>
    <row r="489" spans="2:2" ht="15.75" customHeight="1" x14ac:dyDescent="0.3">
      <c r="B489" s="33"/>
    </row>
    <row r="490" spans="2:2" ht="15.75" customHeight="1" x14ac:dyDescent="0.3">
      <c r="B490" s="33"/>
    </row>
    <row r="491" spans="2:2" ht="15.75" customHeight="1" x14ac:dyDescent="0.3">
      <c r="B491" s="33"/>
    </row>
    <row r="492" spans="2:2" ht="15.75" customHeight="1" x14ac:dyDescent="0.3">
      <c r="B492" s="33"/>
    </row>
    <row r="493" spans="2:2" ht="15.75" customHeight="1" x14ac:dyDescent="0.3">
      <c r="B493" s="33"/>
    </row>
    <row r="494" spans="2:2" ht="15.75" customHeight="1" x14ac:dyDescent="0.3">
      <c r="B494" s="33"/>
    </row>
    <row r="495" spans="2:2" ht="15.75" customHeight="1" x14ac:dyDescent="0.3">
      <c r="B495" s="33"/>
    </row>
    <row r="496" spans="2:2" ht="15.75" customHeight="1" x14ac:dyDescent="0.3">
      <c r="B496" s="33"/>
    </row>
    <row r="497" spans="2:2" ht="15.75" customHeight="1" x14ac:dyDescent="0.3">
      <c r="B497" s="33"/>
    </row>
    <row r="498" spans="2:2" ht="15.75" customHeight="1" x14ac:dyDescent="0.3">
      <c r="B498" s="33"/>
    </row>
    <row r="499" spans="2:2" ht="15.75" customHeight="1" x14ac:dyDescent="0.3">
      <c r="B499" s="33"/>
    </row>
    <row r="500" spans="2:2" ht="15.75" customHeight="1" x14ac:dyDescent="0.3">
      <c r="B500" s="33"/>
    </row>
    <row r="501" spans="2:2" ht="15.75" customHeight="1" x14ac:dyDescent="0.3">
      <c r="B501" s="33"/>
    </row>
    <row r="502" spans="2:2" ht="15.75" customHeight="1" x14ac:dyDescent="0.3">
      <c r="B502" s="33"/>
    </row>
    <row r="503" spans="2:2" ht="15.75" customHeight="1" x14ac:dyDescent="0.3">
      <c r="B503" s="33"/>
    </row>
    <row r="504" spans="2:2" ht="15.75" customHeight="1" x14ac:dyDescent="0.3">
      <c r="B504" s="33"/>
    </row>
    <row r="505" spans="2:2" ht="15.75" customHeight="1" x14ac:dyDescent="0.3">
      <c r="B505" s="33"/>
    </row>
    <row r="506" spans="2:2" ht="15.75" customHeight="1" x14ac:dyDescent="0.3">
      <c r="B506" s="33"/>
    </row>
    <row r="507" spans="2:2" ht="15.75" customHeight="1" x14ac:dyDescent="0.3">
      <c r="B507" s="33"/>
    </row>
    <row r="508" spans="2:2" ht="15.75" customHeight="1" x14ac:dyDescent="0.3">
      <c r="B508" s="33"/>
    </row>
    <row r="509" spans="2:2" ht="15.75" customHeight="1" x14ac:dyDescent="0.3">
      <c r="B509" s="33"/>
    </row>
    <row r="510" spans="2:2" ht="15.75" customHeight="1" x14ac:dyDescent="0.3">
      <c r="B510" s="33"/>
    </row>
    <row r="511" spans="2:2" ht="15.75" customHeight="1" x14ac:dyDescent="0.3">
      <c r="B511" s="33"/>
    </row>
    <row r="512" spans="2:2" ht="15.75" customHeight="1" x14ac:dyDescent="0.3">
      <c r="B512" s="33"/>
    </row>
    <row r="513" spans="2:2" ht="15.75" customHeight="1" x14ac:dyDescent="0.3">
      <c r="B513" s="33"/>
    </row>
    <row r="514" spans="2:2" ht="15.75" customHeight="1" x14ac:dyDescent="0.3">
      <c r="B514" s="33"/>
    </row>
    <row r="515" spans="2:2" ht="15.75" customHeight="1" x14ac:dyDescent="0.3">
      <c r="B515" s="33"/>
    </row>
    <row r="516" spans="2:2" ht="15.75" customHeight="1" x14ac:dyDescent="0.3">
      <c r="B516" s="33"/>
    </row>
    <row r="517" spans="2:2" ht="15.75" customHeight="1" x14ac:dyDescent="0.3">
      <c r="B517" s="33"/>
    </row>
    <row r="518" spans="2:2" ht="15.75" customHeight="1" x14ac:dyDescent="0.3">
      <c r="B518" s="33"/>
    </row>
    <row r="519" spans="2:2" ht="15.75" customHeight="1" x14ac:dyDescent="0.3">
      <c r="B519" s="33"/>
    </row>
    <row r="520" spans="2:2" ht="15.75" customHeight="1" x14ac:dyDescent="0.3">
      <c r="B520" s="33"/>
    </row>
    <row r="521" spans="2:2" ht="15.75" customHeight="1" x14ac:dyDescent="0.3">
      <c r="B521" s="33"/>
    </row>
    <row r="522" spans="2:2" ht="15.75" customHeight="1" x14ac:dyDescent="0.3">
      <c r="B522" s="33"/>
    </row>
    <row r="523" spans="2:2" ht="15.75" customHeight="1" x14ac:dyDescent="0.3">
      <c r="B523" s="33"/>
    </row>
    <row r="524" spans="2:2" ht="15.75" customHeight="1" x14ac:dyDescent="0.3">
      <c r="B524" s="33"/>
    </row>
    <row r="525" spans="2:2" ht="15.75" customHeight="1" x14ac:dyDescent="0.3">
      <c r="B525" s="33"/>
    </row>
    <row r="526" spans="2:2" ht="15.75" customHeight="1" x14ac:dyDescent="0.3">
      <c r="B526" s="33"/>
    </row>
    <row r="527" spans="2:2" ht="15.75" customHeight="1" x14ac:dyDescent="0.3">
      <c r="B527" s="33"/>
    </row>
    <row r="528" spans="2:2" ht="15.75" customHeight="1" x14ac:dyDescent="0.3">
      <c r="B528" s="33"/>
    </row>
    <row r="529" spans="2:2" ht="15.75" customHeight="1" x14ac:dyDescent="0.3">
      <c r="B529" s="33"/>
    </row>
    <row r="530" spans="2:2" ht="15.75" customHeight="1" x14ac:dyDescent="0.3">
      <c r="B530" s="33"/>
    </row>
    <row r="531" spans="2:2" ht="15.75" customHeight="1" x14ac:dyDescent="0.3">
      <c r="B531" s="33"/>
    </row>
    <row r="532" spans="2:2" ht="15.75" customHeight="1" x14ac:dyDescent="0.3">
      <c r="B532" s="33"/>
    </row>
    <row r="533" spans="2:2" ht="15.75" customHeight="1" x14ac:dyDescent="0.3">
      <c r="B533" s="33"/>
    </row>
    <row r="534" spans="2:2" ht="15.75" customHeight="1" x14ac:dyDescent="0.3">
      <c r="B534" s="33"/>
    </row>
    <row r="535" spans="2:2" ht="15.75" customHeight="1" x14ac:dyDescent="0.3">
      <c r="B535" s="33"/>
    </row>
    <row r="536" spans="2:2" ht="15.75" customHeight="1" x14ac:dyDescent="0.3">
      <c r="B536" s="33"/>
    </row>
    <row r="537" spans="2:2" ht="15.75" customHeight="1" x14ac:dyDescent="0.3">
      <c r="B537" s="33"/>
    </row>
    <row r="538" spans="2:2" ht="15.75" customHeight="1" x14ac:dyDescent="0.3">
      <c r="B538" s="33"/>
    </row>
    <row r="539" spans="2:2" ht="15.75" customHeight="1" x14ac:dyDescent="0.3">
      <c r="B539" s="33"/>
    </row>
    <row r="540" spans="2:2" ht="15.75" customHeight="1" x14ac:dyDescent="0.3">
      <c r="B540" s="33"/>
    </row>
    <row r="541" spans="2:2" ht="15.75" customHeight="1" x14ac:dyDescent="0.3">
      <c r="B541" s="33"/>
    </row>
    <row r="542" spans="2:2" ht="15.75" customHeight="1" x14ac:dyDescent="0.3">
      <c r="B542" s="33"/>
    </row>
    <row r="543" spans="2:2" ht="15.75" customHeight="1" x14ac:dyDescent="0.3">
      <c r="B543" s="33"/>
    </row>
    <row r="544" spans="2:2" ht="15.75" customHeight="1" x14ac:dyDescent="0.3">
      <c r="B544" s="33"/>
    </row>
    <row r="545" spans="2:2" ht="15.75" customHeight="1" x14ac:dyDescent="0.3">
      <c r="B545" s="33"/>
    </row>
    <row r="546" spans="2:2" ht="15.75" customHeight="1" x14ac:dyDescent="0.3">
      <c r="B546" s="33"/>
    </row>
    <row r="547" spans="2:2" ht="15.75" customHeight="1" x14ac:dyDescent="0.3">
      <c r="B547" s="33"/>
    </row>
    <row r="548" spans="2:2" ht="15.75" customHeight="1" x14ac:dyDescent="0.3">
      <c r="B548" s="33"/>
    </row>
    <row r="549" spans="2:2" ht="15.75" customHeight="1" x14ac:dyDescent="0.3">
      <c r="B549" s="33"/>
    </row>
    <row r="550" spans="2:2" ht="15.75" customHeight="1" x14ac:dyDescent="0.3">
      <c r="B550" s="33"/>
    </row>
    <row r="551" spans="2:2" ht="15.75" customHeight="1" x14ac:dyDescent="0.3">
      <c r="B551" s="33"/>
    </row>
    <row r="552" spans="2:2" ht="15.75" customHeight="1" x14ac:dyDescent="0.3">
      <c r="B552" s="33"/>
    </row>
    <row r="553" spans="2:2" ht="15.75" customHeight="1" x14ac:dyDescent="0.3">
      <c r="B553" s="33"/>
    </row>
    <row r="554" spans="2:2" ht="15.75" customHeight="1" x14ac:dyDescent="0.3">
      <c r="B554" s="33"/>
    </row>
    <row r="555" spans="2:2" ht="15.75" customHeight="1" x14ac:dyDescent="0.3">
      <c r="B555" s="33"/>
    </row>
    <row r="556" spans="2:2" ht="15.75" customHeight="1" x14ac:dyDescent="0.3">
      <c r="B556" s="33"/>
    </row>
    <row r="557" spans="2:2" ht="15.75" customHeight="1" x14ac:dyDescent="0.3">
      <c r="B557" s="33"/>
    </row>
    <row r="558" spans="2:2" ht="15.75" customHeight="1" x14ac:dyDescent="0.3">
      <c r="B558" s="33"/>
    </row>
    <row r="559" spans="2:2" ht="15.75" customHeight="1" x14ac:dyDescent="0.3">
      <c r="B559" s="33"/>
    </row>
    <row r="560" spans="2:2" ht="15.75" customHeight="1" x14ac:dyDescent="0.3">
      <c r="B560" s="33"/>
    </row>
    <row r="561" spans="2:2" ht="15.75" customHeight="1" x14ac:dyDescent="0.3">
      <c r="B561" s="33"/>
    </row>
    <row r="562" spans="2:2" ht="15.75" customHeight="1" x14ac:dyDescent="0.3">
      <c r="B562" s="33"/>
    </row>
    <row r="563" spans="2:2" ht="15.75" customHeight="1" x14ac:dyDescent="0.3">
      <c r="B563" s="33"/>
    </row>
    <row r="564" spans="2:2" ht="15.75" customHeight="1" x14ac:dyDescent="0.3">
      <c r="B564" s="33"/>
    </row>
    <row r="565" spans="2:2" ht="15.75" customHeight="1" x14ac:dyDescent="0.3">
      <c r="B565" s="33"/>
    </row>
    <row r="566" spans="2:2" ht="15.75" customHeight="1" x14ac:dyDescent="0.3">
      <c r="B566" s="33"/>
    </row>
    <row r="567" spans="2:2" ht="15.75" customHeight="1" x14ac:dyDescent="0.3">
      <c r="B567" s="33"/>
    </row>
    <row r="568" spans="2:2" ht="15.75" customHeight="1" x14ac:dyDescent="0.3">
      <c r="B568" s="33"/>
    </row>
    <row r="569" spans="2:2" ht="15.75" customHeight="1" x14ac:dyDescent="0.3">
      <c r="B569" s="33"/>
    </row>
    <row r="570" spans="2:2" ht="15.75" customHeight="1" x14ac:dyDescent="0.3">
      <c r="B570" s="33"/>
    </row>
    <row r="571" spans="2:2" ht="15.75" customHeight="1" x14ac:dyDescent="0.3">
      <c r="B571" s="33"/>
    </row>
    <row r="572" spans="2:2" ht="15.75" customHeight="1" x14ac:dyDescent="0.3">
      <c r="B572" s="33"/>
    </row>
    <row r="573" spans="2:2" ht="15.75" customHeight="1" x14ac:dyDescent="0.3">
      <c r="B573" s="33"/>
    </row>
    <row r="574" spans="2:2" ht="15.75" customHeight="1" x14ac:dyDescent="0.3">
      <c r="B574" s="33"/>
    </row>
    <row r="575" spans="2:2" ht="15.75" customHeight="1" x14ac:dyDescent="0.3">
      <c r="B575" s="33"/>
    </row>
    <row r="576" spans="2:2" ht="15.75" customHeight="1" x14ac:dyDescent="0.3">
      <c r="B576" s="33"/>
    </row>
    <row r="577" spans="2:2" ht="15.75" customHeight="1" x14ac:dyDescent="0.3">
      <c r="B577" s="33"/>
    </row>
    <row r="578" spans="2:2" ht="15.75" customHeight="1" x14ac:dyDescent="0.3">
      <c r="B578" s="33"/>
    </row>
    <row r="579" spans="2:2" ht="15.75" customHeight="1" x14ac:dyDescent="0.3">
      <c r="B579" s="33"/>
    </row>
    <row r="580" spans="2:2" ht="15.75" customHeight="1" x14ac:dyDescent="0.3">
      <c r="B580" s="33"/>
    </row>
    <row r="581" spans="2:2" ht="15.75" customHeight="1" x14ac:dyDescent="0.3">
      <c r="B581" s="33"/>
    </row>
    <row r="582" spans="2:2" ht="15.75" customHeight="1" x14ac:dyDescent="0.3">
      <c r="B582" s="33"/>
    </row>
    <row r="583" spans="2:2" ht="15.75" customHeight="1" x14ac:dyDescent="0.3">
      <c r="B583" s="33"/>
    </row>
    <row r="584" spans="2:2" ht="15.75" customHeight="1" x14ac:dyDescent="0.3">
      <c r="B584" s="33"/>
    </row>
    <row r="585" spans="2:2" ht="15.75" customHeight="1" x14ac:dyDescent="0.3">
      <c r="B585" s="33"/>
    </row>
    <row r="586" spans="2:2" ht="15.75" customHeight="1" x14ac:dyDescent="0.3">
      <c r="B586" s="33"/>
    </row>
    <row r="587" spans="2:2" ht="15.75" customHeight="1" x14ac:dyDescent="0.3">
      <c r="B587" s="33"/>
    </row>
    <row r="588" spans="2:2" ht="15.75" customHeight="1" x14ac:dyDescent="0.3">
      <c r="B588" s="33"/>
    </row>
    <row r="589" spans="2:2" ht="15.75" customHeight="1" x14ac:dyDescent="0.3">
      <c r="B589" s="33"/>
    </row>
    <row r="590" spans="2:2" ht="15.75" customHeight="1" x14ac:dyDescent="0.3">
      <c r="B590" s="33"/>
    </row>
    <row r="591" spans="2:2" ht="15.75" customHeight="1" x14ac:dyDescent="0.3">
      <c r="B591" s="33"/>
    </row>
    <row r="592" spans="2:2" ht="15.75" customHeight="1" x14ac:dyDescent="0.3">
      <c r="B592" s="33"/>
    </row>
    <row r="593" spans="2:2" ht="15.75" customHeight="1" x14ac:dyDescent="0.3">
      <c r="B593" s="33"/>
    </row>
    <row r="594" spans="2:2" ht="15.75" customHeight="1" x14ac:dyDescent="0.3">
      <c r="B594" s="33"/>
    </row>
    <row r="595" spans="2:2" ht="15.75" customHeight="1" x14ac:dyDescent="0.3">
      <c r="B595" s="33"/>
    </row>
    <row r="596" spans="2:2" ht="15.75" customHeight="1" x14ac:dyDescent="0.3">
      <c r="B596" s="33"/>
    </row>
    <row r="597" spans="2:2" ht="15.75" customHeight="1" x14ac:dyDescent="0.3">
      <c r="B597" s="33"/>
    </row>
    <row r="598" spans="2:2" ht="15.75" customHeight="1" x14ac:dyDescent="0.3">
      <c r="B598" s="33"/>
    </row>
    <row r="599" spans="2:2" ht="15.75" customHeight="1" x14ac:dyDescent="0.3">
      <c r="B599" s="33"/>
    </row>
    <row r="600" spans="2:2" ht="15.75" customHeight="1" x14ac:dyDescent="0.3">
      <c r="B600" s="33"/>
    </row>
    <row r="601" spans="2:2" ht="15.75" customHeight="1" x14ac:dyDescent="0.3">
      <c r="B601" s="33"/>
    </row>
    <row r="602" spans="2:2" ht="15.75" customHeight="1" x14ac:dyDescent="0.3">
      <c r="B602" s="33"/>
    </row>
    <row r="603" spans="2:2" ht="15.75" customHeight="1" x14ac:dyDescent="0.3">
      <c r="B603" s="33"/>
    </row>
    <row r="604" spans="2:2" ht="15.75" customHeight="1" x14ac:dyDescent="0.3">
      <c r="B604" s="33"/>
    </row>
    <row r="605" spans="2:2" ht="15.75" customHeight="1" x14ac:dyDescent="0.3">
      <c r="B605" s="33"/>
    </row>
    <row r="606" spans="2:2" ht="15.75" customHeight="1" x14ac:dyDescent="0.3">
      <c r="B606" s="33"/>
    </row>
    <row r="607" spans="2:2" ht="15.75" customHeight="1" x14ac:dyDescent="0.3">
      <c r="B607" s="33"/>
    </row>
    <row r="608" spans="2:2" ht="15.75" customHeight="1" x14ac:dyDescent="0.3">
      <c r="B608" s="33"/>
    </row>
    <row r="609" spans="2:2" ht="15.75" customHeight="1" x14ac:dyDescent="0.3">
      <c r="B609" s="33"/>
    </row>
    <row r="610" spans="2:2" ht="15.75" customHeight="1" x14ac:dyDescent="0.3">
      <c r="B610" s="33"/>
    </row>
    <row r="611" spans="2:2" ht="15.75" customHeight="1" x14ac:dyDescent="0.3">
      <c r="B611" s="33"/>
    </row>
    <row r="612" spans="2:2" ht="15.75" customHeight="1" x14ac:dyDescent="0.3">
      <c r="B612" s="33"/>
    </row>
    <row r="613" spans="2:2" ht="15.75" customHeight="1" x14ac:dyDescent="0.3">
      <c r="B613" s="33"/>
    </row>
    <row r="614" spans="2:2" ht="15.75" customHeight="1" x14ac:dyDescent="0.3">
      <c r="B614" s="33"/>
    </row>
    <row r="615" spans="2:2" ht="15.75" customHeight="1" x14ac:dyDescent="0.3">
      <c r="B615" s="33"/>
    </row>
    <row r="616" spans="2:2" ht="15.75" customHeight="1" x14ac:dyDescent="0.3">
      <c r="B616" s="33"/>
    </row>
    <row r="617" spans="2:2" ht="15.75" customHeight="1" x14ac:dyDescent="0.3">
      <c r="B617" s="33"/>
    </row>
    <row r="618" spans="2:2" ht="15.75" customHeight="1" x14ac:dyDescent="0.3">
      <c r="B618" s="33"/>
    </row>
    <row r="619" spans="2:2" ht="15.75" customHeight="1" x14ac:dyDescent="0.3">
      <c r="B619" s="33"/>
    </row>
    <row r="620" spans="2:2" ht="15.75" customHeight="1" x14ac:dyDescent="0.3">
      <c r="B620" s="33"/>
    </row>
    <row r="621" spans="2:2" ht="15.75" customHeight="1" x14ac:dyDescent="0.3">
      <c r="B621" s="33"/>
    </row>
    <row r="622" spans="2:2" ht="15.75" customHeight="1" x14ac:dyDescent="0.3">
      <c r="B622" s="33"/>
    </row>
    <row r="623" spans="2:2" ht="15.75" customHeight="1" x14ac:dyDescent="0.3">
      <c r="B623" s="33"/>
    </row>
    <row r="624" spans="2:2" ht="15.75" customHeight="1" x14ac:dyDescent="0.3">
      <c r="B624" s="33"/>
    </row>
    <row r="625" spans="2:2" ht="15.75" customHeight="1" x14ac:dyDescent="0.3">
      <c r="B625" s="33"/>
    </row>
    <row r="626" spans="2:2" ht="15.75" customHeight="1" x14ac:dyDescent="0.3">
      <c r="B626" s="33"/>
    </row>
    <row r="627" spans="2:2" ht="15.75" customHeight="1" x14ac:dyDescent="0.3">
      <c r="B627" s="33"/>
    </row>
    <row r="628" spans="2:2" ht="15.75" customHeight="1" x14ac:dyDescent="0.3">
      <c r="B628" s="33"/>
    </row>
    <row r="629" spans="2:2" ht="15.75" customHeight="1" x14ac:dyDescent="0.3">
      <c r="B629" s="33"/>
    </row>
    <row r="630" spans="2:2" ht="15.75" customHeight="1" x14ac:dyDescent="0.3">
      <c r="B630" s="33"/>
    </row>
    <row r="631" spans="2:2" ht="15.75" customHeight="1" x14ac:dyDescent="0.3">
      <c r="B631" s="33"/>
    </row>
    <row r="632" spans="2:2" ht="15.75" customHeight="1" x14ac:dyDescent="0.3">
      <c r="B632" s="33"/>
    </row>
    <row r="633" spans="2:2" ht="15.75" customHeight="1" x14ac:dyDescent="0.3">
      <c r="B633" s="33"/>
    </row>
    <row r="634" spans="2:2" ht="15.75" customHeight="1" x14ac:dyDescent="0.3">
      <c r="B634" s="33"/>
    </row>
    <row r="635" spans="2:2" ht="15.75" customHeight="1" x14ac:dyDescent="0.3">
      <c r="B635" s="33"/>
    </row>
    <row r="636" spans="2:2" ht="15.75" customHeight="1" x14ac:dyDescent="0.3">
      <c r="B636" s="33"/>
    </row>
    <row r="637" spans="2:2" ht="15.75" customHeight="1" x14ac:dyDescent="0.3">
      <c r="B637" s="33"/>
    </row>
    <row r="638" spans="2:2" ht="15.75" customHeight="1" x14ac:dyDescent="0.3">
      <c r="B638" s="33"/>
    </row>
    <row r="639" spans="2:2" ht="15.75" customHeight="1" x14ac:dyDescent="0.3">
      <c r="B639" s="33"/>
    </row>
    <row r="640" spans="2:2" ht="15.75" customHeight="1" x14ac:dyDescent="0.3">
      <c r="B640" s="33"/>
    </row>
    <row r="641" spans="2:2" ht="15.75" customHeight="1" x14ac:dyDescent="0.3">
      <c r="B641" s="33"/>
    </row>
    <row r="642" spans="2:2" ht="15.75" customHeight="1" x14ac:dyDescent="0.3">
      <c r="B642" s="33"/>
    </row>
    <row r="643" spans="2:2" ht="15.75" customHeight="1" x14ac:dyDescent="0.3">
      <c r="B643" s="33"/>
    </row>
    <row r="644" spans="2:2" ht="15.75" customHeight="1" x14ac:dyDescent="0.3">
      <c r="B644" s="33"/>
    </row>
    <row r="645" spans="2:2" ht="15.75" customHeight="1" x14ac:dyDescent="0.3">
      <c r="B645" s="33"/>
    </row>
    <row r="646" spans="2:2" ht="15.75" customHeight="1" x14ac:dyDescent="0.3">
      <c r="B646" s="33"/>
    </row>
    <row r="647" spans="2:2" ht="15.75" customHeight="1" x14ac:dyDescent="0.3">
      <c r="B647" s="33"/>
    </row>
    <row r="648" spans="2:2" ht="15.75" customHeight="1" x14ac:dyDescent="0.3">
      <c r="B648" s="33"/>
    </row>
    <row r="649" spans="2:2" ht="15.75" customHeight="1" x14ac:dyDescent="0.3">
      <c r="B649" s="33"/>
    </row>
    <row r="650" spans="2:2" ht="15.75" customHeight="1" x14ac:dyDescent="0.3">
      <c r="B650" s="33"/>
    </row>
    <row r="651" spans="2:2" ht="15.75" customHeight="1" x14ac:dyDescent="0.3">
      <c r="B651" s="33"/>
    </row>
    <row r="652" spans="2:2" ht="15.75" customHeight="1" x14ac:dyDescent="0.3">
      <c r="B652" s="33"/>
    </row>
    <row r="653" spans="2:2" ht="15.75" customHeight="1" x14ac:dyDescent="0.3">
      <c r="B653" s="33"/>
    </row>
    <row r="654" spans="2:2" ht="15.75" customHeight="1" x14ac:dyDescent="0.3">
      <c r="B654" s="33"/>
    </row>
    <row r="655" spans="2:2" ht="15.75" customHeight="1" x14ac:dyDescent="0.3">
      <c r="B655" s="33"/>
    </row>
    <row r="656" spans="2:2" ht="15.75" customHeight="1" x14ac:dyDescent="0.3">
      <c r="B656" s="33"/>
    </row>
    <row r="657" spans="2:2" ht="15.75" customHeight="1" x14ac:dyDescent="0.3">
      <c r="B657" s="33"/>
    </row>
    <row r="658" spans="2:2" ht="15.75" customHeight="1" x14ac:dyDescent="0.3">
      <c r="B658" s="33"/>
    </row>
    <row r="659" spans="2:2" ht="15.75" customHeight="1" x14ac:dyDescent="0.3">
      <c r="B659" s="33"/>
    </row>
    <row r="660" spans="2:2" ht="15.75" customHeight="1" x14ac:dyDescent="0.3">
      <c r="B660" s="33"/>
    </row>
    <row r="661" spans="2:2" ht="15.75" customHeight="1" x14ac:dyDescent="0.3">
      <c r="B661" s="33"/>
    </row>
    <row r="662" spans="2:2" ht="15.75" customHeight="1" x14ac:dyDescent="0.3">
      <c r="B662" s="33"/>
    </row>
    <row r="663" spans="2:2" ht="15.75" customHeight="1" x14ac:dyDescent="0.3">
      <c r="B663" s="33"/>
    </row>
    <row r="664" spans="2:2" ht="15.75" customHeight="1" x14ac:dyDescent="0.3">
      <c r="B664" s="33"/>
    </row>
    <row r="665" spans="2:2" ht="15.75" customHeight="1" x14ac:dyDescent="0.3">
      <c r="B665" s="33"/>
    </row>
    <row r="666" spans="2:2" ht="15.75" customHeight="1" x14ac:dyDescent="0.3">
      <c r="B666" s="33"/>
    </row>
    <row r="667" spans="2:2" ht="15.75" customHeight="1" x14ac:dyDescent="0.3">
      <c r="B667" s="33"/>
    </row>
    <row r="668" spans="2:2" ht="15.75" customHeight="1" x14ac:dyDescent="0.3">
      <c r="B668" s="33"/>
    </row>
    <row r="669" spans="2:2" ht="15.75" customHeight="1" x14ac:dyDescent="0.3">
      <c r="B669" s="33"/>
    </row>
    <row r="670" spans="2:2" ht="15.75" customHeight="1" x14ac:dyDescent="0.3">
      <c r="B670" s="33"/>
    </row>
    <row r="671" spans="2:2" ht="15.75" customHeight="1" x14ac:dyDescent="0.3">
      <c r="B671" s="33"/>
    </row>
    <row r="672" spans="2:2" ht="15.75" customHeight="1" x14ac:dyDescent="0.3">
      <c r="B672" s="33"/>
    </row>
    <row r="673" spans="2:2" ht="15.75" customHeight="1" x14ac:dyDescent="0.3">
      <c r="B673" s="33"/>
    </row>
    <row r="674" spans="2:2" ht="15.75" customHeight="1" x14ac:dyDescent="0.3">
      <c r="B674" s="33"/>
    </row>
    <row r="675" spans="2:2" ht="15.75" customHeight="1" x14ac:dyDescent="0.3">
      <c r="B675" s="33"/>
    </row>
    <row r="676" spans="2:2" ht="15.75" customHeight="1" x14ac:dyDescent="0.3">
      <c r="B676" s="33"/>
    </row>
    <row r="677" spans="2:2" ht="15.75" customHeight="1" x14ac:dyDescent="0.3">
      <c r="B677" s="33"/>
    </row>
    <row r="678" spans="2:2" ht="15.75" customHeight="1" x14ac:dyDescent="0.3">
      <c r="B678" s="33"/>
    </row>
    <row r="679" spans="2:2" ht="15.75" customHeight="1" x14ac:dyDescent="0.3">
      <c r="B679" s="33"/>
    </row>
    <row r="680" spans="2:2" ht="15.75" customHeight="1" x14ac:dyDescent="0.3">
      <c r="B680" s="33"/>
    </row>
    <row r="681" spans="2:2" ht="15.75" customHeight="1" x14ac:dyDescent="0.3">
      <c r="B681" s="33"/>
    </row>
    <row r="682" spans="2:2" ht="15.75" customHeight="1" x14ac:dyDescent="0.3">
      <c r="B682" s="33"/>
    </row>
    <row r="683" spans="2:2" ht="15.75" customHeight="1" x14ac:dyDescent="0.3">
      <c r="B683" s="33"/>
    </row>
    <row r="684" spans="2:2" ht="15.75" customHeight="1" x14ac:dyDescent="0.3">
      <c r="B684" s="33"/>
    </row>
    <row r="685" spans="2:2" ht="15.75" customHeight="1" x14ac:dyDescent="0.3">
      <c r="B685" s="33"/>
    </row>
    <row r="686" spans="2:2" ht="15.75" customHeight="1" x14ac:dyDescent="0.3">
      <c r="B686" s="33"/>
    </row>
    <row r="687" spans="2:2" ht="15.75" customHeight="1" x14ac:dyDescent="0.3">
      <c r="B687" s="33"/>
    </row>
    <row r="688" spans="2:2" ht="15.75" customHeight="1" x14ac:dyDescent="0.3">
      <c r="B688" s="33"/>
    </row>
    <row r="689" spans="2:2" ht="15.75" customHeight="1" x14ac:dyDescent="0.3">
      <c r="B689" s="33"/>
    </row>
    <row r="690" spans="2:2" ht="15.75" customHeight="1" x14ac:dyDescent="0.3">
      <c r="B690" s="33"/>
    </row>
    <row r="691" spans="2:2" ht="15.75" customHeight="1" x14ac:dyDescent="0.3">
      <c r="B691" s="33"/>
    </row>
    <row r="692" spans="2:2" ht="15.75" customHeight="1" x14ac:dyDescent="0.3">
      <c r="B692" s="33"/>
    </row>
    <row r="693" spans="2:2" ht="15.75" customHeight="1" x14ac:dyDescent="0.3">
      <c r="B693" s="33"/>
    </row>
    <row r="694" spans="2:2" ht="15.75" customHeight="1" x14ac:dyDescent="0.3">
      <c r="B694" s="33"/>
    </row>
    <row r="695" spans="2:2" ht="15.75" customHeight="1" x14ac:dyDescent="0.3">
      <c r="B695" s="33"/>
    </row>
    <row r="696" spans="2:2" ht="15.75" customHeight="1" x14ac:dyDescent="0.3">
      <c r="B696" s="33"/>
    </row>
    <row r="697" spans="2:2" ht="15.75" customHeight="1" x14ac:dyDescent="0.3">
      <c r="B697" s="33"/>
    </row>
    <row r="698" spans="2:2" ht="15.75" customHeight="1" x14ac:dyDescent="0.3">
      <c r="B698" s="33"/>
    </row>
    <row r="699" spans="2:2" ht="15.75" customHeight="1" x14ac:dyDescent="0.3">
      <c r="B699" s="33"/>
    </row>
    <row r="700" spans="2:2" ht="15.75" customHeight="1" x14ac:dyDescent="0.3">
      <c r="B700" s="33"/>
    </row>
    <row r="701" spans="2:2" ht="15.75" customHeight="1" x14ac:dyDescent="0.3">
      <c r="B701" s="33"/>
    </row>
    <row r="702" spans="2:2" ht="15.75" customHeight="1" x14ac:dyDescent="0.3">
      <c r="B702" s="33"/>
    </row>
    <row r="703" spans="2:2" ht="15.75" customHeight="1" x14ac:dyDescent="0.3">
      <c r="B703" s="33"/>
    </row>
    <row r="704" spans="2:2" ht="15.75" customHeight="1" x14ac:dyDescent="0.3">
      <c r="B704" s="33"/>
    </row>
    <row r="705" spans="2:2" ht="15.75" customHeight="1" x14ac:dyDescent="0.3">
      <c r="B705" s="33"/>
    </row>
    <row r="706" spans="2:2" ht="15.75" customHeight="1" x14ac:dyDescent="0.3">
      <c r="B706" s="33"/>
    </row>
    <row r="707" spans="2:2" ht="15.75" customHeight="1" x14ac:dyDescent="0.3">
      <c r="B707" s="33"/>
    </row>
    <row r="708" spans="2:2" ht="15.75" customHeight="1" x14ac:dyDescent="0.3">
      <c r="B708" s="33"/>
    </row>
    <row r="709" spans="2:2" ht="15.75" customHeight="1" x14ac:dyDescent="0.3">
      <c r="B709" s="33"/>
    </row>
    <row r="710" spans="2:2" ht="15.75" customHeight="1" x14ac:dyDescent="0.3">
      <c r="B710" s="33"/>
    </row>
    <row r="711" spans="2:2" ht="15.75" customHeight="1" x14ac:dyDescent="0.3">
      <c r="B711" s="33"/>
    </row>
    <row r="712" spans="2:2" ht="15.75" customHeight="1" x14ac:dyDescent="0.3">
      <c r="B712" s="33"/>
    </row>
    <row r="713" spans="2:2" ht="15.75" customHeight="1" x14ac:dyDescent="0.3">
      <c r="B713" s="33"/>
    </row>
    <row r="714" spans="2:2" ht="15.75" customHeight="1" x14ac:dyDescent="0.3">
      <c r="B714" s="33"/>
    </row>
    <row r="715" spans="2:2" ht="15.75" customHeight="1" x14ac:dyDescent="0.3">
      <c r="B715" s="33"/>
    </row>
    <row r="716" spans="2:2" ht="15.75" customHeight="1" x14ac:dyDescent="0.3">
      <c r="B716" s="33"/>
    </row>
    <row r="717" spans="2:2" ht="15.75" customHeight="1" x14ac:dyDescent="0.3">
      <c r="B717" s="33"/>
    </row>
    <row r="718" spans="2:2" ht="15.75" customHeight="1" x14ac:dyDescent="0.3">
      <c r="B718" s="33"/>
    </row>
    <row r="719" spans="2:2" ht="15.75" customHeight="1" x14ac:dyDescent="0.3">
      <c r="B719" s="33"/>
    </row>
    <row r="720" spans="2:2" ht="15.75" customHeight="1" x14ac:dyDescent="0.3">
      <c r="B720" s="33"/>
    </row>
    <row r="721" spans="2:2" ht="15.75" customHeight="1" x14ac:dyDescent="0.3">
      <c r="B721" s="33"/>
    </row>
    <row r="722" spans="2:2" ht="15.75" customHeight="1" x14ac:dyDescent="0.3">
      <c r="B722" s="33"/>
    </row>
    <row r="723" spans="2:2" ht="15.75" customHeight="1" x14ac:dyDescent="0.3">
      <c r="B723" s="33"/>
    </row>
    <row r="724" spans="2:2" ht="15.75" customHeight="1" x14ac:dyDescent="0.3">
      <c r="B724" s="33"/>
    </row>
    <row r="725" spans="2:2" ht="15.75" customHeight="1" x14ac:dyDescent="0.3">
      <c r="B725" s="33"/>
    </row>
    <row r="726" spans="2:2" ht="15.75" customHeight="1" x14ac:dyDescent="0.3">
      <c r="B726" s="33"/>
    </row>
    <row r="727" spans="2:2" ht="15.75" customHeight="1" x14ac:dyDescent="0.3">
      <c r="B727" s="33"/>
    </row>
    <row r="728" spans="2:2" ht="15.75" customHeight="1" x14ac:dyDescent="0.3">
      <c r="B728" s="33"/>
    </row>
    <row r="729" spans="2:2" ht="15.75" customHeight="1" x14ac:dyDescent="0.3">
      <c r="B729" s="33"/>
    </row>
    <row r="730" spans="2:2" ht="15.75" customHeight="1" x14ac:dyDescent="0.3">
      <c r="B730" s="33"/>
    </row>
    <row r="731" spans="2:2" ht="15.75" customHeight="1" x14ac:dyDescent="0.3">
      <c r="B731" s="33"/>
    </row>
    <row r="732" spans="2:2" ht="15.75" customHeight="1" x14ac:dyDescent="0.3">
      <c r="B732" s="33"/>
    </row>
    <row r="733" spans="2:2" ht="15.75" customHeight="1" x14ac:dyDescent="0.3">
      <c r="B733" s="33"/>
    </row>
    <row r="734" spans="2:2" ht="15.75" customHeight="1" x14ac:dyDescent="0.3">
      <c r="B734" s="33"/>
    </row>
    <row r="735" spans="2:2" ht="15.75" customHeight="1" x14ac:dyDescent="0.3">
      <c r="B735" s="33"/>
    </row>
    <row r="736" spans="2:2" ht="15.75" customHeight="1" x14ac:dyDescent="0.3">
      <c r="B736" s="33"/>
    </row>
    <row r="737" spans="2:2" ht="15.75" customHeight="1" x14ac:dyDescent="0.3">
      <c r="B737" s="33"/>
    </row>
    <row r="738" spans="2:2" ht="15.75" customHeight="1" x14ac:dyDescent="0.3">
      <c r="B738" s="33"/>
    </row>
    <row r="739" spans="2:2" ht="15.75" customHeight="1" x14ac:dyDescent="0.3">
      <c r="B739" s="33"/>
    </row>
    <row r="740" spans="2:2" ht="15.75" customHeight="1" x14ac:dyDescent="0.3">
      <c r="B740" s="33"/>
    </row>
    <row r="741" spans="2:2" ht="15.75" customHeight="1" x14ac:dyDescent="0.3">
      <c r="B741" s="33"/>
    </row>
    <row r="742" spans="2:2" ht="15.75" customHeight="1" x14ac:dyDescent="0.3">
      <c r="B742" s="33"/>
    </row>
    <row r="743" spans="2:2" ht="15.75" customHeight="1" x14ac:dyDescent="0.3">
      <c r="B743" s="33"/>
    </row>
    <row r="744" spans="2:2" ht="15.75" customHeight="1" x14ac:dyDescent="0.3">
      <c r="B744" s="33"/>
    </row>
    <row r="745" spans="2:2" ht="15.75" customHeight="1" x14ac:dyDescent="0.3">
      <c r="B745" s="33"/>
    </row>
    <row r="746" spans="2:2" ht="15.75" customHeight="1" x14ac:dyDescent="0.3">
      <c r="B746" s="33"/>
    </row>
    <row r="747" spans="2:2" ht="15.75" customHeight="1" x14ac:dyDescent="0.3">
      <c r="B747" s="33"/>
    </row>
    <row r="748" spans="2:2" ht="15.75" customHeight="1" x14ac:dyDescent="0.3">
      <c r="B748" s="33"/>
    </row>
    <row r="749" spans="2:2" ht="15.75" customHeight="1" x14ac:dyDescent="0.3">
      <c r="B749" s="33"/>
    </row>
    <row r="750" spans="2:2" ht="15.75" customHeight="1" x14ac:dyDescent="0.3">
      <c r="B750" s="33"/>
    </row>
    <row r="751" spans="2:2" ht="15.75" customHeight="1" x14ac:dyDescent="0.3">
      <c r="B751" s="33"/>
    </row>
    <row r="752" spans="2:2" ht="15.75" customHeight="1" x14ac:dyDescent="0.3">
      <c r="B752" s="33"/>
    </row>
    <row r="753" spans="2:2" ht="15.75" customHeight="1" x14ac:dyDescent="0.3">
      <c r="B753" s="33"/>
    </row>
    <row r="754" spans="2:2" ht="15.75" customHeight="1" x14ac:dyDescent="0.3">
      <c r="B754" s="33"/>
    </row>
    <row r="755" spans="2:2" ht="15.75" customHeight="1" x14ac:dyDescent="0.3">
      <c r="B755" s="33"/>
    </row>
    <row r="756" spans="2:2" ht="15.75" customHeight="1" x14ac:dyDescent="0.3">
      <c r="B756" s="33"/>
    </row>
    <row r="757" spans="2:2" ht="15.75" customHeight="1" x14ac:dyDescent="0.3">
      <c r="B757" s="33"/>
    </row>
    <row r="758" spans="2:2" ht="15.75" customHeight="1" x14ac:dyDescent="0.3">
      <c r="B758" s="33"/>
    </row>
    <row r="759" spans="2:2" ht="15.75" customHeight="1" x14ac:dyDescent="0.3">
      <c r="B759" s="33"/>
    </row>
    <row r="760" spans="2:2" ht="15.75" customHeight="1" x14ac:dyDescent="0.3">
      <c r="B760" s="33"/>
    </row>
    <row r="761" spans="2:2" ht="15.75" customHeight="1" x14ac:dyDescent="0.3">
      <c r="B761" s="33"/>
    </row>
    <row r="762" spans="2:2" ht="15.75" customHeight="1" x14ac:dyDescent="0.3">
      <c r="B762" s="33"/>
    </row>
    <row r="763" spans="2:2" ht="15.75" customHeight="1" x14ac:dyDescent="0.3">
      <c r="B763" s="33"/>
    </row>
    <row r="764" spans="2:2" ht="15.75" customHeight="1" x14ac:dyDescent="0.3">
      <c r="B764" s="33"/>
    </row>
    <row r="765" spans="2:2" ht="15.75" customHeight="1" x14ac:dyDescent="0.3">
      <c r="B765" s="33"/>
    </row>
    <row r="766" spans="2:2" ht="15.75" customHeight="1" x14ac:dyDescent="0.3">
      <c r="B766" s="33"/>
    </row>
    <row r="767" spans="2:2" ht="15.75" customHeight="1" x14ac:dyDescent="0.3">
      <c r="B767" s="33"/>
    </row>
    <row r="768" spans="2:2" ht="15.75" customHeight="1" x14ac:dyDescent="0.3">
      <c r="B768" s="33"/>
    </row>
    <row r="769" spans="2:2" ht="15.75" customHeight="1" x14ac:dyDescent="0.3">
      <c r="B769" s="33"/>
    </row>
    <row r="770" spans="2:2" ht="15.75" customHeight="1" x14ac:dyDescent="0.3">
      <c r="B770" s="33"/>
    </row>
    <row r="771" spans="2:2" ht="15.75" customHeight="1" x14ac:dyDescent="0.3">
      <c r="B771" s="33"/>
    </row>
    <row r="772" spans="2:2" ht="15.75" customHeight="1" x14ac:dyDescent="0.3">
      <c r="B772" s="33"/>
    </row>
    <row r="773" spans="2:2" ht="15.75" customHeight="1" x14ac:dyDescent="0.3">
      <c r="B773" s="33"/>
    </row>
    <row r="774" spans="2:2" ht="15.75" customHeight="1" x14ac:dyDescent="0.3">
      <c r="B774" s="33"/>
    </row>
    <row r="775" spans="2:2" ht="15.75" customHeight="1" x14ac:dyDescent="0.3">
      <c r="B775" s="33"/>
    </row>
    <row r="776" spans="2:2" ht="15.75" customHeight="1" x14ac:dyDescent="0.3">
      <c r="B776" s="33"/>
    </row>
    <row r="777" spans="2:2" ht="15.75" customHeight="1" x14ac:dyDescent="0.3">
      <c r="B777" s="33"/>
    </row>
    <row r="778" spans="2:2" ht="15.75" customHeight="1" x14ac:dyDescent="0.3">
      <c r="B778" s="33"/>
    </row>
    <row r="779" spans="2:2" ht="15.75" customHeight="1" x14ac:dyDescent="0.3">
      <c r="B779" s="33"/>
    </row>
    <row r="780" spans="2:2" ht="15.75" customHeight="1" x14ac:dyDescent="0.3">
      <c r="B780" s="33"/>
    </row>
    <row r="781" spans="2:2" ht="15.75" customHeight="1" x14ac:dyDescent="0.3">
      <c r="B781" s="33"/>
    </row>
    <row r="782" spans="2:2" ht="15.75" customHeight="1" x14ac:dyDescent="0.3">
      <c r="B782" s="33"/>
    </row>
    <row r="783" spans="2:2" ht="15.75" customHeight="1" x14ac:dyDescent="0.3">
      <c r="B783" s="33"/>
    </row>
    <row r="784" spans="2:2" ht="15.75" customHeight="1" x14ac:dyDescent="0.3">
      <c r="B784" s="33"/>
    </row>
    <row r="785" spans="2:2" ht="15.75" customHeight="1" x14ac:dyDescent="0.3">
      <c r="B785" s="33"/>
    </row>
    <row r="786" spans="2:2" ht="15.75" customHeight="1" x14ac:dyDescent="0.3">
      <c r="B786" s="33"/>
    </row>
    <row r="787" spans="2:2" ht="15.75" customHeight="1" x14ac:dyDescent="0.3">
      <c r="B787" s="33"/>
    </row>
    <row r="788" spans="2:2" ht="15.75" customHeight="1" x14ac:dyDescent="0.3">
      <c r="B788" s="33"/>
    </row>
    <row r="789" spans="2:2" ht="15.75" customHeight="1" x14ac:dyDescent="0.3">
      <c r="B789" s="33"/>
    </row>
    <row r="790" spans="2:2" ht="15.75" customHeight="1" x14ac:dyDescent="0.3">
      <c r="B790" s="33"/>
    </row>
    <row r="791" spans="2:2" ht="15.75" customHeight="1" x14ac:dyDescent="0.3">
      <c r="B791" s="33"/>
    </row>
    <row r="792" spans="2:2" ht="15.75" customHeight="1" x14ac:dyDescent="0.3">
      <c r="B792" s="33"/>
    </row>
    <row r="793" spans="2:2" ht="15.75" customHeight="1" x14ac:dyDescent="0.3">
      <c r="B793" s="33"/>
    </row>
    <row r="794" spans="2:2" ht="15.75" customHeight="1" x14ac:dyDescent="0.3">
      <c r="B794" s="33"/>
    </row>
    <row r="795" spans="2:2" ht="15.75" customHeight="1" x14ac:dyDescent="0.3">
      <c r="B795" s="33"/>
    </row>
    <row r="796" spans="2:2" ht="15.75" customHeight="1" x14ac:dyDescent="0.3">
      <c r="B796" s="33"/>
    </row>
    <row r="797" spans="2:2" ht="15.75" customHeight="1" x14ac:dyDescent="0.3">
      <c r="B797" s="33"/>
    </row>
    <row r="798" spans="2:2" ht="15.75" customHeight="1" x14ac:dyDescent="0.3">
      <c r="B798" s="33"/>
    </row>
    <row r="799" spans="2:2" ht="15.75" customHeight="1" x14ac:dyDescent="0.3">
      <c r="B799" s="33"/>
    </row>
    <row r="800" spans="2:2" ht="15.75" customHeight="1" x14ac:dyDescent="0.3">
      <c r="B800" s="33"/>
    </row>
    <row r="801" spans="2:2" ht="15.75" customHeight="1" x14ac:dyDescent="0.3">
      <c r="B801" s="33"/>
    </row>
    <row r="802" spans="2:2" ht="15.75" customHeight="1" x14ac:dyDescent="0.3">
      <c r="B802" s="33"/>
    </row>
    <row r="803" spans="2:2" ht="15.75" customHeight="1" x14ac:dyDescent="0.3">
      <c r="B803" s="33"/>
    </row>
    <row r="804" spans="2:2" ht="15.75" customHeight="1" x14ac:dyDescent="0.3">
      <c r="B804" s="33"/>
    </row>
    <row r="805" spans="2:2" ht="15.75" customHeight="1" x14ac:dyDescent="0.3">
      <c r="B805" s="33"/>
    </row>
    <row r="806" spans="2:2" ht="15.75" customHeight="1" x14ac:dyDescent="0.3">
      <c r="B806" s="33"/>
    </row>
    <row r="807" spans="2:2" ht="15.75" customHeight="1" x14ac:dyDescent="0.3">
      <c r="B807" s="33"/>
    </row>
    <row r="808" spans="2:2" ht="15.75" customHeight="1" x14ac:dyDescent="0.3">
      <c r="B808" s="33"/>
    </row>
    <row r="809" spans="2:2" ht="15.75" customHeight="1" x14ac:dyDescent="0.3">
      <c r="B809" s="33"/>
    </row>
    <row r="810" spans="2:2" ht="15.75" customHeight="1" x14ac:dyDescent="0.3">
      <c r="B810" s="33"/>
    </row>
    <row r="811" spans="2:2" ht="15.75" customHeight="1" x14ac:dyDescent="0.3">
      <c r="B811" s="33"/>
    </row>
    <row r="812" spans="2:2" ht="15.75" customHeight="1" x14ac:dyDescent="0.3">
      <c r="B812" s="33"/>
    </row>
    <row r="813" spans="2:2" ht="15.75" customHeight="1" x14ac:dyDescent="0.3">
      <c r="B813" s="33"/>
    </row>
    <row r="814" spans="2:2" ht="15.75" customHeight="1" x14ac:dyDescent="0.3">
      <c r="B814" s="33"/>
    </row>
    <row r="815" spans="2:2" ht="15.75" customHeight="1" x14ac:dyDescent="0.3">
      <c r="B815" s="33"/>
    </row>
    <row r="816" spans="2:2" ht="15.75" customHeight="1" x14ac:dyDescent="0.3">
      <c r="B816" s="33"/>
    </row>
    <row r="817" spans="2:2" ht="15.75" customHeight="1" x14ac:dyDescent="0.3">
      <c r="B817" s="33"/>
    </row>
    <row r="818" spans="2:2" ht="15.75" customHeight="1" x14ac:dyDescent="0.3">
      <c r="B818" s="33"/>
    </row>
    <row r="819" spans="2:2" ht="15.75" customHeight="1" x14ac:dyDescent="0.3">
      <c r="B819" s="33"/>
    </row>
    <row r="820" spans="2:2" ht="15.75" customHeight="1" x14ac:dyDescent="0.3">
      <c r="B820" s="33"/>
    </row>
    <row r="821" spans="2:2" ht="15.75" customHeight="1" x14ac:dyDescent="0.3">
      <c r="B821" s="33"/>
    </row>
    <row r="822" spans="2:2" ht="15.75" customHeight="1" x14ac:dyDescent="0.3">
      <c r="B822" s="33"/>
    </row>
    <row r="823" spans="2:2" ht="15.75" customHeight="1" x14ac:dyDescent="0.3">
      <c r="B823" s="33"/>
    </row>
    <row r="824" spans="2:2" ht="15.75" customHeight="1" x14ac:dyDescent="0.3">
      <c r="B824" s="33"/>
    </row>
    <row r="825" spans="2:2" ht="15.75" customHeight="1" x14ac:dyDescent="0.3">
      <c r="B825" s="33"/>
    </row>
    <row r="826" spans="2:2" ht="15.75" customHeight="1" x14ac:dyDescent="0.3">
      <c r="B826" s="33"/>
    </row>
    <row r="827" spans="2:2" ht="15.75" customHeight="1" x14ac:dyDescent="0.3">
      <c r="B827" s="33"/>
    </row>
    <row r="828" spans="2:2" ht="15.75" customHeight="1" x14ac:dyDescent="0.3">
      <c r="B828" s="33"/>
    </row>
    <row r="829" spans="2:2" ht="15.75" customHeight="1" x14ac:dyDescent="0.3">
      <c r="B829" s="33"/>
    </row>
    <row r="830" spans="2:2" ht="15.75" customHeight="1" x14ac:dyDescent="0.3">
      <c r="B830" s="33"/>
    </row>
    <row r="831" spans="2:2" ht="15.75" customHeight="1" x14ac:dyDescent="0.3">
      <c r="B831" s="33"/>
    </row>
    <row r="832" spans="2:2" ht="15.75" customHeight="1" x14ac:dyDescent="0.3">
      <c r="B832" s="33"/>
    </row>
    <row r="833" spans="2:2" ht="15.75" customHeight="1" x14ac:dyDescent="0.3">
      <c r="B833" s="33"/>
    </row>
    <row r="834" spans="2:2" ht="15.75" customHeight="1" x14ac:dyDescent="0.3">
      <c r="B834" s="33"/>
    </row>
    <row r="835" spans="2:2" ht="15.75" customHeight="1" x14ac:dyDescent="0.3">
      <c r="B835" s="33"/>
    </row>
    <row r="836" spans="2:2" ht="15.75" customHeight="1" x14ac:dyDescent="0.3">
      <c r="B836" s="33"/>
    </row>
    <row r="837" spans="2:2" ht="15.75" customHeight="1" x14ac:dyDescent="0.3">
      <c r="B837" s="33"/>
    </row>
    <row r="838" spans="2:2" ht="15.75" customHeight="1" x14ac:dyDescent="0.3">
      <c r="B838" s="33"/>
    </row>
    <row r="839" spans="2:2" ht="15.75" customHeight="1" x14ac:dyDescent="0.3">
      <c r="B839" s="33"/>
    </row>
    <row r="840" spans="2:2" ht="15.75" customHeight="1" x14ac:dyDescent="0.3">
      <c r="B840" s="33"/>
    </row>
    <row r="841" spans="2:2" ht="15.75" customHeight="1" x14ac:dyDescent="0.3">
      <c r="B841" s="33"/>
    </row>
    <row r="842" spans="2:2" ht="15.75" customHeight="1" x14ac:dyDescent="0.3">
      <c r="B842" s="33"/>
    </row>
    <row r="843" spans="2:2" ht="15.75" customHeight="1" x14ac:dyDescent="0.3">
      <c r="B843" s="33"/>
    </row>
    <row r="844" spans="2:2" ht="15.75" customHeight="1" x14ac:dyDescent="0.3">
      <c r="B844" s="33"/>
    </row>
    <row r="845" spans="2:2" ht="15.75" customHeight="1" x14ac:dyDescent="0.3">
      <c r="B845" s="33"/>
    </row>
    <row r="846" spans="2:2" ht="15.75" customHeight="1" x14ac:dyDescent="0.3">
      <c r="B846" s="33"/>
    </row>
    <row r="847" spans="2:2" ht="15.75" customHeight="1" x14ac:dyDescent="0.3">
      <c r="B847" s="33"/>
    </row>
    <row r="848" spans="2:2" ht="15.75" customHeight="1" x14ac:dyDescent="0.3">
      <c r="B848" s="33"/>
    </row>
    <row r="849" spans="2:2" ht="15.75" customHeight="1" x14ac:dyDescent="0.3">
      <c r="B849" s="33"/>
    </row>
    <row r="850" spans="2:2" ht="15.75" customHeight="1" x14ac:dyDescent="0.3">
      <c r="B850" s="33"/>
    </row>
    <row r="851" spans="2:2" ht="15.75" customHeight="1" x14ac:dyDescent="0.3">
      <c r="B851" s="33"/>
    </row>
    <row r="852" spans="2:2" ht="15.75" customHeight="1" x14ac:dyDescent="0.3">
      <c r="B852" s="33"/>
    </row>
    <row r="853" spans="2:2" ht="15.75" customHeight="1" x14ac:dyDescent="0.3">
      <c r="B853" s="33"/>
    </row>
    <row r="854" spans="2:2" ht="15.75" customHeight="1" x14ac:dyDescent="0.3">
      <c r="B854" s="33"/>
    </row>
    <row r="855" spans="2:2" ht="15.75" customHeight="1" x14ac:dyDescent="0.3">
      <c r="B855" s="33"/>
    </row>
    <row r="856" spans="2:2" ht="15.75" customHeight="1" x14ac:dyDescent="0.3">
      <c r="B856" s="33"/>
    </row>
    <row r="857" spans="2:2" ht="15.75" customHeight="1" x14ac:dyDescent="0.3">
      <c r="B857" s="33"/>
    </row>
    <row r="858" spans="2:2" ht="15.75" customHeight="1" x14ac:dyDescent="0.3">
      <c r="B858" s="33"/>
    </row>
    <row r="859" spans="2:2" ht="15.75" customHeight="1" x14ac:dyDescent="0.3">
      <c r="B859" s="33"/>
    </row>
    <row r="860" spans="2:2" ht="15.75" customHeight="1" x14ac:dyDescent="0.3">
      <c r="B860" s="33"/>
    </row>
    <row r="861" spans="2:2" ht="15.75" customHeight="1" x14ac:dyDescent="0.3">
      <c r="B861" s="33"/>
    </row>
    <row r="862" spans="2:2" ht="15.75" customHeight="1" x14ac:dyDescent="0.3">
      <c r="B862" s="33"/>
    </row>
    <row r="863" spans="2:2" ht="15.75" customHeight="1" x14ac:dyDescent="0.3">
      <c r="B863" s="33"/>
    </row>
    <row r="864" spans="2:2" ht="15.75" customHeight="1" x14ac:dyDescent="0.3">
      <c r="B864" s="33"/>
    </row>
    <row r="865" spans="2:2" ht="15.75" customHeight="1" x14ac:dyDescent="0.3">
      <c r="B865" s="33"/>
    </row>
    <row r="866" spans="2:2" ht="15.75" customHeight="1" x14ac:dyDescent="0.3">
      <c r="B866" s="33"/>
    </row>
    <row r="867" spans="2:2" ht="15.75" customHeight="1" x14ac:dyDescent="0.3">
      <c r="B867" s="33"/>
    </row>
    <row r="868" spans="2:2" ht="15.75" customHeight="1" x14ac:dyDescent="0.3">
      <c r="B868" s="33"/>
    </row>
    <row r="869" spans="2:2" ht="15.75" customHeight="1" x14ac:dyDescent="0.3">
      <c r="B869" s="33"/>
    </row>
    <row r="870" spans="2:2" ht="15.75" customHeight="1" x14ac:dyDescent="0.3">
      <c r="B870" s="33"/>
    </row>
    <row r="871" spans="2:2" ht="15.75" customHeight="1" x14ac:dyDescent="0.3">
      <c r="B871" s="33"/>
    </row>
    <row r="872" spans="2:2" ht="15.75" customHeight="1" x14ac:dyDescent="0.3">
      <c r="B872" s="33"/>
    </row>
    <row r="873" spans="2:2" ht="15.75" customHeight="1" x14ac:dyDescent="0.3">
      <c r="B873" s="33"/>
    </row>
    <row r="874" spans="2:2" ht="15.75" customHeight="1" x14ac:dyDescent="0.3">
      <c r="B874" s="33"/>
    </row>
    <row r="875" spans="2:2" ht="15.75" customHeight="1" x14ac:dyDescent="0.3">
      <c r="B875" s="33"/>
    </row>
    <row r="876" spans="2:2" ht="15.75" customHeight="1" x14ac:dyDescent="0.3">
      <c r="B876" s="33"/>
    </row>
    <row r="877" spans="2:2" ht="15.75" customHeight="1" x14ac:dyDescent="0.3">
      <c r="B877" s="33"/>
    </row>
    <row r="878" spans="2:2" ht="15.75" customHeight="1" x14ac:dyDescent="0.3">
      <c r="B878" s="33"/>
    </row>
    <row r="879" spans="2:2" ht="15.75" customHeight="1" x14ac:dyDescent="0.3">
      <c r="B879" s="33"/>
    </row>
    <row r="880" spans="2:2" ht="15.75" customHeight="1" x14ac:dyDescent="0.3">
      <c r="B880" s="33"/>
    </row>
    <row r="881" spans="2:2" ht="15.75" customHeight="1" x14ac:dyDescent="0.3">
      <c r="B881" s="33"/>
    </row>
    <row r="882" spans="2:2" ht="15.75" customHeight="1" x14ac:dyDescent="0.3">
      <c r="B882" s="33"/>
    </row>
    <row r="883" spans="2:2" ht="15.75" customHeight="1" x14ac:dyDescent="0.3">
      <c r="B883" s="33"/>
    </row>
    <row r="884" spans="2:2" ht="15.75" customHeight="1" x14ac:dyDescent="0.3">
      <c r="B884" s="33"/>
    </row>
    <row r="885" spans="2:2" ht="15.75" customHeight="1" x14ac:dyDescent="0.3">
      <c r="B885" s="33"/>
    </row>
    <row r="886" spans="2:2" ht="15.75" customHeight="1" x14ac:dyDescent="0.3">
      <c r="B886" s="33"/>
    </row>
    <row r="887" spans="2:2" ht="15.75" customHeight="1" x14ac:dyDescent="0.3">
      <c r="B887" s="33"/>
    </row>
    <row r="888" spans="2:2" ht="15.75" customHeight="1" x14ac:dyDescent="0.3">
      <c r="B888" s="33"/>
    </row>
    <row r="889" spans="2:2" ht="15.75" customHeight="1" x14ac:dyDescent="0.3">
      <c r="B889" s="33"/>
    </row>
    <row r="890" spans="2:2" ht="15.75" customHeight="1" x14ac:dyDescent="0.3">
      <c r="B890" s="33"/>
    </row>
    <row r="891" spans="2:2" ht="15.75" customHeight="1" x14ac:dyDescent="0.3">
      <c r="B891" s="33"/>
    </row>
    <row r="892" spans="2:2" ht="15.75" customHeight="1" x14ac:dyDescent="0.3">
      <c r="B892" s="33"/>
    </row>
    <row r="893" spans="2:2" ht="15.75" customHeight="1" x14ac:dyDescent="0.3">
      <c r="B893" s="33"/>
    </row>
    <row r="894" spans="2:2" ht="15.75" customHeight="1" x14ac:dyDescent="0.3">
      <c r="B894" s="33"/>
    </row>
    <row r="895" spans="2:2" ht="15.75" customHeight="1" x14ac:dyDescent="0.3">
      <c r="B895" s="33"/>
    </row>
    <row r="896" spans="2:2" ht="15.75" customHeight="1" x14ac:dyDescent="0.3">
      <c r="B896" s="33"/>
    </row>
    <row r="897" spans="2:2" ht="15.75" customHeight="1" x14ac:dyDescent="0.3">
      <c r="B897" s="33"/>
    </row>
    <row r="898" spans="2:2" ht="15.75" customHeight="1" x14ac:dyDescent="0.3">
      <c r="B898" s="33"/>
    </row>
    <row r="899" spans="2:2" ht="15.75" customHeight="1" x14ac:dyDescent="0.3">
      <c r="B899" s="33"/>
    </row>
    <row r="900" spans="2:2" ht="15.75" customHeight="1" x14ac:dyDescent="0.3">
      <c r="B900" s="33"/>
    </row>
    <row r="901" spans="2:2" ht="15.75" customHeight="1" x14ac:dyDescent="0.3">
      <c r="B901" s="33"/>
    </row>
    <row r="902" spans="2:2" ht="15.75" customHeight="1" x14ac:dyDescent="0.3">
      <c r="B902" s="33"/>
    </row>
    <row r="903" spans="2:2" ht="15.75" customHeight="1" x14ac:dyDescent="0.3">
      <c r="B903" s="33"/>
    </row>
    <row r="904" spans="2:2" ht="15.75" customHeight="1" x14ac:dyDescent="0.3">
      <c r="B904" s="33"/>
    </row>
    <row r="905" spans="2:2" ht="15.75" customHeight="1" x14ac:dyDescent="0.3">
      <c r="B905" s="33"/>
    </row>
    <row r="906" spans="2:2" ht="15.75" customHeight="1" x14ac:dyDescent="0.3">
      <c r="B906" s="33"/>
    </row>
    <row r="907" spans="2:2" ht="15.75" customHeight="1" x14ac:dyDescent="0.3">
      <c r="B907" s="33"/>
    </row>
    <row r="908" spans="2:2" ht="15.75" customHeight="1" x14ac:dyDescent="0.3">
      <c r="B908" s="33"/>
    </row>
    <row r="909" spans="2:2" ht="15.75" customHeight="1" x14ac:dyDescent="0.3">
      <c r="B909" s="33"/>
    </row>
    <row r="910" spans="2:2" ht="15.75" customHeight="1" x14ac:dyDescent="0.3">
      <c r="B910" s="33"/>
    </row>
    <row r="911" spans="2:2" ht="15.75" customHeight="1" x14ac:dyDescent="0.3">
      <c r="B911" s="33"/>
    </row>
    <row r="912" spans="2:2" ht="15.75" customHeight="1" x14ac:dyDescent="0.3">
      <c r="B912" s="33"/>
    </row>
    <row r="913" spans="2:2" ht="15.75" customHeight="1" x14ac:dyDescent="0.3">
      <c r="B913" s="33"/>
    </row>
    <row r="914" spans="2:2" ht="15.75" customHeight="1" x14ac:dyDescent="0.3">
      <c r="B914" s="33"/>
    </row>
    <row r="915" spans="2:2" ht="15.75" customHeight="1" x14ac:dyDescent="0.3">
      <c r="B915" s="33"/>
    </row>
    <row r="916" spans="2:2" ht="15.75" customHeight="1" x14ac:dyDescent="0.3">
      <c r="B916" s="33"/>
    </row>
    <row r="917" spans="2:2" ht="15.75" customHeight="1" x14ac:dyDescent="0.3">
      <c r="B917" s="33"/>
    </row>
    <row r="918" spans="2:2" ht="15.75" customHeight="1" x14ac:dyDescent="0.3">
      <c r="B918" s="33"/>
    </row>
    <row r="919" spans="2:2" ht="15.75" customHeight="1" x14ac:dyDescent="0.3">
      <c r="B919" s="33"/>
    </row>
    <row r="920" spans="2:2" ht="15.75" customHeight="1" x14ac:dyDescent="0.3">
      <c r="B920" s="33"/>
    </row>
    <row r="921" spans="2:2" ht="15.75" customHeight="1" x14ac:dyDescent="0.3">
      <c r="B921" s="33"/>
    </row>
    <row r="922" spans="2:2" ht="15.75" customHeight="1" x14ac:dyDescent="0.3">
      <c r="B922" s="33"/>
    </row>
    <row r="923" spans="2:2" ht="15.75" customHeight="1" x14ac:dyDescent="0.3">
      <c r="B923" s="33"/>
    </row>
    <row r="924" spans="2:2" ht="15.75" customHeight="1" x14ac:dyDescent="0.3">
      <c r="B924" s="33"/>
    </row>
    <row r="925" spans="2:2" ht="15.75" customHeight="1" x14ac:dyDescent="0.3">
      <c r="B925" s="33"/>
    </row>
    <row r="926" spans="2:2" ht="15.75" customHeight="1" x14ac:dyDescent="0.3">
      <c r="B926" s="33"/>
    </row>
    <row r="927" spans="2:2" ht="15.75" customHeight="1" x14ac:dyDescent="0.3">
      <c r="B927" s="33"/>
    </row>
    <row r="928" spans="2:2" ht="15.75" customHeight="1" x14ac:dyDescent="0.3">
      <c r="B928" s="33"/>
    </row>
    <row r="929" spans="2:2" ht="15.75" customHeight="1" x14ac:dyDescent="0.3">
      <c r="B929" s="33"/>
    </row>
    <row r="930" spans="2:2" ht="15.75" customHeight="1" x14ac:dyDescent="0.3">
      <c r="B930" s="33"/>
    </row>
    <row r="931" spans="2:2" ht="15.75" customHeight="1" x14ac:dyDescent="0.3">
      <c r="B931" s="33"/>
    </row>
    <row r="932" spans="2:2" ht="15.75" customHeight="1" x14ac:dyDescent="0.3">
      <c r="B932" s="33"/>
    </row>
    <row r="933" spans="2:2" ht="15.75" customHeight="1" x14ac:dyDescent="0.3">
      <c r="B933" s="33"/>
    </row>
    <row r="934" spans="2:2" ht="15.75" customHeight="1" x14ac:dyDescent="0.3">
      <c r="B934" s="33"/>
    </row>
    <row r="935" spans="2:2" ht="15.75" customHeight="1" x14ac:dyDescent="0.3">
      <c r="B935" s="33"/>
    </row>
    <row r="936" spans="2:2" ht="15.75" customHeight="1" x14ac:dyDescent="0.3">
      <c r="B936" s="33"/>
    </row>
    <row r="937" spans="2:2" ht="15.75" customHeight="1" x14ac:dyDescent="0.3">
      <c r="B937" s="33"/>
    </row>
    <row r="938" spans="2:2" ht="15.75" customHeight="1" x14ac:dyDescent="0.3">
      <c r="B938" s="33"/>
    </row>
    <row r="939" spans="2:2" ht="15.75" customHeight="1" x14ac:dyDescent="0.3">
      <c r="B939" s="33"/>
    </row>
    <row r="940" spans="2:2" ht="15.75" customHeight="1" x14ac:dyDescent="0.3">
      <c r="B940" s="33"/>
    </row>
    <row r="941" spans="2:2" ht="15.75" customHeight="1" x14ac:dyDescent="0.3">
      <c r="B941" s="33"/>
    </row>
    <row r="942" spans="2:2" ht="15.75" customHeight="1" x14ac:dyDescent="0.3">
      <c r="B942" s="33"/>
    </row>
    <row r="943" spans="2:2" ht="15.75" customHeight="1" x14ac:dyDescent="0.3">
      <c r="B943" s="33"/>
    </row>
    <row r="944" spans="2:2" ht="15.75" customHeight="1" x14ac:dyDescent="0.3">
      <c r="B944" s="33"/>
    </row>
    <row r="945" spans="2:2" ht="15.75" customHeight="1" x14ac:dyDescent="0.3">
      <c r="B945" s="33"/>
    </row>
    <row r="946" spans="2:2" ht="15.75" customHeight="1" x14ac:dyDescent="0.3">
      <c r="B946" s="33"/>
    </row>
    <row r="947" spans="2:2" ht="15.75" customHeight="1" x14ac:dyDescent="0.3">
      <c r="B947" s="33"/>
    </row>
    <row r="948" spans="2:2" ht="15.75" customHeight="1" x14ac:dyDescent="0.3">
      <c r="B948" s="33"/>
    </row>
    <row r="949" spans="2:2" ht="15.75" customHeight="1" x14ac:dyDescent="0.3">
      <c r="B949" s="33"/>
    </row>
    <row r="950" spans="2:2" ht="15.75" customHeight="1" x14ac:dyDescent="0.3">
      <c r="B950" s="33"/>
    </row>
    <row r="951" spans="2:2" ht="15.75" customHeight="1" x14ac:dyDescent="0.3">
      <c r="B951" s="33"/>
    </row>
    <row r="952" spans="2:2" ht="15.75" customHeight="1" x14ac:dyDescent="0.3">
      <c r="B952" s="33"/>
    </row>
    <row r="953" spans="2:2" ht="15.75" customHeight="1" x14ac:dyDescent="0.3">
      <c r="B953" s="33"/>
    </row>
    <row r="954" spans="2:2" ht="15.75" customHeight="1" x14ac:dyDescent="0.3">
      <c r="B954" s="33"/>
    </row>
    <row r="955" spans="2:2" ht="15.75" customHeight="1" x14ac:dyDescent="0.3">
      <c r="B955" s="33"/>
    </row>
    <row r="956" spans="2:2" ht="15.75" customHeight="1" x14ac:dyDescent="0.3">
      <c r="B956" s="33"/>
    </row>
    <row r="957" spans="2:2" ht="15.75" customHeight="1" x14ac:dyDescent="0.3">
      <c r="B957" s="33"/>
    </row>
    <row r="958" spans="2:2" ht="15.75" customHeight="1" x14ac:dyDescent="0.3">
      <c r="B958" s="33"/>
    </row>
    <row r="959" spans="2:2" ht="15.75" customHeight="1" x14ac:dyDescent="0.3">
      <c r="B959" s="33"/>
    </row>
    <row r="960" spans="2:2" ht="15.75" customHeight="1" x14ac:dyDescent="0.3">
      <c r="B960" s="33"/>
    </row>
    <row r="961" spans="2:2" ht="15.75" customHeight="1" x14ac:dyDescent="0.3">
      <c r="B961" s="33"/>
    </row>
    <row r="962" spans="2:2" ht="15.75" customHeight="1" x14ac:dyDescent="0.3">
      <c r="B962" s="33"/>
    </row>
    <row r="963" spans="2:2" ht="15.75" customHeight="1" x14ac:dyDescent="0.3">
      <c r="B963" s="33"/>
    </row>
    <row r="964" spans="2:2" ht="15.75" customHeight="1" x14ac:dyDescent="0.3">
      <c r="B964" s="33"/>
    </row>
    <row r="965" spans="2:2" ht="15.75" customHeight="1" x14ac:dyDescent="0.3">
      <c r="B965" s="33"/>
    </row>
    <row r="966" spans="2:2" ht="15.75" customHeight="1" x14ac:dyDescent="0.3">
      <c r="B966" s="33"/>
    </row>
    <row r="967" spans="2:2" ht="15.75" customHeight="1" x14ac:dyDescent="0.3">
      <c r="B967" s="33"/>
    </row>
    <row r="968" spans="2:2" ht="15.75" customHeight="1" x14ac:dyDescent="0.3">
      <c r="B968" s="33"/>
    </row>
    <row r="969" spans="2:2" ht="15.75" customHeight="1" x14ac:dyDescent="0.3">
      <c r="B969" s="33"/>
    </row>
    <row r="970" spans="2:2" ht="15.75" customHeight="1" x14ac:dyDescent="0.3">
      <c r="B970" s="33"/>
    </row>
    <row r="971" spans="2:2" ht="15.75" customHeight="1" x14ac:dyDescent="0.3">
      <c r="B971" s="33"/>
    </row>
    <row r="972" spans="2:2" ht="15.75" customHeight="1" x14ac:dyDescent="0.3">
      <c r="B972" s="33"/>
    </row>
    <row r="973" spans="2:2" ht="15.75" customHeight="1" x14ac:dyDescent="0.3">
      <c r="B973" s="33"/>
    </row>
    <row r="974" spans="2:2" ht="15.75" customHeight="1" x14ac:dyDescent="0.3">
      <c r="B974" s="33"/>
    </row>
    <row r="975" spans="2:2" ht="15.75" customHeight="1" x14ac:dyDescent="0.3">
      <c r="B975" s="33"/>
    </row>
    <row r="976" spans="2:2" ht="15.75" customHeight="1" x14ac:dyDescent="0.3">
      <c r="B976" s="33"/>
    </row>
    <row r="977" spans="2:2" ht="15.75" customHeight="1" x14ac:dyDescent="0.3">
      <c r="B977" s="33"/>
    </row>
    <row r="978" spans="2:2" ht="15.75" customHeight="1" x14ac:dyDescent="0.3">
      <c r="B978" s="33"/>
    </row>
    <row r="979" spans="2:2" ht="15.75" customHeight="1" x14ac:dyDescent="0.3">
      <c r="B979" s="33"/>
    </row>
    <row r="980" spans="2:2" ht="15.75" customHeight="1" x14ac:dyDescent="0.3">
      <c r="B980" s="33"/>
    </row>
    <row r="981" spans="2:2" ht="15.75" customHeight="1" x14ac:dyDescent="0.3">
      <c r="B981" s="33"/>
    </row>
    <row r="982" spans="2:2" ht="15.75" customHeight="1" x14ac:dyDescent="0.3">
      <c r="B982" s="33"/>
    </row>
    <row r="983" spans="2:2" ht="15.75" customHeight="1" x14ac:dyDescent="0.3">
      <c r="B983" s="33"/>
    </row>
    <row r="984" spans="2:2" ht="15.75" customHeight="1" x14ac:dyDescent="0.3">
      <c r="B984" s="33"/>
    </row>
    <row r="985" spans="2:2" ht="15.75" customHeight="1" x14ac:dyDescent="0.3">
      <c r="B985" s="33"/>
    </row>
    <row r="986" spans="2:2" ht="15.75" customHeight="1" x14ac:dyDescent="0.3">
      <c r="B986" s="33"/>
    </row>
    <row r="987" spans="2:2" ht="15.75" customHeight="1" x14ac:dyDescent="0.3">
      <c r="B987" s="33"/>
    </row>
    <row r="988" spans="2:2" ht="15.75" customHeight="1" x14ac:dyDescent="0.3">
      <c r="B988" s="33"/>
    </row>
    <row r="989" spans="2:2" ht="15.75" customHeight="1" x14ac:dyDescent="0.3">
      <c r="B989" s="33"/>
    </row>
    <row r="990" spans="2:2" ht="15.75" customHeight="1" x14ac:dyDescent="0.3">
      <c r="B990" s="33"/>
    </row>
    <row r="991" spans="2:2" ht="15.75" customHeight="1" x14ac:dyDescent="0.3">
      <c r="B991" s="33"/>
    </row>
    <row r="992" spans="2:2" ht="15.75" customHeight="1" x14ac:dyDescent="0.3">
      <c r="B992" s="33"/>
    </row>
    <row r="993" spans="2:2" ht="15.75" customHeight="1" x14ac:dyDescent="0.3">
      <c r="B993" s="33"/>
    </row>
    <row r="994" spans="2:2" ht="15.75" customHeight="1" x14ac:dyDescent="0.3">
      <c r="B994" s="33"/>
    </row>
    <row r="995" spans="2:2" ht="15.75" customHeight="1" x14ac:dyDescent="0.3">
      <c r="B995" s="33"/>
    </row>
    <row r="996" spans="2:2" ht="15.75" customHeight="1" x14ac:dyDescent="0.3">
      <c r="B996" s="33"/>
    </row>
    <row r="997" spans="2:2" ht="15.75" customHeight="1" x14ac:dyDescent="0.3">
      <c r="B997" s="33"/>
    </row>
    <row r="998" spans="2:2" ht="15.75" customHeight="1" x14ac:dyDescent="0.3">
      <c r="B998" s="33"/>
    </row>
    <row r="999" spans="2:2" ht="15.75" customHeight="1" x14ac:dyDescent="0.3">
      <c r="B999" s="33"/>
    </row>
    <row r="1000" spans="2:2" ht="15.75" customHeight="1" x14ac:dyDescent="0.3">
      <c r="B1000" s="33"/>
    </row>
  </sheetData>
  <autoFilter ref="A2:P22" xr:uid="{00000000-0009-0000-0000-000009000000}"/>
  <mergeCells count="1">
    <mergeCell ref="B1:D1"/>
  </mergeCells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000"/>
  <sheetViews>
    <sheetView workbookViewId="0">
      <selection activeCell="D17" sqref="A1:D17"/>
    </sheetView>
  </sheetViews>
  <sheetFormatPr baseColWidth="10" defaultColWidth="14.44140625" defaultRowHeight="15" customHeight="1" x14ac:dyDescent="0.3"/>
  <cols>
    <col min="1" max="1" width="13.33203125" customWidth="1"/>
    <col min="2" max="2" width="34.109375" customWidth="1"/>
    <col min="3" max="3" width="28.33203125" customWidth="1"/>
    <col min="4" max="4" width="25.109375" customWidth="1"/>
    <col min="5" max="5" width="4.109375" customWidth="1"/>
    <col min="6" max="6" width="13" customWidth="1"/>
    <col min="7" max="7" width="27.6640625" customWidth="1"/>
    <col min="8" max="8" width="9.5546875" customWidth="1"/>
    <col min="9" max="9" width="16.109375" customWidth="1"/>
    <col min="10" max="10" width="10" customWidth="1"/>
    <col min="11" max="12" width="10.6640625" customWidth="1"/>
    <col min="13" max="13" width="17.88671875" customWidth="1"/>
    <col min="15" max="15" width="14.5546875" customWidth="1"/>
  </cols>
  <sheetData>
    <row r="1" spans="1:16" ht="15" customHeight="1" x14ac:dyDescent="0.3">
      <c r="A1" s="20" t="s">
        <v>410</v>
      </c>
      <c r="B1" s="181" t="str">
        <f>'Formato Cronograma'!C13</f>
        <v>Comunicación asertiva y Escucha Activa</v>
      </c>
      <c r="C1" s="182"/>
      <c r="D1" s="182"/>
    </row>
    <row r="2" spans="1:16" ht="15" customHeight="1" x14ac:dyDescent="0.3">
      <c r="A2" s="20" t="s">
        <v>411</v>
      </c>
      <c r="B2" s="21" t="s">
        <v>412</v>
      </c>
      <c r="C2" s="22" t="s">
        <v>413</v>
      </c>
      <c r="D2" s="23" t="s">
        <v>414</v>
      </c>
      <c r="E2" s="24"/>
      <c r="F2" s="25"/>
      <c r="G2" s="25"/>
      <c r="H2" s="25"/>
      <c r="I2" s="25"/>
      <c r="J2" s="25"/>
      <c r="K2" s="25"/>
      <c r="L2" s="25"/>
      <c r="M2" s="25"/>
      <c r="N2" s="24"/>
      <c r="O2" s="24"/>
      <c r="P2" s="24"/>
    </row>
    <row r="3" spans="1:16" ht="15" customHeight="1" x14ac:dyDescent="0.3">
      <c r="A3" s="26">
        <v>1</v>
      </c>
      <c r="B3" s="27">
        <f>VLOOKUP((MATCH(A3,'Formato Cronograma'!$N$13:$LJ$13,0)),Datos!A:D,4,FALSE)</f>
        <v>46156</v>
      </c>
      <c r="C3" s="26" t="s">
        <v>415</v>
      </c>
      <c r="D3" s="26" t="s">
        <v>421</v>
      </c>
      <c r="E3" s="24"/>
      <c r="F3" s="28"/>
      <c r="G3" s="28"/>
      <c r="H3" s="25"/>
      <c r="I3" s="28"/>
      <c r="J3" s="28"/>
      <c r="K3" s="28"/>
      <c r="L3" s="28"/>
      <c r="M3" s="28"/>
      <c r="N3" s="24"/>
      <c r="O3" s="24"/>
      <c r="P3" s="24"/>
    </row>
    <row r="4" spans="1:16" ht="15" customHeight="1" x14ac:dyDescent="0.3">
      <c r="A4" s="26">
        <v>2</v>
      </c>
      <c r="B4" s="27">
        <f>VLOOKUP((MATCH(A4,'Formato Cronograma'!$N$13:$LJ$13,0)),Datos!A:D,4,FALSE)</f>
        <v>46161</v>
      </c>
      <c r="C4" s="26" t="s">
        <v>417</v>
      </c>
      <c r="D4" s="26" t="s">
        <v>422</v>
      </c>
      <c r="E4" s="24"/>
      <c r="F4" s="29"/>
      <c r="G4" s="30"/>
      <c r="H4" s="29"/>
      <c r="I4" s="29"/>
      <c r="J4" s="29"/>
      <c r="K4" s="31"/>
      <c r="L4" s="31"/>
      <c r="M4" s="29"/>
      <c r="N4" s="24"/>
      <c r="O4" s="24"/>
      <c r="P4" s="24"/>
    </row>
    <row r="5" spans="1:16" ht="15" customHeight="1" x14ac:dyDescent="0.3">
      <c r="A5" s="26">
        <v>3</v>
      </c>
      <c r="B5" s="27">
        <f>VLOOKUP((MATCH(A5,'Formato Cronograma'!$N$13:$LJ$13,0)),Datos!A:D,4,FALSE)</f>
        <v>46163</v>
      </c>
      <c r="C5" s="26" t="s">
        <v>417</v>
      </c>
      <c r="D5" s="26" t="s">
        <v>422</v>
      </c>
      <c r="E5" s="24"/>
      <c r="F5" s="29"/>
      <c r="G5" s="30"/>
      <c r="H5" s="29"/>
      <c r="I5" s="29"/>
      <c r="J5" s="29"/>
      <c r="K5" s="31"/>
      <c r="L5" s="31"/>
      <c r="M5" s="29"/>
      <c r="N5" s="24"/>
      <c r="O5" s="24"/>
      <c r="P5" s="24"/>
    </row>
    <row r="6" spans="1:16" ht="15" customHeight="1" x14ac:dyDescent="0.3">
      <c r="A6" s="26">
        <v>4</v>
      </c>
      <c r="B6" s="27">
        <f>VLOOKUP((MATCH(A6,'Formato Cronograma'!$N$13:$LJ$13,0)),Datos!A:D,4,FALSE)</f>
        <v>46168</v>
      </c>
      <c r="C6" s="26" t="s">
        <v>417</v>
      </c>
      <c r="D6" s="26" t="s">
        <v>422</v>
      </c>
      <c r="E6" s="24"/>
      <c r="F6" s="29"/>
      <c r="G6" s="30"/>
      <c r="H6" s="29"/>
      <c r="I6" s="29"/>
      <c r="J6" s="29"/>
      <c r="K6" s="31"/>
      <c r="L6" s="31"/>
      <c r="M6" s="29"/>
      <c r="N6" s="24"/>
      <c r="O6" s="24"/>
      <c r="P6" s="24"/>
    </row>
    <row r="7" spans="1:16" ht="15" customHeight="1" x14ac:dyDescent="0.3">
      <c r="A7" s="26">
        <v>5</v>
      </c>
      <c r="B7" s="27">
        <f>VLOOKUP((MATCH(A7,'Formato Cronograma'!$N$13:$LJ$13,0)),Datos!A:D,4,FALSE)</f>
        <v>46170</v>
      </c>
      <c r="C7" s="26" t="s">
        <v>417</v>
      </c>
      <c r="D7" s="26" t="s">
        <v>422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</row>
    <row r="8" spans="1:16" ht="15" customHeight="1" x14ac:dyDescent="0.3">
      <c r="A8" s="26">
        <v>6</v>
      </c>
      <c r="B8" s="27">
        <f>VLOOKUP((MATCH(A8,'Formato Cronograma'!$N$13:$LJ$13,0)),Datos!A:D,4,FALSE)</f>
        <v>46175</v>
      </c>
      <c r="C8" s="26" t="s">
        <v>417</v>
      </c>
      <c r="D8" s="26" t="s">
        <v>422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spans="1:16" ht="15" customHeight="1" x14ac:dyDescent="0.3">
      <c r="A9" s="26">
        <v>7</v>
      </c>
      <c r="B9" s="27">
        <f>VLOOKUP((MATCH(A9,'Formato Cronograma'!$N$13:$LJ$13,0)),Datos!A:D,4,FALSE)</f>
        <v>46177</v>
      </c>
      <c r="C9" s="26" t="s">
        <v>417</v>
      </c>
      <c r="D9" s="26" t="s">
        <v>422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 ht="15" customHeight="1" x14ac:dyDescent="0.3">
      <c r="A10" s="26">
        <v>8</v>
      </c>
      <c r="B10" s="27">
        <f>VLOOKUP((MATCH(A10,'Formato Cronograma'!$N$13:$LJ$13,0)),Datos!A:D,4,FALSE)</f>
        <v>46184</v>
      </c>
      <c r="C10" s="26" t="s">
        <v>417</v>
      </c>
      <c r="D10" s="26" t="s">
        <v>422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6" ht="14.4" x14ac:dyDescent="0.3">
      <c r="A11" s="26">
        <v>9</v>
      </c>
      <c r="B11" s="27">
        <f>VLOOKUP((MATCH(A11,'Formato Cronograma'!$N$13:$LJ$13,0)),Datos!A:D,4,FALSE)</f>
        <v>46189</v>
      </c>
      <c r="C11" s="26" t="s">
        <v>417</v>
      </c>
      <c r="D11" s="26" t="s">
        <v>422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spans="1:16" ht="14.4" x14ac:dyDescent="0.3">
      <c r="A12" s="26">
        <v>10</v>
      </c>
      <c r="B12" s="27">
        <f>VLOOKUP((MATCH(A12,'Formato Cronograma'!$N$13:$LJ$13,0)),Datos!A:D,4,FALSE)</f>
        <v>46196</v>
      </c>
      <c r="C12" s="26" t="s">
        <v>417</v>
      </c>
      <c r="D12" s="26" t="s">
        <v>422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spans="1:16" ht="14.4" x14ac:dyDescent="0.3">
      <c r="A13" s="26">
        <v>11</v>
      </c>
      <c r="B13" s="27">
        <f>VLOOKUP((MATCH(A13,'Formato Cronograma'!$N$13:$LJ$13,0)),Datos!A:D,4,FALSE)</f>
        <v>46198</v>
      </c>
      <c r="C13" s="26" t="s">
        <v>417</v>
      </c>
      <c r="D13" s="26" t="s">
        <v>422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1:16" ht="14.4" x14ac:dyDescent="0.3">
      <c r="A14" s="26">
        <v>12</v>
      </c>
      <c r="B14" s="27">
        <f>VLOOKUP((MATCH(A14,'Formato Cronograma'!$N$13:$LJ$13,0)),Datos!A:D,4,FALSE)</f>
        <v>46205</v>
      </c>
      <c r="C14" s="26" t="s">
        <v>417</v>
      </c>
      <c r="D14" s="26" t="s">
        <v>422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</row>
    <row r="15" spans="1:16" ht="14.4" x14ac:dyDescent="0.3">
      <c r="A15" s="26">
        <v>13</v>
      </c>
      <c r="B15" s="27">
        <f>VLOOKUP((MATCH(A15,'Formato Cronograma'!$N$13:$LJ$13,0)),Datos!A:D,4,FALSE)</f>
        <v>46210</v>
      </c>
      <c r="C15" s="26" t="s">
        <v>417</v>
      </c>
      <c r="D15" s="26" t="s">
        <v>422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</row>
    <row r="16" spans="1:16" ht="14.4" x14ac:dyDescent="0.3">
      <c r="A16" s="26">
        <v>14</v>
      </c>
      <c r="B16" s="27">
        <f>VLOOKUP((MATCH(A16,'Formato Cronograma'!$N$13:$LJ$13,0)),Datos!A:D,4,FALSE)</f>
        <v>46212</v>
      </c>
      <c r="C16" s="26" t="s">
        <v>417</v>
      </c>
      <c r="D16" s="26" t="s">
        <v>422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6" ht="14.4" x14ac:dyDescent="0.3">
      <c r="A17" s="26">
        <v>15</v>
      </c>
      <c r="B17" s="27">
        <f>VLOOKUP((MATCH(A17,'Formato Cronograma'!$N$13:$LJ$13,0)),Datos!A:D,4,FALSE)</f>
        <v>46217</v>
      </c>
      <c r="C17" s="26" t="s">
        <v>415</v>
      </c>
      <c r="D17" s="26" t="s">
        <v>421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</row>
    <row r="18" spans="1:16" ht="14.4" x14ac:dyDescent="0.3">
      <c r="A18" s="24"/>
      <c r="B18" s="32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</row>
    <row r="19" spans="1:16" ht="14.4" x14ac:dyDescent="0.3">
      <c r="A19" s="24"/>
      <c r="B19" s="32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spans="1:16" ht="14.4" x14ac:dyDescent="0.3">
      <c r="A20" s="24"/>
      <c r="B20" s="32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 ht="15.75" customHeight="1" x14ac:dyDescent="0.3">
      <c r="A21" s="24"/>
      <c r="B21" s="32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spans="1:16" ht="15.75" customHeight="1" x14ac:dyDescent="0.3">
      <c r="A22" s="24"/>
      <c r="B22" s="32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</row>
    <row r="23" spans="1:16" ht="15.75" customHeight="1" x14ac:dyDescent="0.3">
      <c r="A23" s="24"/>
      <c r="B23" s="32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4" spans="1:16" ht="15.75" customHeight="1" x14ac:dyDescent="0.3">
      <c r="A24" s="24"/>
      <c r="B24" s="32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  <row r="25" spans="1:16" ht="15.75" customHeight="1" x14ac:dyDescent="0.3">
      <c r="A25" s="24"/>
      <c r="B25" s="32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16" ht="15.75" customHeight="1" x14ac:dyDescent="0.3">
      <c r="A26" s="24"/>
      <c r="B26" s="32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</row>
    <row r="27" spans="1:16" ht="15.75" customHeight="1" x14ac:dyDescent="0.3">
      <c r="A27" s="24"/>
      <c r="B27" s="32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</row>
    <row r="28" spans="1:16" ht="15.75" customHeight="1" x14ac:dyDescent="0.3">
      <c r="A28" s="24"/>
      <c r="B28" s="32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</row>
    <row r="29" spans="1:16" ht="15.75" customHeight="1" x14ac:dyDescent="0.3">
      <c r="A29" s="24"/>
      <c r="B29" s="32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</row>
    <row r="30" spans="1:16" ht="15.75" customHeight="1" x14ac:dyDescent="0.3">
      <c r="A30" s="24"/>
      <c r="B30" s="32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</row>
    <row r="31" spans="1:16" ht="15.75" customHeight="1" x14ac:dyDescent="0.3">
      <c r="A31" s="24"/>
      <c r="B31" s="32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</row>
    <row r="32" spans="1:16" ht="15.75" customHeight="1" x14ac:dyDescent="0.3">
      <c r="A32" s="24"/>
      <c r="B32" s="32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</row>
    <row r="33" spans="1:16" ht="15.75" customHeight="1" x14ac:dyDescent="0.3">
      <c r="A33" s="24"/>
      <c r="B33" s="32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</row>
    <row r="34" spans="1:16" ht="15.75" customHeight="1" x14ac:dyDescent="0.3">
      <c r="A34" s="24"/>
      <c r="B34" s="32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spans="1:16" ht="15.75" customHeight="1" x14ac:dyDescent="0.3">
      <c r="A35" s="24"/>
      <c r="B35" s="32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</row>
    <row r="36" spans="1:16" ht="15.75" customHeight="1" x14ac:dyDescent="0.3">
      <c r="A36" s="24"/>
      <c r="B36" s="32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</row>
    <row r="37" spans="1:16" ht="15.75" customHeight="1" x14ac:dyDescent="0.3">
      <c r="A37" s="24"/>
      <c r="B37" s="32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</row>
    <row r="38" spans="1:16" ht="15.75" customHeight="1" x14ac:dyDescent="0.3">
      <c r="A38" s="24"/>
      <c r="B38" s="32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</row>
    <row r="39" spans="1:16" ht="15.75" customHeight="1" x14ac:dyDescent="0.3">
      <c r="A39" s="24"/>
      <c r="B39" s="32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</row>
    <row r="40" spans="1:16" ht="15.75" customHeight="1" x14ac:dyDescent="0.3">
      <c r="A40" s="24"/>
      <c r="B40" s="32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</row>
    <row r="41" spans="1:16" ht="15.75" customHeight="1" x14ac:dyDescent="0.3">
      <c r="A41" s="24"/>
      <c r="B41" s="32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</row>
    <row r="42" spans="1:16" ht="15.75" customHeight="1" x14ac:dyDescent="0.3">
      <c r="A42" s="24"/>
      <c r="B42" s="32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</row>
    <row r="43" spans="1:16" ht="15.75" customHeight="1" x14ac:dyDescent="0.3">
      <c r="A43" s="24"/>
      <c r="B43" s="32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</row>
    <row r="44" spans="1:16" ht="15.75" customHeight="1" x14ac:dyDescent="0.3">
      <c r="A44" s="24"/>
      <c r="B44" s="32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</row>
    <row r="45" spans="1:16" ht="15.75" customHeight="1" x14ac:dyDescent="0.3">
      <c r="A45" s="24"/>
      <c r="B45" s="32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</row>
    <row r="46" spans="1:16" ht="15.75" customHeight="1" x14ac:dyDescent="0.3">
      <c r="A46" s="24"/>
      <c r="B46" s="32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</row>
    <row r="47" spans="1:16" ht="15.75" customHeight="1" x14ac:dyDescent="0.3">
      <c r="A47" s="24"/>
      <c r="B47" s="32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</row>
    <row r="48" spans="1:16" ht="15.75" customHeight="1" x14ac:dyDescent="0.3">
      <c r="A48" s="24"/>
      <c r="B48" s="32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</row>
    <row r="49" spans="1:16" ht="15.75" customHeight="1" x14ac:dyDescent="0.3">
      <c r="A49" s="24"/>
      <c r="B49" s="32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</row>
    <row r="50" spans="1:16" ht="15.75" customHeight="1" x14ac:dyDescent="0.3">
      <c r="A50" s="24"/>
      <c r="B50" s="32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</row>
    <row r="51" spans="1:16" ht="15.75" customHeight="1" x14ac:dyDescent="0.3">
      <c r="A51" s="24"/>
      <c r="B51" s="32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</row>
    <row r="52" spans="1:16" ht="15.75" customHeight="1" x14ac:dyDescent="0.3">
      <c r="A52" s="24"/>
      <c r="B52" s="32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</row>
    <row r="53" spans="1:16" ht="15.75" customHeight="1" x14ac:dyDescent="0.3">
      <c r="A53" s="24"/>
      <c r="B53" s="32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</row>
    <row r="54" spans="1:16" ht="15.75" customHeight="1" x14ac:dyDescent="0.3">
      <c r="A54" s="24"/>
      <c r="B54" s="32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1:16" ht="15.75" customHeight="1" x14ac:dyDescent="0.3">
      <c r="A55" s="24"/>
      <c r="B55" s="32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</row>
    <row r="56" spans="1:16" ht="15.75" customHeight="1" x14ac:dyDescent="0.3">
      <c r="A56" s="24"/>
      <c r="B56" s="32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</row>
    <row r="57" spans="1:16" ht="15.75" customHeight="1" x14ac:dyDescent="0.3">
      <c r="A57" s="24"/>
      <c r="B57" s="32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</row>
    <row r="58" spans="1:16" ht="15.75" customHeight="1" x14ac:dyDescent="0.3">
      <c r="A58" s="24"/>
      <c r="B58" s="32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</row>
    <row r="59" spans="1:16" ht="15.75" customHeight="1" x14ac:dyDescent="0.3">
      <c r="A59" s="24"/>
      <c r="B59" s="32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</row>
    <row r="60" spans="1:16" ht="15.75" customHeight="1" x14ac:dyDescent="0.3">
      <c r="A60" s="24"/>
      <c r="B60" s="32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</row>
    <row r="61" spans="1:16" ht="15.75" customHeight="1" x14ac:dyDescent="0.3">
      <c r="A61" s="24"/>
      <c r="B61" s="32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</row>
    <row r="62" spans="1:16" ht="15.75" customHeight="1" x14ac:dyDescent="0.3">
      <c r="A62" s="24"/>
      <c r="B62" s="32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</row>
    <row r="63" spans="1:16" ht="15.75" customHeight="1" x14ac:dyDescent="0.3">
      <c r="A63" s="24"/>
      <c r="B63" s="32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</row>
    <row r="64" spans="1:16" ht="15.75" customHeight="1" x14ac:dyDescent="0.3">
      <c r="A64" s="24"/>
      <c r="B64" s="32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</row>
    <row r="65" spans="1:16" ht="15.75" customHeight="1" x14ac:dyDescent="0.3">
      <c r="A65" s="24"/>
      <c r="B65" s="32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</row>
    <row r="66" spans="1:16" ht="15.75" customHeight="1" x14ac:dyDescent="0.3">
      <c r="A66" s="24"/>
      <c r="B66" s="32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</row>
    <row r="67" spans="1:16" ht="15.75" customHeight="1" x14ac:dyDescent="0.3">
      <c r="A67" s="24"/>
      <c r="B67" s="32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</row>
    <row r="68" spans="1:16" ht="15.75" customHeight="1" x14ac:dyDescent="0.3">
      <c r="A68" s="24"/>
      <c r="B68" s="32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</row>
    <row r="69" spans="1:16" ht="15.75" customHeight="1" x14ac:dyDescent="0.3">
      <c r="A69" s="24"/>
      <c r="B69" s="32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</row>
    <row r="70" spans="1:16" ht="15.75" customHeight="1" x14ac:dyDescent="0.3">
      <c r="A70" s="24"/>
      <c r="B70" s="32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</row>
    <row r="71" spans="1:16" ht="15.75" customHeight="1" x14ac:dyDescent="0.3">
      <c r="A71" s="24"/>
      <c r="B71" s="32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</row>
    <row r="72" spans="1:16" ht="15.75" customHeight="1" x14ac:dyDescent="0.3">
      <c r="A72" s="24"/>
      <c r="B72" s="32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</row>
    <row r="73" spans="1:16" ht="15.75" customHeight="1" x14ac:dyDescent="0.3">
      <c r="A73" s="24"/>
      <c r="B73" s="32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</row>
    <row r="74" spans="1:16" ht="15.75" customHeight="1" x14ac:dyDescent="0.3">
      <c r="A74" s="24"/>
      <c r="B74" s="32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</row>
    <row r="75" spans="1:16" ht="15.75" customHeight="1" x14ac:dyDescent="0.3">
      <c r="A75" s="24"/>
      <c r="B75" s="32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</row>
    <row r="76" spans="1:16" ht="15.75" customHeight="1" x14ac:dyDescent="0.3">
      <c r="A76" s="24"/>
      <c r="B76" s="32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</row>
    <row r="77" spans="1:16" ht="15.75" customHeight="1" x14ac:dyDescent="0.3">
      <c r="A77" s="24"/>
      <c r="B77" s="32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</row>
    <row r="78" spans="1:16" ht="15.75" customHeight="1" x14ac:dyDescent="0.3">
      <c r="A78" s="24"/>
      <c r="B78" s="32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</row>
    <row r="79" spans="1:16" ht="15.75" customHeight="1" x14ac:dyDescent="0.3">
      <c r="A79" s="24"/>
      <c r="B79" s="32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</row>
    <row r="80" spans="1:16" ht="15.75" customHeight="1" x14ac:dyDescent="0.3">
      <c r="A80" s="24"/>
      <c r="B80" s="32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</row>
    <row r="81" spans="1:16" ht="15.75" customHeight="1" x14ac:dyDescent="0.3">
      <c r="A81" s="24"/>
      <c r="B81" s="32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</row>
    <row r="82" spans="1:16" ht="15.75" customHeight="1" x14ac:dyDescent="0.3">
      <c r="A82" s="24"/>
      <c r="B82" s="32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</row>
    <row r="83" spans="1:16" ht="15.75" customHeight="1" x14ac:dyDescent="0.3">
      <c r="A83" s="24"/>
      <c r="B83" s="32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</row>
    <row r="84" spans="1:16" ht="15.75" customHeight="1" x14ac:dyDescent="0.3">
      <c r="A84" s="24"/>
      <c r="B84" s="32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</row>
    <row r="85" spans="1:16" ht="15.75" customHeight="1" x14ac:dyDescent="0.3">
      <c r="A85" s="24"/>
      <c r="B85" s="32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</row>
    <row r="86" spans="1:16" ht="15.75" customHeight="1" x14ac:dyDescent="0.3">
      <c r="A86" s="24"/>
      <c r="B86" s="32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</row>
    <row r="87" spans="1:16" ht="15.75" customHeight="1" x14ac:dyDescent="0.3">
      <c r="A87" s="24"/>
      <c r="B87" s="32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</row>
    <row r="88" spans="1:16" ht="15.75" customHeight="1" x14ac:dyDescent="0.3">
      <c r="A88" s="24"/>
      <c r="B88" s="32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</row>
    <row r="89" spans="1:16" ht="15.75" customHeight="1" x14ac:dyDescent="0.3">
      <c r="A89" s="24"/>
      <c r="B89" s="32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</row>
    <row r="90" spans="1:16" ht="15.75" customHeight="1" x14ac:dyDescent="0.3">
      <c r="A90" s="24"/>
      <c r="B90" s="32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</row>
    <row r="91" spans="1:16" ht="15.75" customHeight="1" x14ac:dyDescent="0.3">
      <c r="A91" s="24"/>
      <c r="B91" s="32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</row>
    <row r="92" spans="1:16" ht="15.75" customHeight="1" x14ac:dyDescent="0.3">
      <c r="A92" s="24"/>
      <c r="B92" s="32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</row>
    <row r="93" spans="1:16" ht="15.75" customHeight="1" x14ac:dyDescent="0.3">
      <c r="A93" s="24"/>
      <c r="B93" s="32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</row>
    <row r="94" spans="1:16" ht="15.75" customHeight="1" x14ac:dyDescent="0.3">
      <c r="A94" s="24"/>
      <c r="B94" s="32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</row>
    <row r="95" spans="1:16" ht="15.75" customHeight="1" x14ac:dyDescent="0.3">
      <c r="A95" s="24"/>
      <c r="B95" s="32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</row>
    <row r="96" spans="1:16" ht="15.75" customHeight="1" x14ac:dyDescent="0.3">
      <c r="A96" s="24"/>
      <c r="B96" s="32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</row>
    <row r="97" spans="1:16" ht="15.75" customHeight="1" x14ac:dyDescent="0.3">
      <c r="A97" s="24"/>
      <c r="B97" s="32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</row>
    <row r="98" spans="1:16" ht="15.75" customHeight="1" x14ac:dyDescent="0.3">
      <c r="A98" s="24"/>
      <c r="B98" s="32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</row>
    <row r="99" spans="1:16" ht="15.75" customHeight="1" x14ac:dyDescent="0.3">
      <c r="A99" s="24"/>
      <c r="B99" s="32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</row>
    <row r="100" spans="1:16" ht="15.75" customHeight="1" x14ac:dyDescent="0.3">
      <c r="A100" s="24"/>
      <c r="B100" s="32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</row>
    <row r="101" spans="1:16" ht="15.75" customHeight="1" x14ac:dyDescent="0.3">
      <c r="A101" s="24"/>
      <c r="B101" s="32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</row>
    <row r="102" spans="1:16" ht="15.75" customHeight="1" x14ac:dyDescent="0.3">
      <c r="A102" s="24"/>
      <c r="B102" s="32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</row>
    <row r="103" spans="1:16" ht="15.75" customHeight="1" x14ac:dyDescent="0.3">
      <c r="A103" s="24"/>
      <c r="B103" s="32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</row>
    <row r="104" spans="1:16" ht="15.75" customHeight="1" x14ac:dyDescent="0.3">
      <c r="A104" s="24"/>
      <c r="B104" s="32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</row>
    <row r="105" spans="1:16" ht="15.75" customHeight="1" x14ac:dyDescent="0.3">
      <c r="A105" s="24"/>
      <c r="B105" s="32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</row>
    <row r="106" spans="1:16" ht="15.75" customHeight="1" x14ac:dyDescent="0.3">
      <c r="A106" s="24"/>
      <c r="B106" s="32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</row>
    <row r="107" spans="1:16" ht="15.75" customHeight="1" x14ac:dyDescent="0.3">
      <c r="A107" s="24"/>
      <c r="B107" s="32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</row>
    <row r="108" spans="1:16" ht="15.75" customHeight="1" x14ac:dyDescent="0.3">
      <c r="A108" s="24"/>
      <c r="B108" s="32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</row>
    <row r="109" spans="1:16" ht="15.75" customHeight="1" x14ac:dyDescent="0.3">
      <c r="A109" s="24"/>
      <c r="B109" s="32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</row>
    <row r="110" spans="1:16" ht="15.75" customHeight="1" x14ac:dyDescent="0.3">
      <c r="A110" s="24"/>
      <c r="B110" s="32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</row>
    <row r="111" spans="1:16" ht="15.75" customHeight="1" x14ac:dyDescent="0.3">
      <c r="A111" s="24"/>
      <c r="B111" s="32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</row>
    <row r="112" spans="1:16" ht="15.75" customHeight="1" x14ac:dyDescent="0.3">
      <c r="A112" s="24"/>
      <c r="B112" s="32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</row>
    <row r="113" spans="1:16" ht="15.75" customHeight="1" x14ac:dyDescent="0.3">
      <c r="A113" s="24"/>
      <c r="B113" s="32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</row>
    <row r="114" spans="1:16" ht="15.75" customHeight="1" x14ac:dyDescent="0.3">
      <c r="A114" s="24"/>
      <c r="B114" s="32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</row>
    <row r="115" spans="1:16" ht="15.75" customHeight="1" x14ac:dyDescent="0.3">
      <c r="A115" s="24"/>
      <c r="B115" s="32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</row>
    <row r="116" spans="1:16" ht="15.75" customHeight="1" x14ac:dyDescent="0.3">
      <c r="A116" s="24"/>
      <c r="B116" s="32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</row>
    <row r="117" spans="1:16" ht="15.75" customHeight="1" x14ac:dyDescent="0.3">
      <c r="A117" s="24"/>
      <c r="B117" s="32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</row>
    <row r="118" spans="1:16" ht="15.75" customHeight="1" x14ac:dyDescent="0.3">
      <c r="A118" s="24"/>
      <c r="B118" s="32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</row>
    <row r="119" spans="1:16" ht="15.75" customHeight="1" x14ac:dyDescent="0.3">
      <c r="A119" s="24"/>
      <c r="B119" s="32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</row>
    <row r="120" spans="1:16" ht="15.75" customHeight="1" x14ac:dyDescent="0.3">
      <c r="A120" s="24"/>
      <c r="B120" s="32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</row>
    <row r="121" spans="1:16" ht="15.75" customHeight="1" x14ac:dyDescent="0.3">
      <c r="A121" s="24"/>
      <c r="B121" s="32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</row>
    <row r="122" spans="1:16" ht="15.75" customHeight="1" x14ac:dyDescent="0.3">
      <c r="A122" s="24"/>
      <c r="B122" s="32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</row>
    <row r="123" spans="1:16" ht="15.75" customHeight="1" x14ac:dyDescent="0.3">
      <c r="A123" s="24"/>
      <c r="B123" s="32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</row>
    <row r="124" spans="1:16" ht="15.75" customHeight="1" x14ac:dyDescent="0.3">
      <c r="A124" s="24"/>
      <c r="B124" s="32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</row>
    <row r="125" spans="1:16" ht="15.75" customHeight="1" x14ac:dyDescent="0.3">
      <c r="A125" s="24"/>
      <c r="B125" s="32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</row>
    <row r="126" spans="1:16" ht="15.75" customHeight="1" x14ac:dyDescent="0.3">
      <c r="A126" s="24"/>
      <c r="B126" s="32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</row>
    <row r="127" spans="1:16" ht="15.75" customHeight="1" x14ac:dyDescent="0.3">
      <c r="A127" s="24"/>
      <c r="B127" s="32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</row>
    <row r="128" spans="1:16" ht="15.75" customHeight="1" x14ac:dyDescent="0.3">
      <c r="A128" s="24"/>
      <c r="B128" s="32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</row>
    <row r="129" spans="1:16" ht="15.75" customHeight="1" x14ac:dyDescent="0.3">
      <c r="A129" s="24"/>
      <c r="B129" s="32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</row>
    <row r="130" spans="1:16" ht="15.75" customHeight="1" x14ac:dyDescent="0.3">
      <c r="A130" s="24"/>
      <c r="B130" s="32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</row>
    <row r="131" spans="1:16" ht="15.75" customHeight="1" x14ac:dyDescent="0.3">
      <c r="A131" s="24"/>
      <c r="B131" s="32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</row>
    <row r="132" spans="1:16" ht="15.75" customHeight="1" x14ac:dyDescent="0.3">
      <c r="A132" s="24"/>
      <c r="B132" s="32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</row>
    <row r="133" spans="1:16" ht="15.75" customHeight="1" x14ac:dyDescent="0.3">
      <c r="A133" s="24"/>
      <c r="B133" s="32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</row>
    <row r="134" spans="1:16" ht="15.75" customHeight="1" x14ac:dyDescent="0.3">
      <c r="A134" s="24"/>
      <c r="B134" s="32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</row>
    <row r="135" spans="1:16" ht="15.75" customHeight="1" x14ac:dyDescent="0.3">
      <c r="A135" s="24"/>
      <c r="B135" s="32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</row>
    <row r="136" spans="1:16" ht="15.75" customHeight="1" x14ac:dyDescent="0.3">
      <c r="A136" s="24"/>
      <c r="B136" s="32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</row>
    <row r="137" spans="1:16" ht="15.75" customHeight="1" x14ac:dyDescent="0.3">
      <c r="A137" s="24"/>
      <c r="B137" s="32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</row>
    <row r="138" spans="1:16" ht="15.75" customHeight="1" x14ac:dyDescent="0.3">
      <c r="A138" s="24"/>
      <c r="B138" s="32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</row>
    <row r="139" spans="1:16" ht="15.75" customHeight="1" x14ac:dyDescent="0.3">
      <c r="A139" s="24"/>
      <c r="B139" s="32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</row>
    <row r="140" spans="1:16" ht="15.75" customHeight="1" x14ac:dyDescent="0.3">
      <c r="A140" s="24"/>
      <c r="B140" s="32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</row>
    <row r="141" spans="1:16" ht="15.75" customHeight="1" x14ac:dyDescent="0.3">
      <c r="A141" s="24"/>
      <c r="B141" s="32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</row>
    <row r="142" spans="1:16" ht="15.75" customHeight="1" x14ac:dyDescent="0.3">
      <c r="A142" s="24"/>
      <c r="B142" s="32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</row>
    <row r="143" spans="1:16" ht="15.75" customHeight="1" x14ac:dyDescent="0.3">
      <c r="A143" s="24"/>
      <c r="B143" s="32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</row>
    <row r="144" spans="1:16" ht="15.75" customHeight="1" x14ac:dyDescent="0.3">
      <c r="A144" s="24"/>
      <c r="B144" s="32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</row>
    <row r="145" spans="1:16" ht="15.75" customHeight="1" x14ac:dyDescent="0.3">
      <c r="A145" s="24"/>
      <c r="B145" s="32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</row>
    <row r="146" spans="1:16" ht="15.75" customHeight="1" x14ac:dyDescent="0.3">
      <c r="A146" s="24"/>
      <c r="B146" s="32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</row>
    <row r="147" spans="1:16" ht="15.75" customHeight="1" x14ac:dyDescent="0.3">
      <c r="A147" s="24"/>
      <c r="B147" s="32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</row>
    <row r="148" spans="1:16" ht="15.75" customHeight="1" x14ac:dyDescent="0.3">
      <c r="A148" s="24"/>
      <c r="B148" s="32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</row>
    <row r="149" spans="1:16" ht="15.75" customHeight="1" x14ac:dyDescent="0.3">
      <c r="A149" s="24"/>
      <c r="B149" s="32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</row>
    <row r="150" spans="1:16" ht="15.75" customHeight="1" x14ac:dyDescent="0.3">
      <c r="A150" s="24"/>
      <c r="B150" s="32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</row>
    <row r="151" spans="1:16" ht="15.75" customHeight="1" x14ac:dyDescent="0.3">
      <c r="A151" s="24"/>
      <c r="B151" s="32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</row>
    <row r="152" spans="1:16" ht="15.75" customHeight="1" x14ac:dyDescent="0.3">
      <c r="A152" s="24"/>
      <c r="B152" s="32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</row>
    <row r="153" spans="1:16" ht="15.75" customHeight="1" x14ac:dyDescent="0.3">
      <c r="A153" s="24"/>
      <c r="B153" s="32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</row>
    <row r="154" spans="1:16" ht="15.75" customHeight="1" x14ac:dyDescent="0.3">
      <c r="A154" s="24"/>
      <c r="B154" s="32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</row>
    <row r="155" spans="1:16" ht="15.75" customHeight="1" x14ac:dyDescent="0.3">
      <c r="A155" s="24"/>
      <c r="B155" s="32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</row>
    <row r="156" spans="1:16" ht="15.75" customHeight="1" x14ac:dyDescent="0.3">
      <c r="A156" s="24"/>
      <c r="B156" s="32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</row>
    <row r="157" spans="1:16" ht="15.75" customHeight="1" x14ac:dyDescent="0.3">
      <c r="A157" s="24"/>
      <c r="B157" s="32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</row>
    <row r="158" spans="1:16" ht="15.75" customHeight="1" x14ac:dyDescent="0.3">
      <c r="A158" s="24"/>
      <c r="B158" s="32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</row>
    <row r="159" spans="1:16" ht="15.75" customHeight="1" x14ac:dyDescent="0.3">
      <c r="A159" s="24"/>
      <c r="B159" s="32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</row>
    <row r="160" spans="1:16" ht="15.75" customHeight="1" x14ac:dyDescent="0.3">
      <c r="A160" s="24"/>
      <c r="B160" s="32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</row>
    <row r="161" spans="1:16" ht="15.75" customHeight="1" x14ac:dyDescent="0.3">
      <c r="A161" s="24"/>
      <c r="B161" s="32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</row>
    <row r="162" spans="1:16" ht="15.75" customHeight="1" x14ac:dyDescent="0.3">
      <c r="A162" s="24"/>
      <c r="B162" s="32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</row>
    <row r="163" spans="1:16" ht="15.75" customHeight="1" x14ac:dyDescent="0.3">
      <c r="A163" s="24"/>
      <c r="B163" s="32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</row>
    <row r="164" spans="1:16" ht="15.75" customHeight="1" x14ac:dyDescent="0.3">
      <c r="A164" s="24"/>
      <c r="B164" s="32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</row>
    <row r="165" spans="1:16" ht="15.75" customHeight="1" x14ac:dyDescent="0.3">
      <c r="A165" s="24"/>
      <c r="B165" s="32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</row>
    <row r="166" spans="1:16" ht="15.75" customHeight="1" x14ac:dyDescent="0.3">
      <c r="A166" s="24"/>
      <c r="B166" s="32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</row>
    <row r="167" spans="1:16" ht="15.75" customHeight="1" x14ac:dyDescent="0.3">
      <c r="A167" s="24"/>
      <c r="B167" s="32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</row>
    <row r="168" spans="1:16" ht="15.75" customHeight="1" x14ac:dyDescent="0.3">
      <c r="A168" s="24"/>
      <c r="B168" s="32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</row>
    <row r="169" spans="1:16" ht="15.75" customHeight="1" x14ac:dyDescent="0.3">
      <c r="A169" s="24"/>
      <c r="B169" s="32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</row>
    <row r="170" spans="1:16" ht="15.75" customHeight="1" x14ac:dyDescent="0.3">
      <c r="A170" s="24"/>
      <c r="B170" s="32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</row>
    <row r="171" spans="1:16" ht="15.75" customHeight="1" x14ac:dyDescent="0.3">
      <c r="A171" s="24"/>
      <c r="B171" s="32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</row>
    <row r="172" spans="1:16" ht="15.75" customHeight="1" x14ac:dyDescent="0.3">
      <c r="A172" s="24"/>
      <c r="B172" s="32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</row>
    <row r="173" spans="1:16" ht="15.75" customHeight="1" x14ac:dyDescent="0.3">
      <c r="A173" s="24"/>
      <c r="B173" s="32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</row>
    <row r="174" spans="1:16" ht="15.75" customHeight="1" x14ac:dyDescent="0.3">
      <c r="A174" s="24"/>
      <c r="B174" s="32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</row>
    <row r="175" spans="1:16" ht="15.75" customHeight="1" x14ac:dyDescent="0.3">
      <c r="A175" s="24"/>
      <c r="B175" s="32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</row>
    <row r="176" spans="1:16" ht="15.75" customHeight="1" x14ac:dyDescent="0.3">
      <c r="A176" s="24"/>
      <c r="B176" s="32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</row>
    <row r="177" spans="1:16" ht="15.75" customHeight="1" x14ac:dyDescent="0.3">
      <c r="A177" s="24"/>
      <c r="B177" s="32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</row>
    <row r="178" spans="1:16" ht="15.75" customHeight="1" x14ac:dyDescent="0.3">
      <c r="A178" s="24"/>
      <c r="B178" s="32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</row>
    <row r="179" spans="1:16" ht="15.75" customHeight="1" x14ac:dyDescent="0.3">
      <c r="A179" s="24"/>
      <c r="B179" s="32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</row>
    <row r="180" spans="1:16" ht="15.75" customHeight="1" x14ac:dyDescent="0.3">
      <c r="A180" s="24"/>
      <c r="B180" s="32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</row>
    <row r="181" spans="1:16" ht="15.75" customHeight="1" x14ac:dyDescent="0.3">
      <c r="A181" s="24"/>
      <c r="B181" s="32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</row>
    <row r="182" spans="1:16" ht="15.75" customHeight="1" x14ac:dyDescent="0.3">
      <c r="A182" s="24"/>
      <c r="B182" s="32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</row>
    <row r="183" spans="1:16" ht="15.75" customHeight="1" x14ac:dyDescent="0.3">
      <c r="A183" s="24"/>
      <c r="B183" s="32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</row>
    <row r="184" spans="1:16" ht="15.75" customHeight="1" x14ac:dyDescent="0.3">
      <c r="A184" s="24"/>
      <c r="B184" s="32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</row>
    <row r="185" spans="1:16" ht="15.75" customHeight="1" x14ac:dyDescent="0.3">
      <c r="A185" s="24"/>
      <c r="B185" s="32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</row>
    <row r="186" spans="1:16" ht="15.75" customHeight="1" x14ac:dyDescent="0.3">
      <c r="A186" s="24"/>
      <c r="B186" s="32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</row>
    <row r="187" spans="1:16" ht="15.75" customHeight="1" x14ac:dyDescent="0.3">
      <c r="A187" s="24"/>
      <c r="B187" s="32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</row>
    <row r="188" spans="1:16" ht="15.75" customHeight="1" x14ac:dyDescent="0.3">
      <c r="A188" s="24"/>
      <c r="B188" s="32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</row>
    <row r="189" spans="1:16" ht="15.75" customHeight="1" x14ac:dyDescent="0.3">
      <c r="A189" s="24"/>
      <c r="B189" s="32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</row>
    <row r="190" spans="1:16" ht="15.75" customHeight="1" x14ac:dyDescent="0.3">
      <c r="A190" s="24"/>
      <c r="B190" s="32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</row>
    <row r="191" spans="1:16" ht="15.75" customHeight="1" x14ac:dyDescent="0.3">
      <c r="A191" s="24"/>
      <c r="B191" s="32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</row>
    <row r="192" spans="1:16" ht="15.75" customHeight="1" x14ac:dyDescent="0.3">
      <c r="A192" s="24"/>
      <c r="B192" s="32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</row>
    <row r="193" spans="1:16" ht="15.75" customHeight="1" x14ac:dyDescent="0.3">
      <c r="A193" s="24"/>
      <c r="B193" s="32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</row>
    <row r="194" spans="1:16" ht="15.75" customHeight="1" x14ac:dyDescent="0.3">
      <c r="A194" s="24"/>
      <c r="B194" s="32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</row>
    <row r="195" spans="1:16" ht="15.75" customHeight="1" x14ac:dyDescent="0.3">
      <c r="A195" s="24"/>
      <c r="B195" s="32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</row>
    <row r="196" spans="1:16" ht="15.75" customHeight="1" x14ac:dyDescent="0.3">
      <c r="A196" s="24"/>
      <c r="B196" s="32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</row>
    <row r="197" spans="1:16" ht="15.75" customHeight="1" x14ac:dyDescent="0.3">
      <c r="A197" s="24"/>
      <c r="B197" s="32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</row>
    <row r="198" spans="1:16" ht="15.75" customHeight="1" x14ac:dyDescent="0.3">
      <c r="A198" s="24"/>
      <c r="B198" s="32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</row>
    <row r="199" spans="1:16" ht="15.75" customHeight="1" x14ac:dyDescent="0.3">
      <c r="A199" s="24"/>
      <c r="B199" s="32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</row>
    <row r="200" spans="1:16" ht="15.75" customHeight="1" x14ac:dyDescent="0.3">
      <c r="A200" s="24"/>
      <c r="B200" s="32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</row>
    <row r="201" spans="1:16" ht="15.75" customHeight="1" x14ac:dyDescent="0.3">
      <c r="A201" s="24"/>
      <c r="B201" s="32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</row>
    <row r="202" spans="1:16" ht="15.75" customHeight="1" x14ac:dyDescent="0.3">
      <c r="A202" s="24"/>
      <c r="B202" s="32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</row>
    <row r="203" spans="1:16" ht="15.75" customHeight="1" x14ac:dyDescent="0.3">
      <c r="A203" s="24"/>
      <c r="B203" s="32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</row>
    <row r="204" spans="1:16" ht="15.75" customHeight="1" x14ac:dyDescent="0.3">
      <c r="A204" s="24"/>
      <c r="B204" s="32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</row>
    <row r="205" spans="1:16" ht="15.75" customHeight="1" x14ac:dyDescent="0.3">
      <c r="A205" s="24"/>
      <c r="B205" s="32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</row>
    <row r="206" spans="1:16" ht="15.75" customHeight="1" x14ac:dyDescent="0.3">
      <c r="A206" s="24"/>
      <c r="B206" s="32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</row>
    <row r="207" spans="1:16" ht="15.75" customHeight="1" x14ac:dyDescent="0.3">
      <c r="A207" s="24"/>
      <c r="B207" s="32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</row>
    <row r="208" spans="1:16" ht="15.75" customHeight="1" x14ac:dyDescent="0.3">
      <c r="A208" s="24"/>
      <c r="B208" s="32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</row>
    <row r="209" spans="1:16" ht="15.75" customHeight="1" x14ac:dyDescent="0.3">
      <c r="A209" s="24"/>
      <c r="B209" s="32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</row>
    <row r="210" spans="1:16" ht="15.75" customHeight="1" x14ac:dyDescent="0.3">
      <c r="A210" s="24"/>
      <c r="B210" s="32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</row>
    <row r="211" spans="1:16" ht="15.75" customHeight="1" x14ac:dyDescent="0.3">
      <c r="A211" s="24"/>
      <c r="B211" s="32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</row>
    <row r="212" spans="1:16" ht="15.75" customHeight="1" x14ac:dyDescent="0.3">
      <c r="A212" s="24"/>
      <c r="B212" s="32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</row>
    <row r="213" spans="1:16" ht="15.75" customHeight="1" x14ac:dyDescent="0.3">
      <c r="A213" s="24"/>
      <c r="B213" s="32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</row>
    <row r="214" spans="1:16" ht="15.75" customHeight="1" x14ac:dyDescent="0.3">
      <c r="A214" s="24"/>
      <c r="B214" s="32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</row>
    <row r="215" spans="1:16" ht="15.75" customHeight="1" x14ac:dyDescent="0.3">
      <c r="A215" s="24"/>
      <c r="B215" s="32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</row>
    <row r="216" spans="1:16" ht="15.75" customHeight="1" x14ac:dyDescent="0.3">
      <c r="A216" s="24"/>
      <c r="B216" s="32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</row>
    <row r="217" spans="1:16" ht="15.75" customHeight="1" x14ac:dyDescent="0.3">
      <c r="A217" s="24"/>
      <c r="B217" s="32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</row>
    <row r="218" spans="1:16" ht="15.75" customHeight="1" x14ac:dyDescent="0.3">
      <c r="A218" s="24"/>
      <c r="B218" s="32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</row>
    <row r="219" spans="1:16" ht="15.75" customHeight="1" x14ac:dyDescent="0.3">
      <c r="A219" s="24"/>
      <c r="B219" s="32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</row>
    <row r="220" spans="1:16" ht="15.75" customHeight="1" x14ac:dyDescent="0.3">
      <c r="A220" s="24"/>
      <c r="B220" s="32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</row>
    <row r="221" spans="1:16" ht="15.75" customHeight="1" x14ac:dyDescent="0.3">
      <c r="B221" s="33"/>
    </row>
    <row r="222" spans="1:16" ht="15.75" customHeight="1" x14ac:dyDescent="0.3">
      <c r="B222" s="33"/>
    </row>
    <row r="223" spans="1:16" ht="15.75" customHeight="1" x14ac:dyDescent="0.3">
      <c r="B223" s="33"/>
    </row>
    <row r="224" spans="1:16" ht="15.75" customHeight="1" x14ac:dyDescent="0.3">
      <c r="B224" s="33"/>
    </row>
    <row r="225" spans="2:2" ht="15.75" customHeight="1" x14ac:dyDescent="0.3">
      <c r="B225" s="33"/>
    </row>
    <row r="226" spans="2:2" ht="15.75" customHeight="1" x14ac:dyDescent="0.3">
      <c r="B226" s="33"/>
    </row>
    <row r="227" spans="2:2" ht="15.75" customHeight="1" x14ac:dyDescent="0.3">
      <c r="B227" s="33"/>
    </row>
    <row r="228" spans="2:2" ht="15.75" customHeight="1" x14ac:dyDescent="0.3">
      <c r="B228" s="33"/>
    </row>
    <row r="229" spans="2:2" ht="15.75" customHeight="1" x14ac:dyDescent="0.3">
      <c r="B229" s="33"/>
    </row>
    <row r="230" spans="2:2" ht="15.75" customHeight="1" x14ac:dyDescent="0.3">
      <c r="B230" s="33"/>
    </row>
    <row r="231" spans="2:2" ht="15.75" customHeight="1" x14ac:dyDescent="0.3">
      <c r="B231" s="33"/>
    </row>
    <row r="232" spans="2:2" ht="15.75" customHeight="1" x14ac:dyDescent="0.3">
      <c r="B232" s="33"/>
    </row>
    <row r="233" spans="2:2" ht="15.75" customHeight="1" x14ac:dyDescent="0.3">
      <c r="B233" s="33"/>
    </row>
    <row r="234" spans="2:2" ht="15.75" customHeight="1" x14ac:dyDescent="0.3">
      <c r="B234" s="33"/>
    </row>
    <row r="235" spans="2:2" ht="15.75" customHeight="1" x14ac:dyDescent="0.3">
      <c r="B235" s="33"/>
    </row>
    <row r="236" spans="2:2" ht="15.75" customHeight="1" x14ac:dyDescent="0.3">
      <c r="B236" s="33"/>
    </row>
    <row r="237" spans="2:2" ht="15.75" customHeight="1" x14ac:dyDescent="0.3">
      <c r="B237" s="33"/>
    </row>
    <row r="238" spans="2:2" ht="15.75" customHeight="1" x14ac:dyDescent="0.3">
      <c r="B238" s="33"/>
    </row>
    <row r="239" spans="2:2" ht="15.75" customHeight="1" x14ac:dyDescent="0.3">
      <c r="B239" s="33"/>
    </row>
    <row r="240" spans="2:2" ht="15.75" customHeight="1" x14ac:dyDescent="0.3">
      <c r="B240" s="33"/>
    </row>
    <row r="241" spans="2:2" ht="15.75" customHeight="1" x14ac:dyDescent="0.3">
      <c r="B241" s="33"/>
    </row>
    <row r="242" spans="2:2" ht="15.75" customHeight="1" x14ac:dyDescent="0.3">
      <c r="B242" s="33"/>
    </row>
    <row r="243" spans="2:2" ht="15.75" customHeight="1" x14ac:dyDescent="0.3">
      <c r="B243" s="33"/>
    </row>
    <row r="244" spans="2:2" ht="15.75" customHeight="1" x14ac:dyDescent="0.3">
      <c r="B244" s="33"/>
    </row>
    <row r="245" spans="2:2" ht="15.75" customHeight="1" x14ac:dyDescent="0.3">
      <c r="B245" s="33"/>
    </row>
    <row r="246" spans="2:2" ht="15.75" customHeight="1" x14ac:dyDescent="0.3">
      <c r="B246" s="33"/>
    </row>
    <row r="247" spans="2:2" ht="15.75" customHeight="1" x14ac:dyDescent="0.3">
      <c r="B247" s="33"/>
    </row>
    <row r="248" spans="2:2" ht="15.75" customHeight="1" x14ac:dyDescent="0.3">
      <c r="B248" s="33"/>
    </row>
    <row r="249" spans="2:2" ht="15.75" customHeight="1" x14ac:dyDescent="0.3">
      <c r="B249" s="33"/>
    </row>
    <row r="250" spans="2:2" ht="15.75" customHeight="1" x14ac:dyDescent="0.3">
      <c r="B250" s="33"/>
    </row>
    <row r="251" spans="2:2" ht="15.75" customHeight="1" x14ac:dyDescent="0.3">
      <c r="B251" s="33"/>
    </row>
    <row r="252" spans="2:2" ht="15.75" customHeight="1" x14ac:dyDescent="0.3">
      <c r="B252" s="33"/>
    </row>
    <row r="253" spans="2:2" ht="15.75" customHeight="1" x14ac:dyDescent="0.3">
      <c r="B253" s="33"/>
    </row>
    <row r="254" spans="2:2" ht="15.75" customHeight="1" x14ac:dyDescent="0.3">
      <c r="B254" s="33"/>
    </row>
    <row r="255" spans="2:2" ht="15.75" customHeight="1" x14ac:dyDescent="0.3">
      <c r="B255" s="33"/>
    </row>
    <row r="256" spans="2:2" ht="15.75" customHeight="1" x14ac:dyDescent="0.3">
      <c r="B256" s="33"/>
    </row>
    <row r="257" spans="2:2" ht="15.75" customHeight="1" x14ac:dyDescent="0.3">
      <c r="B257" s="33"/>
    </row>
    <row r="258" spans="2:2" ht="15.75" customHeight="1" x14ac:dyDescent="0.3">
      <c r="B258" s="33"/>
    </row>
    <row r="259" spans="2:2" ht="15.75" customHeight="1" x14ac:dyDescent="0.3">
      <c r="B259" s="33"/>
    </row>
    <row r="260" spans="2:2" ht="15.75" customHeight="1" x14ac:dyDescent="0.3">
      <c r="B260" s="33"/>
    </row>
    <row r="261" spans="2:2" ht="15.75" customHeight="1" x14ac:dyDescent="0.3">
      <c r="B261" s="33"/>
    </row>
    <row r="262" spans="2:2" ht="15.75" customHeight="1" x14ac:dyDescent="0.3">
      <c r="B262" s="33"/>
    </row>
    <row r="263" spans="2:2" ht="15.75" customHeight="1" x14ac:dyDescent="0.3">
      <c r="B263" s="33"/>
    </row>
    <row r="264" spans="2:2" ht="15.75" customHeight="1" x14ac:dyDescent="0.3">
      <c r="B264" s="33"/>
    </row>
    <row r="265" spans="2:2" ht="15.75" customHeight="1" x14ac:dyDescent="0.3">
      <c r="B265" s="33"/>
    </row>
    <row r="266" spans="2:2" ht="15.75" customHeight="1" x14ac:dyDescent="0.3">
      <c r="B266" s="33"/>
    </row>
    <row r="267" spans="2:2" ht="15.75" customHeight="1" x14ac:dyDescent="0.3">
      <c r="B267" s="33"/>
    </row>
    <row r="268" spans="2:2" ht="15.75" customHeight="1" x14ac:dyDescent="0.3">
      <c r="B268" s="33"/>
    </row>
    <row r="269" spans="2:2" ht="15.75" customHeight="1" x14ac:dyDescent="0.3">
      <c r="B269" s="33"/>
    </row>
    <row r="270" spans="2:2" ht="15.75" customHeight="1" x14ac:dyDescent="0.3">
      <c r="B270" s="33"/>
    </row>
    <row r="271" spans="2:2" ht="15.75" customHeight="1" x14ac:dyDescent="0.3">
      <c r="B271" s="33"/>
    </row>
    <row r="272" spans="2:2" ht="15.75" customHeight="1" x14ac:dyDescent="0.3">
      <c r="B272" s="33"/>
    </row>
    <row r="273" spans="2:2" ht="15.75" customHeight="1" x14ac:dyDescent="0.3">
      <c r="B273" s="33"/>
    </row>
    <row r="274" spans="2:2" ht="15.75" customHeight="1" x14ac:dyDescent="0.3">
      <c r="B274" s="33"/>
    </row>
    <row r="275" spans="2:2" ht="15.75" customHeight="1" x14ac:dyDescent="0.3">
      <c r="B275" s="33"/>
    </row>
    <row r="276" spans="2:2" ht="15.75" customHeight="1" x14ac:dyDescent="0.3">
      <c r="B276" s="33"/>
    </row>
    <row r="277" spans="2:2" ht="15.75" customHeight="1" x14ac:dyDescent="0.3">
      <c r="B277" s="33"/>
    </row>
    <row r="278" spans="2:2" ht="15.75" customHeight="1" x14ac:dyDescent="0.3">
      <c r="B278" s="33"/>
    </row>
    <row r="279" spans="2:2" ht="15.75" customHeight="1" x14ac:dyDescent="0.3">
      <c r="B279" s="33"/>
    </row>
    <row r="280" spans="2:2" ht="15.75" customHeight="1" x14ac:dyDescent="0.3">
      <c r="B280" s="33"/>
    </row>
    <row r="281" spans="2:2" ht="15.75" customHeight="1" x14ac:dyDescent="0.3">
      <c r="B281" s="33"/>
    </row>
    <row r="282" spans="2:2" ht="15.75" customHeight="1" x14ac:dyDescent="0.3">
      <c r="B282" s="33"/>
    </row>
    <row r="283" spans="2:2" ht="15.75" customHeight="1" x14ac:dyDescent="0.3">
      <c r="B283" s="33"/>
    </row>
    <row r="284" spans="2:2" ht="15.75" customHeight="1" x14ac:dyDescent="0.3">
      <c r="B284" s="33"/>
    </row>
    <row r="285" spans="2:2" ht="15.75" customHeight="1" x14ac:dyDescent="0.3">
      <c r="B285" s="33"/>
    </row>
    <row r="286" spans="2:2" ht="15.75" customHeight="1" x14ac:dyDescent="0.3">
      <c r="B286" s="33"/>
    </row>
    <row r="287" spans="2:2" ht="15.75" customHeight="1" x14ac:dyDescent="0.3">
      <c r="B287" s="33"/>
    </row>
    <row r="288" spans="2:2" ht="15.75" customHeight="1" x14ac:dyDescent="0.3">
      <c r="B288" s="33"/>
    </row>
    <row r="289" spans="2:2" ht="15.75" customHeight="1" x14ac:dyDescent="0.3">
      <c r="B289" s="33"/>
    </row>
    <row r="290" spans="2:2" ht="15.75" customHeight="1" x14ac:dyDescent="0.3">
      <c r="B290" s="33"/>
    </row>
    <row r="291" spans="2:2" ht="15.75" customHeight="1" x14ac:dyDescent="0.3">
      <c r="B291" s="33"/>
    </row>
    <row r="292" spans="2:2" ht="15.75" customHeight="1" x14ac:dyDescent="0.3">
      <c r="B292" s="33"/>
    </row>
    <row r="293" spans="2:2" ht="15.75" customHeight="1" x14ac:dyDescent="0.3">
      <c r="B293" s="33"/>
    </row>
    <row r="294" spans="2:2" ht="15.75" customHeight="1" x14ac:dyDescent="0.3">
      <c r="B294" s="33"/>
    </row>
    <row r="295" spans="2:2" ht="15.75" customHeight="1" x14ac:dyDescent="0.3">
      <c r="B295" s="33"/>
    </row>
    <row r="296" spans="2:2" ht="15.75" customHeight="1" x14ac:dyDescent="0.3">
      <c r="B296" s="33"/>
    </row>
    <row r="297" spans="2:2" ht="15.75" customHeight="1" x14ac:dyDescent="0.3">
      <c r="B297" s="33"/>
    </row>
    <row r="298" spans="2:2" ht="15.75" customHeight="1" x14ac:dyDescent="0.3">
      <c r="B298" s="33"/>
    </row>
    <row r="299" spans="2:2" ht="15.75" customHeight="1" x14ac:dyDescent="0.3">
      <c r="B299" s="33"/>
    </row>
    <row r="300" spans="2:2" ht="15.75" customHeight="1" x14ac:dyDescent="0.3">
      <c r="B300" s="33"/>
    </row>
    <row r="301" spans="2:2" ht="15.75" customHeight="1" x14ac:dyDescent="0.3">
      <c r="B301" s="33"/>
    </row>
    <row r="302" spans="2:2" ht="15.75" customHeight="1" x14ac:dyDescent="0.3">
      <c r="B302" s="33"/>
    </row>
    <row r="303" spans="2:2" ht="15.75" customHeight="1" x14ac:dyDescent="0.3">
      <c r="B303" s="33"/>
    </row>
    <row r="304" spans="2:2" ht="15.75" customHeight="1" x14ac:dyDescent="0.3">
      <c r="B304" s="33"/>
    </row>
    <row r="305" spans="2:2" ht="15.75" customHeight="1" x14ac:dyDescent="0.3">
      <c r="B305" s="33"/>
    </row>
    <row r="306" spans="2:2" ht="15.75" customHeight="1" x14ac:dyDescent="0.3">
      <c r="B306" s="33"/>
    </row>
    <row r="307" spans="2:2" ht="15.75" customHeight="1" x14ac:dyDescent="0.3">
      <c r="B307" s="33"/>
    </row>
    <row r="308" spans="2:2" ht="15.75" customHeight="1" x14ac:dyDescent="0.3">
      <c r="B308" s="33"/>
    </row>
    <row r="309" spans="2:2" ht="15.75" customHeight="1" x14ac:dyDescent="0.3">
      <c r="B309" s="33"/>
    </row>
    <row r="310" spans="2:2" ht="15.75" customHeight="1" x14ac:dyDescent="0.3">
      <c r="B310" s="33"/>
    </row>
    <row r="311" spans="2:2" ht="15.75" customHeight="1" x14ac:dyDescent="0.3">
      <c r="B311" s="33"/>
    </row>
    <row r="312" spans="2:2" ht="15.75" customHeight="1" x14ac:dyDescent="0.3">
      <c r="B312" s="33"/>
    </row>
    <row r="313" spans="2:2" ht="15.75" customHeight="1" x14ac:dyDescent="0.3">
      <c r="B313" s="33"/>
    </row>
    <row r="314" spans="2:2" ht="15.75" customHeight="1" x14ac:dyDescent="0.3">
      <c r="B314" s="33"/>
    </row>
    <row r="315" spans="2:2" ht="15.75" customHeight="1" x14ac:dyDescent="0.3">
      <c r="B315" s="33"/>
    </row>
    <row r="316" spans="2:2" ht="15.75" customHeight="1" x14ac:dyDescent="0.3">
      <c r="B316" s="33"/>
    </row>
    <row r="317" spans="2:2" ht="15.75" customHeight="1" x14ac:dyDescent="0.3">
      <c r="B317" s="33"/>
    </row>
    <row r="318" spans="2:2" ht="15.75" customHeight="1" x14ac:dyDescent="0.3">
      <c r="B318" s="33"/>
    </row>
    <row r="319" spans="2:2" ht="15.75" customHeight="1" x14ac:dyDescent="0.3">
      <c r="B319" s="33"/>
    </row>
    <row r="320" spans="2:2" ht="15.75" customHeight="1" x14ac:dyDescent="0.3">
      <c r="B320" s="33"/>
    </row>
    <row r="321" spans="2:2" ht="15.75" customHeight="1" x14ac:dyDescent="0.3">
      <c r="B321" s="33"/>
    </row>
    <row r="322" spans="2:2" ht="15.75" customHeight="1" x14ac:dyDescent="0.3">
      <c r="B322" s="33"/>
    </row>
    <row r="323" spans="2:2" ht="15.75" customHeight="1" x14ac:dyDescent="0.3">
      <c r="B323" s="33"/>
    </row>
    <row r="324" spans="2:2" ht="15.75" customHeight="1" x14ac:dyDescent="0.3">
      <c r="B324" s="33"/>
    </row>
    <row r="325" spans="2:2" ht="15.75" customHeight="1" x14ac:dyDescent="0.3">
      <c r="B325" s="33"/>
    </row>
    <row r="326" spans="2:2" ht="15.75" customHeight="1" x14ac:dyDescent="0.3">
      <c r="B326" s="33"/>
    </row>
    <row r="327" spans="2:2" ht="15.75" customHeight="1" x14ac:dyDescent="0.3">
      <c r="B327" s="33"/>
    </row>
    <row r="328" spans="2:2" ht="15.75" customHeight="1" x14ac:dyDescent="0.3">
      <c r="B328" s="33"/>
    </row>
    <row r="329" spans="2:2" ht="15.75" customHeight="1" x14ac:dyDescent="0.3">
      <c r="B329" s="33"/>
    </row>
    <row r="330" spans="2:2" ht="15.75" customHeight="1" x14ac:dyDescent="0.3">
      <c r="B330" s="33"/>
    </row>
    <row r="331" spans="2:2" ht="15.75" customHeight="1" x14ac:dyDescent="0.3">
      <c r="B331" s="33"/>
    </row>
    <row r="332" spans="2:2" ht="15.75" customHeight="1" x14ac:dyDescent="0.3">
      <c r="B332" s="33"/>
    </row>
    <row r="333" spans="2:2" ht="15.75" customHeight="1" x14ac:dyDescent="0.3">
      <c r="B333" s="33"/>
    </row>
    <row r="334" spans="2:2" ht="15.75" customHeight="1" x14ac:dyDescent="0.3">
      <c r="B334" s="33"/>
    </row>
    <row r="335" spans="2:2" ht="15.75" customHeight="1" x14ac:dyDescent="0.3">
      <c r="B335" s="33"/>
    </row>
    <row r="336" spans="2:2" ht="15.75" customHeight="1" x14ac:dyDescent="0.3">
      <c r="B336" s="33"/>
    </row>
    <row r="337" spans="2:2" ht="15.75" customHeight="1" x14ac:dyDescent="0.3">
      <c r="B337" s="33"/>
    </row>
    <row r="338" spans="2:2" ht="15.75" customHeight="1" x14ac:dyDescent="0.3">
      <c r="B338" s="33"/>
    </row>
    <row r="339" spans="2:2" ht="15.75" customHeight="1" x14ac:dyDescent="0.3">
      <c r="B339" s="33"/>
    </row>
    <row r="340" spans="2:2" ht="15.75" customHeight="1" x14ac:dyDescent="0.3">
      <c r="B340" s="33"/>
    </row>
    <row r="341" spans="2:2" ht="15.75" customHeight="1" x14ac:dyDescent="0.3">
      <c r="B341" s="33"/>
    </row>
    <row r="342" spans="2:2" ht="15.75" customHeight="1" x14ac:dyDescent="0.3">
      <c r="B342" s="33"/>
    </row>
    <row r="343" spans="2:2" ht="15.75" customHeight="1" x14ac:dyDescent="0.3">
      <c r="B343" s="33"/>
    </row>
    <row r="344" spans="2:2" ht="15.75" customHeight="1" x14ac:dyDescent="0.3">
      <c r="B344" s="33"/>
    </row>
    <row r="345" spans="2:2" ht="15.75" customHeight="1" x14ac:dyDescent="0.3">
      <c r="B345" s="33"/>
    </row>
    <row r="346" spans="2:2" ht="15.75" customHeight="1" x14ac:dyDescent="0.3">
      <c r="B346" s="33"/>
    </row>
    <row r="347" spans="2:2" ht="15.75" customHeight="1" x14ac:dyDescent="0.3">
      <c r="B347" s="33"/>
    </row>
    <row r="348" spans="2:2" ht="15.75" customHeight="1" x14ac:dyDescent="0.3">
      <c r="B348" s="33"/>
    </row>
    <row r="349" spans="2:2" ht="15.75" customHeight="1" x14ac:dyDescent="0.3">
      <c r="B349" s="33"/>
    </row>
    <row r="350" spans="2:2" ht="15.75" customHeight="1" x14ac:dyDescent="0.3">
      <c r="B350" s="33"/>
    </row>
    <row r="351" spans="2:2" ht="15.75" customHeight="1" x14ac:dyDescent="0.3">
      <c r="B351" s="33"/>
    </row>
    <row r="352" spans="2:2" ht="15.75" customHeight="1" x14ac:dyDescent="0.3">
      <c r="B352" s="33"/>
    </row>
    <row r="353" spans="2:2" ht="15.75" customHeight="1" x14ac:dyDescent="0.3">
      <c r="B353" s="33"/>
    </row>
    <row r="354" spans="2:2" ht="15.75" customHeight="1" x14ac:dyDescent="0.3">
      <c r="B354" s="33"/>
    </row>
    <row r="355" spans="2:2" ht="15.75" customHeight="1" x14ac:dyDescent="0.3">
      <c r="B355" s="33"/>
    </row>
    <row r="356" spans="2:2" ht="15.75" customHeight="1" x14ac:dyDescent="0.3">
      <c r="B356" s="33"/>
    </row>
    <row r="357" spans="2:2" ht="15.75" customHeight="1" x14ac:dyDescent="0.3">
      <c r="B357" s="33"/>
    </row>
    <row r="358" spans="2:2" ht="15.75" customHeight="1" x14ac:dyDescent="0.3">
      <c r="B358" s="33"/>
    </row>
    <row r="359" spans="2:2" ht="15.75" customHeight="1" x14ac:dyDescent="0.3">
      <c r="B359" s="33"/>
    </row>
    <row r="360" spans="2:2" ht="15.75" customHeight="1" x14ac:dyDescent="0.3">
      <c r="B360" s="33"/>
    </row>
    <row r="361" spans="2:2" ht="15.75" customHeight="1" x14ac:dyDescent="0.3">
      <c r="B361" s="33"/>
    </row>
    <row r="362" spans="2:2" ht="15.75" customHeight="1" x14ac:dyDescent="0.3">
      <c r="B362" s="33"/>
    </row>
    <row r="363" spans="2:2" ht="15.75" customHeight="1" x14ac:dyDescent="0.3">
      <c r="B363" s="33"/>
    </row>
    <row r="364" spans="2:2" ht="15.75" customHeight="1" x14ac:dyDescent="0.3">
      <c r="B364" s="33"/>
    </row>
    <row r="365" spans="2:2" ht="15.75" customHeight="1" x14ac:dyDescent="0.3">
      <c r="B365" s="33"/>
    </row>
    <row r="366" spans="2:2" ht="15.75" customHeight="1" x14ac:dyDescent="0.3">
      <c r="B366" s="33"/>
    </row>
    <row r="367" spans="2:2" ht="15.75" customHeight="1" x14ac:dyDescent="0.3">
      <c r="B367" s="33"/>
    </row>
    <row r="368" spans="2:2" ht="15.75" customHeight="1" x14ac:dyDescent="0.3">
      <c r="B368" s="33"/>
    </row>
    <row r="369" spans="2:2" ht="15.75" customHeight="1" x14ac:dyDescent="0.3">
      <c r="B369" s="33"/>
    </row>
    <row r="370" spans="2:2" ht="15.75" customHeight="1" x14ac:dyDescent="0.3">
      <c r="B370" s="33"/>
    </row>
    <row r="371" spans="2:2" ht="15.75" customHeight="1" x14ac:dyDescent="0.3">
      <c r="B371" s="33"/>
    </row>
    <row r="372" spans="2:2" ht="15.75" customHeight="1" x14ac:dyDescent="0.3">
      <c r="B372" s="33"/>
    </row>
    <row r="373" spans="2:2" ht="15.75" customHeight="1" x14ac:dyDescent="0.3">
      <c r="B373" s="33"/>
    </row>
    <row r="374" spans="2:2" ht="15.75" customHeight="1" x14ac:dyDescent="0.3">
      <c r="B374" s="33"/>
    </row>
    <row r="375" spans="2:2" ht="15.75" customHeight="1" x14ac:dyDescent="0.3">
      <c r="B375" s="33"/>
    </row>
    <row r="376" spans="2:2" ht="15.75" customHeight="1" x14ac:dyDescent="0.3">
      <c r="B376" s="33"/>
    </row>
    <row r="377" spans="2:2" ht="15.75" customHeight="1" x14ac:dyDescent="0.3">
      <c r="B377" s="33"/>
    </row>
    <row r="378" spans="2:2" ht="15.75" customHeight="1" x14ac:dyDescent="0.3">
      <c r="B378" s="33"/>
    </row>
    <row r="379" spans="2:2" ht="15.75" customHeight="1" x14ac:dyDescent="0.3">
      <c r="B379" s="33"/>
    </row>
    <row r="380" spans="2:2" ht="15.75" customHeight="1" x14ac:dyDescent="0.3">
      <c r="B380" s="33"/>
    </row>
    <row r="381" spans="2:2" ht="15.75" customHeight="1" x14ac:dyDescent="0.3">
      <c r="B381" s="33"/>
    </row>
    <row r="382" spans="2:2" ht="15.75" customHeight="1" x14ac:dyDescent="0.3">
      <c r="B382" s="33"/>
    </row>
    <row r="383" spans="2:2" ht="15.75" customHeight="1" x14ac:dyDescent="0.3">
      <c r="B383" s="33"/>
    </row>
    <row r="384" spans="2:2" ht="15.75" customHeight="1" x14ac:dyDescent="0.3">
      <c r="B384" s="33"/>
    </row>
    <row r="385" spans="2:2" ht="15.75" customHeight="1" x14ac:dyDescent="0.3">
      <c r="B385" s="33"/>
    </row>
    <row r="386" spans="2:2" ht="15.75" customHeight="1" x14ac:dyDescent="0.3">
      <c r="B386" s="33"/>
    </row>
    <row r="387" spans="2:2" ht="15.75" customHeight="1" x14ac:dyDescent="0.3">
      <c r="B387" s="33"/>
    </row>
    <row r="388" spans="2:2" ht="15.75" customHeight="1" x14ac:dyDescent="0.3">
      <c r="B388" s="33"/>
    </row>
    <row r="389" spans="2:2" ht="15.75" customHeight="1" x14ac:dyDescent="0.3">
      <c r="B389" s="33"/>
    </row>
    <row r="390" spans="2:2" ht="15.75" customHeight="1" x14ac:dyDescent="0.3">
      <c r="B390" s="33"/>
    </row>
    <row r="391" spans="2:2" ht="15.75" customHeight="1" x14ac:dyDescent="0.3">
      <c r="B391" s="33"/>
    </row>
    <row r="392" spans="2:2" ht="15.75" customHeight="1" x14ac:dyDescent="0.3">
      <c r="B392" s="33"/>
    </row>
    <row r="393" spans="2:2" ht="15.75" customHeight="1" x14ac:dyDescent="0.3">
      <c r="B393" s="33"/>
    </row>
    <row r="394" spans="2:2" ht="15.75" customHeight="1" x14ac:dyDescent="0.3">
      <c r="B394" s="33"/>
    </row>
    <row r="395" spans="2:2" ht="15.75" customHeight="1" x14ac:dyDescent="0.3">
      <c r="B395" s="33"/>
    </row>
    <row r="396" spans="2:2" ht="15.75" customHeight="1" x14ac:dyDescent="0.3">
      <c r="B396" s="33"/>
    </row>
    <row r="397" spans="2:2" ht="15.75" customHeight="1" x14ac:dyDescent="0.3">
      <c r="B397" s="33"/>
    </row>
    <row r="398" spans="2:2" ht="15.75" customHeight="1" x14ac:dyDescent="0.3">
      <c r="B398" s="33"/>
    </row>
    <row r="399" spans="2:2" ht="15.75" customHeight="1" x14ac:dyDescent="0.3">
      <c r="B399" s="33"/>
    </row>
    <row r="400" spans="2:2" ht="15.75" customHeight="1" x14ac:dyDescent="0.3">
      <c r="B400" s="33"/>
    </row>
    <row r="401" spans="2:2" ht="15.75" customHeight="1" x14ac:dyDescent="0.3">
      <c r="B401" s="33"/>
    </row>
    <row r="402" spans="2:2" ht="15.75" customHeight="1" x14ac:dyDescent="0.3">
      <c r="B402" s="33"/>
    </row>
    <row r="403" spans="2:2" ht="15.75" customHeight="1" x14ac:dyDescent="0.3">
      <c r="B403" s="33"/>
    </row>
    <row r="404" spans="2:2" ht="15.75" customHeight="1" x14ac:dyDescent="0.3">
      <c r="B404" s="33"/>
    </row>
    <row r="405" spans="2:2" ht="15.75" customHeight="1" x14ac:dyDescent="0.3">
      <c r="B405" s="33"/>
    </row>
    <row r="406" spans="2:2" ht="15.75" customHeight="1" x14ac:dyDescent="0.3">
      <c r="B406" s="33"/>
    </row>
    <row r="407" spans="2:2" ht="15.75" customHeight="1" x14ac:dyDescent="0.3">
      <c r="B407" s="33"/>
    </row>
    <row r="408" spans="2:2" ht="15.75" customHeight="1" x14ac:dyDescent="0.3">
      <c r="B408" s="33"/>
    </row>
    <row r="409" spans="2:2" ht="15.75" customHeight="1" x14ac:dyDescent="0.3">
      <c r="B409" s="33"/>
    </row>
    <row r="410" spans="2:2" ht="15.75" customHeight="1" x14ac:dyDescent="0.3">
      <c r="B410" s="33"/>
    </row>
    <row r="411" spans="2:2" ht="15.75" customHeight="1" x14ac:dyDescent="0.3">
      <c r="B411" s="33"/>
    </row>
    <row r="412" spans="2:2" ht="15.75" customHeight="1" x14ac:dyDescent="0.3">
      <c r="B412" s="33"/>
    </row>
    <row r="413" spans="2:2" ht="15.75" customHeight="1" x14ac:dyDescent="0.3">
      <c r="B413" s="33"/>
    </row>
    <row r="414" spans="2:2" ht="15.75" customHeight="1" x14ac:dyDescent="0.3">
      <c r="B414" s="33"/>
    </row>
    <row r="415" spans="2:2" ht="15.75" customHeight="1" x14ac:dyDescent="0.3">
      <c r="B415" s="33"/>
    </row>
    <row r="416" spans="2:2" ht="15.75" customHeight="1" x14ac:dyDescent="0.3">
      <c r="B416" s="33"/>
    </row>
    <row r="417" spans="2:2" ht="15.75" customHeight="1" x14ac:dyDescent="0.3">
      <c r="B417" s="33"/>
    </row>
    <row r="418" spans="2:2" ht="15.75" customHeight="1" x14ac:dyDescent="0.3">
      <c r="B418" s="33"/>
    </row>
    <row r="419" spans="2:2" ht="15.75" customHeight="1" x14ac:dyDescent="0.3">
      <c r="B419" s="33"/>
    </row>
    <row r="420" spans="2:2" ht="15.75" customHeight="1" x14ac:dyDescent="0.3">
      <c r="B420" s="33"/>
    </row>
    <row r="421" spans="2:2" ht="15.75" customHeight="1" x14ac:dyDescent="0.3">
      <c r="B421" s="33"/>
    </row>
    <row r="422" spans="2:2" ht="15.75" customHeight="1" x14ac:dyDescent="0.3">
      <c r="B422" s="33"/>
    </row>
    <row r="423" spans="2:2" ht="15.75" customHeight="1" x14ac:dyDescent="0.3">
      <c r="B423" s="33"/>
    </row>
    <row r="424" spans="2:2" ht="15.75" customHeight="1" x14ac:dyDescent="0.3">
      <c r="B424" s="33"/>
    </row>
    <row r="425" spans="2:2" ht="15.75" customHeight="1" x14ac:dyDescent="0.3">
      <c r="B425" s="33"/>
    </row>
    <row r="426" spans="2:2" ht="15.75" customHeight="1" x14ac:dyDescent="0.3">
      <c r="B426" s="33"/>
    </row>
    <row r="427" spans="2:2" ht="15.75" customHeight="1" x14ac:dyDescent="0.3">
      <c r="B427" s="33"/>
    </row>
    <row r="428" spans="2:2" ht="15.75" customHeight="1" x14ac:dyDescent="0.3">
      <c r="B428" s="33"/>
    </row>
    <row r="429" spans="2:2" ht="15.75" customHeight="1" x14ac:dyDescent="0.3">
      <c r="B429" s="33"/>
    </row>
    <row r="430" spans="2:2" ht="15.75" customHeight="1" x14ac:dyDescent="0.3">
      <c r="B430" s="33"/>
    </row>
    <row r="431" spans="2:2" ht="15.75" customHeight="1" x14ac:dyDescent="0.3">
      <c r="B431" s="33"/>
    </row>
    <row r="432" spans="2:2" ht="15.75" customHeight="1" x14ac:dyDescent="0.3">
      <c r="B432" s="33"/>
    </row>
    <row r="433" spans="2:2" ht="15.75" customHeight="1" x14ac:dyDescent="0.3">
      <c r="B433" s="33"/>
    </row>
    <row r="434" spans="2:2" ht="15.75" customHeight="1" x14ac:dyDescent="0.3">
      <c r="B434" s="33"/>
    </row>
    <row r="435" spans="2:2" ht="15.75" customHeight="1" x14ac:dyDescent="0.3">
      <c r="B435" s="33"/>
    </row>
    <row r="436" spans="2:2" ht="15.75" customHeight="1" x14ac:dyDescent="0.3">
      <c r="B436" s="33"/>
    </row>
    <row r="437" spans="2:2" ht="15.75" customHeight="1" x14ac:dyDescent="0.3">
      <c r="B437" s="33"/>
    </row>
    <row r="438" spans="2:2" ht="15.75" customHeight="1" x14ac:dyDescent="0.3">
      <c r="B438" s="33"/>
    </row>
    <row r="439" spans="2:2" ht="15.75" customHeight="1" x14ac:dyDescent="0.3">
      <c r="B439" s="33"/>
    </row>
    <row r="440" spans="2:2" ht="15.75" customHeight="1" x14ac:dyDescent="0.3">
      <c r="B440" s="33"/>
    </row>
    <row r="441" spans="2:2" ht="15.75" customHeight="1" x14ac:dyDescent="0.3">
      <c r="B441" s="33"/>
    </row>
    <row r="442" spans="2:2" ht="15.75" customHeight="1" x14ac:dyDescent="0.3">
      <c r="B442" s="33"/>
    </row>
    <row r="443" spans="2:2" ht="15.75" customHeight="1" x14ac:dyDescent="0.3">
      <c r="B443" s="33"/>
    </row>
    <row r="444" spans="2:2" ht="15.75" customHeight="1" x14ac:dyDescent="0.3">
      <c r="B444" s="33"/>
    </row>
    <row r="445" spans="2:2" ht="15.75" customHeight="1" x14ac:dyDescent="0.3">
      <c r="B445" s="33"/>
    </row>
    <row r="446" spans="2:2" ht="15.75" customHeight="1" x14ac:dyDescent="0.3">
      <c r="B446" s="33"/>
    </row>
    <row r="447" spans="2:2" ht="15.75" customHeight="1" x14ac:dyDescent="0.3">
      <c r="B447" s="33"/>
    </row>
    <row r="448" spans="2:2" ht="15.75" customHeight="1" x14ac:dyDescent="0.3">
      <c r="B448" s="33"/>
    </row>
    <row r="449" spans="2:2" ht="15.75" customHeight="1" x14ac:dyDescent="0.3">
      <c r="B449" s="33"/>
    </row>
    <row r="450" spans="2:2" ht="15.75" customHeight="1" x14ac:dyDescent="0.3">
      <c r="B450" s="33"/>
    </row>
    <row r="451" spans="2:2" ht="15.75" customHeight="1" x14ac:dyDescent="0.3">
      <c r="B451" s="33"/>
    </row>
    <row r="452" spans="2:2" ht="15.75" customHeight="1" x14ac:dyDescent="0.3">
      <c r="B452" s="33"/>
    </row>
    <row r="453" spans="2:2" ht="15.75" customHeight="1" x14ac:dyDescent="0.3">
      <c r="B453" s="33"/>
    </row>
    <row r="454" spans="2:2" ht="15.75" customHeight="1" x14ac:dyDescent="0.3">
      <c r="B454" s="33"/>
    </row>
    <row r="455" spans="2:2" ht="15.75" customHeight="1" x14ac:dyDescent="0.3">
      <c r="B455" s="33"/>
    </row>
    <row r="456" spans="2:2" ht="15.75" customHeight="1" x14ac:dyDescent="0.3">
      <c r="B456" s="33"/>
    </row>
    <row r="457" spans="2:2" ht="15.75" customHeight="1" x14ac:dyDescent="0.3">
      <c r="B457" s="33"/>
    </row>
    <row r="458" spans="2:2" ht="15.75" customHeight="1" x14ac:dyDescent="0.3">
      <c r="B458" s="33"/>
    </row>
    <row r="459" spans="2:2" ht="15.75" customHeight="1" x14ac:dyDescent="0.3">
      <c r="B459" s="33"/>
    </row>
    <row r="460" spans="2:2" ht="15.75" customHeight="1" x14ac:dyDescent="0.3">
      <c r="B460" s="33"/>
    </row>
    <row r="461" spans="2:2" ht="15.75" customHeight="1" x14ac:dyDescent="0.3">
      <c r="B461" s="33"/>
    </row>
    <row r="462" spans="2:2" ht="15.75" customHeight="1" x14ac:dyDescent="0.3">
      <c r="B462" s="33"/>
    </row>
    <row r="463" spans="2:2" ht="15.75" customHeight="1" x14ac:dyDescent="0.3">
      <c r="B463" s="33"/>
    </row>
    <row r="464" spans="2:2" ht="15.75" customHeight="1" x14ac:dyDescent="0.3">
      <c r="B464" s="33"/>
    </row>
    <row r="465" spans="2:2" ht="15.75" customHeight="1" x14ac:dyDescent="0.3">
      <c r="B465" s="33"/>
    </row>
    <row r="466" spans="2:2" ht="15.75" customHeight="1" x14ac:dyDescent="0.3">
      <c r="B466" s="33"/>
    </row>
    <row r="467" spans="2:2" ht="15.75" customHeight="1" x14ac:dyDescent="0.3">
      <c r="B467" s="33"/>
    </row>
    <row r="468" spans="2:2" ht="15.75" customHeight="1" x14ac:dyDescent="0.3">
      <c r="B468" s="33"/>
    </row>
    <row r="469" spans="2:2" ht="15.75" customHeight="1" x14ac:dyDescent="0.3">
      <c r="B469" s="33"/>
    </row>
    <row r="470" spans="2:2" ht="15.75" customHeight="1" x14ac:dyDescent="0.3">
      <c r="B470" s="33"/>
    </row>
    <row r="471" spans="2:2" ht="15.75" customHeight="1" x14ac:dyDescent="0.3">
      <c r="B471" s="33"/>
    </row>
    <row r="472" spans="2:2" ht="15.75" customHeight="1" x14ac:dyDescent="0.3">
      <c r="B472" s="33"/>
    </row>
    <row r="473" spans="2:2" ht="15.75" customHeight="1" x14ac:dyDescent="0.3">
      <c r="B473" s="33"/>
    </row>
    <row r="474" spans="2:2" ht="15.75" customHeight="1" x14ac:dyDescent="0.3">
      <c r="B474" s="33"/>
    </row>
    <row r="475" spans="2:2" ht="15.75" customHeight="1" x14ac:dyDescent="0.3">
      <c r="B475" s="33"/>
    </row>
    <row r="476" spans="2:2" ht="15.75" customHeight="1" x14ac:dyDescent="0.3">
      <c r="B476" s="33"/>
    </row>
    <row r="477" spans="2:2" ht="15.75" customHeight="1" x14ac:dyDescent="0.3">
      <c r="B477" s="33"/>
    </row>
    <row r="478" spans="2:2" ht="15.75" customHeight="1" x14ac:dyDescent="0.3">
      <c r="B478" s="33"/>
    </row>
    <row r="479" spans="2:2" ht="15.75" customHeight="1" x14ac:dyDescent="0.3">
      <c r="B479" s="33"/>
    </row>
    <row r="480" spans="2:2" ht="15.75" customHeight="1" x14ac:dyDescent="0.3">
      <c r="B480" s="33"/>
    </row>
    <row r="481" spans="2:2" ht="15.75" customHeight="1" x14ac:dyDescent="0.3">
      <c r="B481" s="33"/>
    </row>
    <row r="482" spans="2:2" ht="15.75" customHeight="1" x14ac:dyDescent="0.3">
      <c r="B482" s="33"/>
    </row>
    <row r="483" spans="2:2" ht="15.75" customHeight="1" x14ac:dyDescent="0.3">
      <c r="B483" s="33"/>
    </row>
    <row r="484" spans="2:2" ht="15.75" customHeight="1" x14ac:dyDescent="0.3">
      <c r="B484" s="33"/>
    </row>
    <row r="485" spans="2:2" ht="15.75" customHeight="1" x14ac:dyDescent="0.3">
      <c r="B485" s="33"/>
    </row>
    <row r="486" spans="2:2" ht="15.75" customHeight="1" x14ac:dyDescent="0.3">
      <c r="B486" s="33"/>
    </row>
    <row r="487" spans="2:2" ht="15.75" customHeight="1" x14ac:dyDescent="0.3">
      <c r="B487" s="33"/>
    </row>
    <row r="488" spans="2:2" ht="15.75" customHeight="1" x14ac:dyDescent="0.3">
      <c r="B488" s="33"/>
    </row>
    <row r="489" spans="2:2" ht="15.75" customHeight="1" x14ac:dyDescent="0.3">
      <c r="B489" s="33"/>
    </row>
    <row r="490" spans="2:2" ht="15.75" customHeight="1" x14ac:dyDescent="0.3">
      <c r="B490" s="33"/>
    </row>
    <row r="491" spans="2:2" ht="15.75" customHeight="1" x14ac:dyDescent="0.3">
      <c r="B491" s="33"/>
    </row>
    <row r="492" spans="2:2" ht="15.75" customHeight="1" x14ac:dyDescent="0.3">
      <c r="B492" s="33"/>
    </row>
    <row r="493" spans="2:2" ht="15.75" customHeight="1" x14ac:dyDescent="0.3">
      <c r="B493" s="33"/>
    </row>
    <row r="494" spans="2:2" ht="15.75" customHeight="1" x14ac:dyDescent="0.3">
      <c r="B494" s="33"/>
    </row>
    <row r="495" spans="2:2" ht="15.75" customHeight="1" x14ac:dyDescent="0.3">
      <c r="B495" s="33"/>
    </row>
    <row r="496" spans="2:2" ht="15.75" customHeight="1" x14ac:dyDescent="0.3">
      <c r="B496" s="33"/>
    </row>
    <row r="497" spans="2:2" ht="15.75" customHeight="1" x14ac:dyDescent="0.3">
      <c r="B497" s="33"/>
    </row>
    <row r="498" spans="2:2" ht="15.75" customHeight="1" x14ac:dyDescent="0.3">
      <c r="B498" s="33"/>
    </row>
    <row r="499" spans="2:2" ht="15.75" customHeight="1" x14ac:dyDescent="0.3">
      <c r="B499" s="33"/>
    </row>
    <row r="500" spans="2:2" ht="15.75" customHeight="1" x14ac:dyDescent="0.3">
      <c r="B500" s="33"/>
    </row>
    <row r="501" spans="2:2" ht="15.75" customHeight="1" x14ac:dyDescent="0.3">
      <c r="B501" s="33"/>
    </row>
    <row r="502" spans="2:2" ht="15.75" customHeight="1" x14ac:dyDescent="0.3">
      <c r="B502" s="33"/>
    </row>
    <row r="503" spans="2:2" ht="15.75" customHeight="1" x14ac:dyDescent="0.3">
      <c r="B503" s="33"/>
    </row>
    <row r="504" spans="2:2" ht="15.75" customHeight="1" x14ac:dyDescent="0.3">
      <c r="B504" s="33"/>
    </row>
    <row r="505" spans="2:2" ht="15.75" customHeight="1" x14ac:dyDescent="0.3">
      <c r="B505" s="33"/>
    </row>
    <row r="506" spans="2:2" ht="15.75" customHeight="1" x14ac:dyDescent="0.3">
      <c r="B506" s="33"/>
    </row>
    <row r="507" spans="2:2" ht="15.75" customHeight="1" x14ac:dyDescent="0.3">
      <c r="B507" s="33"/>
    </row>
    <row r="508" spans="2:2" ht="15.75" customHeight="1" x14ac:dyDescent="0.3">
      <c r="B508" s="33"/>
    </row>
    <row r="509" spans="2:2" ht="15.75" customHeight="1" x14ac:dyDescent="0.3">
      <c r="B509" s="33"/>
    </row>
    <row r="510" spans="2:2" ht="15.75" customHeight="1" x14ac:dyDescent="0.3">
      <c r="B510" s="33"/>
    </row>
    <row r="511" spans="2:2" ht="15.75" customHeight="1" x14ac:dyDescent="0.3">
      <c r="B511" s="33"/>
    </row>
    <row r="512" spans="2:2" ht="15.75" customHeight="1" x14ac:dyDescent="0.3">
      <c r="B512" s="33"/>
    </row>
    <row r="513" spans="2:2" ht="15.75" customHeight="1" x14ac:dyDescent="0.3">
      <c r="B513" s="33"/>
    </row>
    <row r="514" spans="2:2" ht="15.75" customHeight="1" x14ac:dyDescent="0.3">
      <c r="B514" s="33"/>
    </row>
    <row r="515" spans="2:2" ht="15.75" customHeight="1" x14ac:dyDescent="0.3">
      <c r="B515" s="33"/>
    </row>
    <row r="516" spans="2:2" ht="15.75" customHeight="1" x14ac:dyDescent="0.3">
      <c r="B516" s="33"/>
    </row>
    <row r="517" spans="2:2" ht="15.75" customHeight="1" x14ac:dyDescent="0.3">
      <c r="B517" s="33"/>
    </row>
    <row r="518" spans="2:2" ht="15.75" customHeight="1" x14ac:dyDescent="0.3">
      <c r="B518" s="33"/>
    </row>
    <row r="519" spans="2:2" ht="15.75" customHeight="1" x14ac:dyDescent="0.3">
      <c r="B519" s="33"/>
    </row>
    <row r="520" spans="2:2" ht="15.75" customHeight="1" x14ac:dyDescent="0.3">
      <c r="B520" s="33"/>
    </row>
    <row r="521" spans="2:2" ht="15.75" customHeight="1" x14ac:dyDescent="0.3">
      <c r="B521" s="33"/>
    </row>
    <row r="522" spans="2:2" ht="15.75" customHeight="1" x14ac:dyDescent="0.3">
      <c r="B522" s="33"/>
    </row>
    <row r="523" spans="2:2" ht="15.75" customHeight="1" x14ac:dyDescent="0.3">
      <c r="B523" s="33"/>
    </row>
    <row r="524" spans="2:2" ht="15.75" customHeight="1" x14ac:dyDescent="0.3">
      <c r="B524" s="33"/>
    </row>
    <row r="525" spans="2:2" ht="15.75" customHeight="1" x14ac:dyDescent="0.3">
      <c r="B525" s="33"/>
    </row>
    <row r="526" spans="2:2" ht="15.75" customHeight="1" x14ac:dyDescent="0.3">
      <c r="B526" s="33"/>
    </row>
    <row r="527" spans="2:2" ht="15.75" customHeight="1" x14ac:dyDescent="0.3">
      <c r="B527" s="33"/>
    </row>
    <row r="528" spans="2:2" ht="15.75" customHeight="1" x14ac:dyDescent="0.3">
      <c r="B528" s="33"/>
    </row>
    <row r="529" spans="2:2" ht="15.75" customHeight="1" x14ac:dyDescent="0.3">
      <c r="B529" s="33"/>
    </row>
    <row r="530" spans="2:2" ht="15.75" customHeight="1" x14ac:dyDescent="0.3">
      <c r="B530" s="33"/>
    </row>
    <row r="531" spans="2:2" ht="15.75" customHeight="1" x14ac:dyDescent="0.3">
      <c r="B531" s="33"/>
    </row>
    <row r="532" spans="2:2" ht="15.75" customHeight="1" x14ac:dyDescent="0.3">
      <c r="B532" s="33"/>
    </row>
    <row r="533" spans="2:2" ht="15.75" customHeight="1" x14ac:dyDescent="0.3">
      <c r="B533" s="33"/>
    </row>
    <row r="534" spans="2:2" ht="15.75" customHeight="1" x14ac:dyDescent="0.3">
      <c r="B534" s="33"/>
    </row>
    <row r="535" spans="2:2" ht="15.75" customHeight="1" x14ac:dyDescent="0.3">
      <c r="B535" s="33"/>
    </row>
    <row r="536" spans="2:2" ht="15.75" customHeight="1" x14ac:dyDescent="0.3">
      <c r="B536" s="33"/>
    </row>
    <row r="537" spans="2:2" ht="15.75" customHeight="1" x14ac:dyDescent="0.3">
      <c r="B537" s="33"/>
    </row>
    <row r="538" spans="2:2" ht="15.75" customHeight="1" x14ac:dyDescent="0.3">
      <c r="B538" s="33"/>
    </row>
    <row r="539" spans="2:2" ht="15.75" customHeight="1" x14ac:dyDescent="0.3">
      <c r="B539" s="33"/>
    </row>
    <row r="540" spans="2:2" ht="15.75" customHeight="1" x14ac:dyDescent="0.3">
      <c r="B540" s="33"/>
    </row>
    <row r="541" spans="2:2" ht="15.75" customHeight="1" x14ac:dyDescent="0.3">
      <c r="B541" s="33"/>
    </row>
    <row r="542" spans="2:2" ht="15.75" customHeight="1" x14ac:dyDescent="0.3">
      <c r="B542" s="33"/>
    </row>
    <row r="543" spans="2:2" ht="15.75" customHeight="1" x14ac:dyDescent="0.3">
      <c r="B543" s="33"/>
    </row>
    <row r="544" spans="2:2" ht="15.75" customHeight="1" x14ac:dyDescent="0.3">
      <c r="B544" s="33"/>
    </row>
    <row r="545" spans="2:2" ht="15.75" customHeight="1" x14ac:dyDescent="0.3">
      <c r="B545" s="33"/>
    </row>
    <row r="546" spans="2:2" ht="15.75" customHeight="1" x14ac:dyDescent="0.3">
      <c r="B546" s="33"/>
    </row>
    <row r="547" spans="2:2" ht="15.75" customHeight="1" x14ac:dyDescent="0.3">
      <c r="B547" s="33"/>
    </row>
    <row r="548" spans="2:2" ht="15.75" customHeight="1" x14ac:dyDescent="0.3">
      <c r="B548" s="33"/>
    </row>
    <row r="549" spans="2:2" ht="15.75" customHeight="1" x14ac:dyDescent="0.3">
      <c r="B549" s="33"/>
    </row>
    <row r="550" spans="2:2" ht="15.75" customHeight="1" x14ac:dyDescent="0.3">
      <c r="B550" s="33"/>
    </row>
    <row r="551" spans="2:2" ht="15.75" customHeight="1" x14ac:dyDescent="0.3">
      <c r="B551" s="33"/>
    </row>
    <row r="552" spans="2:2" ht="15.75" customHeight="1" x14ac:dyDescent="0.3">
      <c r="B552" s="33"/>
    </row>
    <row r="553" spans="2:2" ht="15.75" customHeight="1" x14ac:dyDescent="0.3">
      <c r="B553" s="33"/>
    </row>
    <row r="554" spans="2:2" ht="15.75" customHeight="1" x14ac:dyDescent="0.3">
      <c r="B554" s="33"/>
    </row>
    <row r="555" spans="2:2" ht="15.75" customHeight="1" x14ac:dyDescent="0.3">
      <c r="B555" s="33"/>
    </row>
    <row r="556" spans="2:2" ht="15.75" customHeight="1" x14ac:dyDescent="0.3">
      <c r="B556" s="33"/>
    </row>
    <row r="557" spans="2:2" ht="15.75" customHeight="1" x14ac:dyDescent="0.3">
      <c r="B557" s="33"/>
    </row>
    <row r="558" spans="2:2" ht="15.75" customHeight="1" x14ac:dyDescent="0.3">
      <c r="B558" s="33"/>
    </row>
    <row r="559" spans="2:2" ht="15.75" customHeight="1" x14ac:dyDescent="0.3">
      <c r="B559" s="33"/>
    </row>
    <row r="560" spans="2:2" ht="15.75" customHeight="1" x14ac:dyDescent="0.3">
      <c r="B560" s="33"/>
    </row>
    <row r="561" spans="2:2" ht="15.75" customHeight="1" x14ac:dyDescent="0.3">
      <c r="B561" s="33"/>
    </row>
    <row r="562" spans="2:2" ht="15.75" customHeight="1" x14ac:dyDescent="0.3">
      <c r="B562" s="33"/>
    </row>
    <row r="563" spans="2:2" ht="15.75" customHeight="1" x14ac:dyDescent="0.3">
      <c r="B563" s="33"/>
    </row>
    <row r="564" spans="2:2" ht="15.75" customHeight="1" x14ac:dyDescent="0.3">
      <c r="B564" s="33"/>
    </row>
    <row r="565" spans="2:2" ht="15.75" customHeight="1" x14ac:dyDescent="0.3">
      <c r="B565" s="33"/>
    </row>
    <row r="566" spans="2:2" ht="15.75" customHeight="1" x14ac:dyDescent="0.3">
      <c r="B566" s="33"/>
    </row>
    <row r="567" spans="2:2" ht="15.75" customHeight="1" x14ac:dyDescent="0.3">
      <c r="B567" s="33"/>
    </row>
    <row r="568" spans="2:2" ht="15.75" customHeight="1" x14ac:dyDescent="0.3">
      <c r="B568" s="33"/>
    </row>
    <row r="569" spans="2:2" ht="15.75" customHeight="1" x14ac:dyDescent="0.3">
      <c r="B569" s="33"/>
    </row>
    <row r="570" spans="2:2" ht="15.75" customHeight="1" x14ac:dyDescent="0.3">
      <c r="B570" s="33"/>
    </row>
    <row r="571" spans="2:2" ht="15.75" customHeight="1" x14ac:dyDescent="0.3">
      <c r="B571" s="33"/>
    </row>
    <row r="572" spans="2:2" ht="15.75" customHeight="1" x14ac:dyDescent="0.3">
      <c r="B572" s="33"/>
    </row>
    <row r="573" spans="2:2" ht="15.75" customHeight="1" x14ac:dyDescent="0.3">
      <c r="B573" s="33"/>
    </row>
    <row r="574" spans="2:2" ht="15.75" customHeight="1" x14ac:dyDescent="0.3">
      <c r="B574" s="33"/>
    </row>
    <row r="575" spans="2:2" ht="15.75" customHeight="1" x14ac:dyDescent="0.3">
      <c r="B575" s="33"/>
    </row>
    <row r="576" spans="2:2" ht="15.75" customHeight="1" x14ac:dyDescent="0.3">
      <c r="B576" s="33"/>
    </row>
    <row r="577" spans="2:2" ht="15.75" customHeight="1" x14ac:dyDescent="0.3">
      <c r="B577" s="33"/>
    </row>
    <row r="578" spans="2:2" ht="15.75" customHeight="1" x14ac:dyDescent="0.3">
      <c r="B578" s="33"/>
    </row>
    <row r="579" spans="2:2" ht="15.75" customHeight="1" x14ac:dyDescent="0.3">
      <c r="B579" s="33"/>
    </row>
    <row r="580" spans="2:2" ht="15.75" customHeight="1" x14ac:dyDescent="0.3">
      <c r="B580" s="33"/>
    </row>
    <row r="581" spans="2:2" ht="15.75" customHeight="1" x14ac:dyDescent="0.3">
      <c r="B581" s="33"/>
    </row>
    <row r="582" spans="2:2" ht="15.75" customHeight="1" x14ac:dyDescent="0.3">
      <c r="B582" s="33"/>
    </row>
    <row r="583" spans="2:2" ht="15.75" customHeight="1" x14ac:dyDescent="0.3">
      <c r="B583" s="33"/>
    </row>
    <row r="584" spans="2:2" ht="15.75" customHeight="1" x14ac:dyDescent="0.3">
      <c r="B584" s="33"/>
    </row>
    <row r="585" spans="2:2" ht="15.75" customHeight="1" x14ac:dyDescent="0.3">
      <c r="B585" s="33"/>
    </row>
    <row r="586" spans="2:2" ht="15.75" customHeight="1" x14ac:dyDescent="0.3">
      <c r="B586" s="33"/>
    </row>
    <row r="587" spans="2:2" ht="15.75" customHeight="1" x14ac:dyDescent="0.3">
      <c r="B587" s="33"/>
    </row>
    <row r="588" spans="2:2" ht="15.75" customHeight="1" x14ac:dyDescent="0.3">
      <c r="B588" s="33"/>
    </row>
    <row r="589" spans="2:2" ht="15.75" customHeight="1" x14ac:dyDescent="0.3">
      <c r="B589" s="33"/>
    </row>
    <row r="590" spans="2:2" ht="15.75" customHeight="1" x14ac:dyDescent="0.3">
      <c r="B590" s="33"/>
    </row>
    <row r="591" spans="2:2" ht="15.75" customHeight="1" x14ac:dyDescent="0.3">
      <c r="B591" s="33"/>
    </row>
    <row r="592" spans="2:2" ht="15.75" customHeight="1" x14ac:dyDescent="0.3">
      <c r="B592" s="33"/>
    </row>
    <row r="593" spans="2:2" ht="15.75" customHeight="1" x14ac:dyDescent="0.3">
      <c r="B593" s="33"/>
    </row>
    <row r="594" spans="2:2" ht="15.75" customHeight="1" x14ac:dyDescent="0.3">
      <c r="B594" s="33"/>
    </row>
    <row r="595" spans="2:2" ht="15.75" customHeight="1" x14ac:dyDescent="0.3">
      <c r="B595" s="33"/>
    </row>
    <row r="596" spans="2:2" ht="15.75" customHeight="1" x14ac:dyDescent="0.3">
      <c r="B596" s="33"/>
    </row>
    <row r="597" spans="2:2" ht="15.75" customHeight="1" x14ac:dyDescent="0.3">
      <c r="B597" s="33"/>
    </row>
    <row r="598" spans="2:2" ht="15.75" customHeight="1" x14ac:dyDescent="0.3">
      <c r="B598" s="33"/>
    </row>
    <row r="599" spans="2:2" ht="15.75" customHeight="1" x14ac:dyDescent="0.3">
      <c r="B599" s="33"/>
    </row>
    <row r="600" spans="2:2" ht="15.75" customHeight="1" x14ac:dyDescent="0.3">
      <c r="B600" s="33"/>
    </row>
    <row r="601" spans="2:2" ht="15.75" customHeight="1" x14ac:dyDescent="0.3">
      <c r="B601" s="33"/>
    </row>
    <row r="602" spans="2:2" ht="15.75" customHeight="1" x14ac:dyDescent="0.3">
      <c r="B602" s="33"/>
    </row>
    <row r="603" spans="2:2" ht="15.75" customHeight="1" x14ac:dyDescent="0.3">
      <c r="B603" s="33"/>
    </row>
    <row r="604" spans="2:2" ht="15.75" customHeight="1" x14ac:dyDescent="0.3">
      <c r="B604" s="33"/>
    </row>
    <row r="605" spans="2:2" ht="15.75" customHeight="1" x14ac:dyDescent="0.3">
      <c r="B605" s="33"/>
    </row>
    <row r="606" spans="2:2" ht="15.75" customHeight="1" x14ac:dyDescent="0.3">
      <c r="B606" s="33"/>
    </row>
    <row r="607" spans="2:2" ht="15.75" customHeight="1" x14ac:dyDescent="0.3">
      <c r="B607" s="33"/>
    </row>
    <row r="608" spans="2:2" ht="15.75" customHeight="1" x14ac:dyDescent="0.3">
      <c r="B608" s="33"/>
    </row>
    <row r="609" spans="2:2" ht="15.75" customHeight="1" x14ac:dyDescent="0.3">
      <c r="B609" s="33"/>
    </row>
    <row r="610" spans="2:2" ht="15.75" customHeight="1" x14ac:dyDescent="0.3">
      <c r="B610" s="33"/>
    </row>
    <row r="611" spans="2:2" ht="15.75" customHeight="1" x14ac:dyDescent="0.3">
      <c r="B611" s="33"/>
    </row>
    <row r="612" spans="2:2" ht="15.75" customHeight="1" x14ac:dyDescent="0.3">
      <c r="B612" s="33"/>
    </row>
    <row r="613" spans="2:2" ht="15.75" customHeight="1" x14ac:dyDescent="0.3">
      <c r="B613" s="33"/>
    </row>
    <row r="614" spans="2:2" ht="15.75" customHeight="1" x14ac:dyDescent="0.3">
      <c r="B614" s="33"/>
    </row>
    <row r="615" spans="2:2" ht="15.75" customHeight="1" x14ac:dyDescent="0.3">
      <c r="B615" s="33"/>
    </row>
    <row r="616" spans="2:2" ht="15.75" customHeight="1" x14ac:dyDescent="0.3">
      <c r="B616" s="33"/>
    </row>
    <row r="617" spans="2:2" ht="15.75" customHeight="1" x14ac:dyDescent="0.3">
      <c r="B617" s="33"/>
    </row>
    <row r="618" spans="2:2" ht="15.75" customHeight="1" x14ac:dyDescent="0.3">
      <c r="B618" s="33"/>
    </row>
    <row r="619" spans="2:2" ht="15.75" customHeight="1" x14ac:dyDescent="0.3">
      <c r="B619" s="33"/>
    </row>
    <row r="620" spans="2:2" ht="15.75" customHeight="1" x14ac:dyDescent="0.3">
      <c r="B620" s="33"/>
    </row>
    <row r="621" spans="2:2" ht="15.75" customHeight="1" x14ac:dyDescent="0.3">
      <c r="B621" s="33"/>
    </row>
    <row r="622" spans="2:2" ht="15.75" customHeight="1" x14ac:dyDescent="0.3">
      <c r="B622" s="33"/>
    </row>
    <row r="623" spans="2:2" ht="15.75" customHeight="1" x14ac:dyDescent="0.3">
      <c r="B623" s="33"/>
    </row>
    <row r="624" spans="2:2" ht="15.75" customHeight="1" x14ac:dyDescent="0.3">
      <c r="B624" s="33"/>
    </row>
    <row r="625" spans="2:2" ht="15.75" customHeight="1" x14ac:dyDescent="0.3">
      <c r="B625" s="33"/>
    </row>
    <row r="626" spans="2:2" ht="15.75" customHeight="1" x14ac:dyDescent="0.3">
      <c r="B626" s="33"/>
    </row>
    <row r="627" spans="2:2" ht="15.75" customHeight="1" x14ac:dyDescent="0.3">
      <c r="B627" s="33"/>
    </row>
    <row r="628" spans="2:2" ht="15.75" customHeight="1" x14ac:dyDescent="0.3">
      <c r="B628" s="33"/>
    </row>
    <row r="629" spans="2:2" ht="15.75" customHeight="1" x14ac:dyDescent="0.3">
      <c r="B629" s="33"/>
    </row>
    <row r="630" spans="2:2" ht="15.75" customHeight="1" x14ac:dyDescent="0.3">
      <c r="B630" s="33"/>
    </row>
    <row r="631" spans="2:2" ht="15.75" customHeight="1" x14ac:dyDescent="0.3">
      <c r="B631" s="33"/>
    </row>
    <row r="632" spans="2:2" ht="15.75" customHeight="1" x14ac:dyDescent="0.3">
      <c r="B632" s="33"/>
    </row>
    <row r="633" spans="2:2" ht="15.75" customHeight="1" x14ac:dyDescent="0.3">
      <c r="B633" s="33"/>
    </row>
    <row r="634" spans="2:2" ht="15.75" customHeight="1" x14ac:dyDescent="0.3">
      <c r="B634" s="33"/>
    </row>
    <row r="635" spans="2:2" ht="15.75" customHeight="1" x14ac:dyDescent="0.3">
      <c r="B635" s="33"/>
    </row>
    <row r="636" spans="2:2" ht="15.75" customHeight="1" x14ac:dyDescent="0.3">
      <c r="B636" s="33"/>
    </row>
    <row r="637" spans="2:2" ht="15.75" customHeight="1" x14ac:dyDescent="0.3">
      <c r="B637" s="33"/>
    </row>
    <row r="638" spans="2:2" ht="15.75" customHeight="1" x14ac:dyDescent="0.3">
      <c r="B638" s="33"/>
    </row>
    <row r="639" spans="2:2" ht="15.75" customHeight="1" x14ac:dyDescent="0.3">
      <c r="B639" s="33"/>
    </row>
    <row r="640" spans="2:2" ht="15.75" customHeight="1" x14ac:dyDescent="0.3">
      <c r="B640" s="33"/>
    </row>
    <row r="641" spans="2:2" ht="15.75" customHeight="1" x14ac:dyDescent="0.3">
      <c r="B641" s="33"/>
    </row>
    <row r="642" spans="2:2" ht="15.75" customHeight="1" x14ac:dyDescent="0.3">
      <c r="B642" s="33"/>
    </row>
    <row r="643" spans="2:2" ht="15.75" customHeight="1" x14ac:dyDescent="0.3">
      <c r="B643" s="33"/>
    </row>
    <row r="644" spans="2:2" ht="15.75" customHeight="1" x14ac:dyDescent="0.3">
      <c r="B644" s="33"/>
    </row>
    <row r="645" spans="2:2" ht="15.75" customHeight="1" x14ac:dyDescent="0.3">
      <c r="B645" s="33"/>
    </row>
    <row r="646" spans="2:2" ht="15.75" customHeight="1" x14ac:dyDescent="0.3">
      <c r="B646" s="33"/>
    </row>
    <row r="647" spans="2:2" ht="15.75" customHeight="1" x14ac:dyDescent="0.3">
      <c r="B647" s="33"/>
    </row>
    <row r="648" spans="2:2" ht="15.75" customHeight="1" x14ac:dyDescent="0.3">
      <c r="B648" s="33"/>
    </row>
    <row r="649" spans="2:2" ht="15.75" customHeight="1" x14ac:dyDescent="0.3">
      <c r="B649" s="33"/>
    </row>
    <row r="650" spans="2:2" ht="15.75" customHeight="1" x14ac:dyDescent="0.3">
      <c r="B650" s="33"/>
    </row>
    <row r="651" spans="2:2" ht="15.75" customHeight="1" x14ac:dyDescent="0.3">
      <c r="B651" s="33"/>
    </row>
    <row r="652" spans="2:2" ht="15.75" customHeight="1" x14ac:dyDescent="0.3">
      <c r="B652" s="33"/>
    </row>
    <row r="653" spans="2:2" ht="15.75" customHeight="1" x14ac:dyDescent="0.3">
      <c r="B653" s="33"/>
    </row>
    <row r="654" spans="2:2" ht="15.75" customHeight="1" x14ac:dyDescent="0.3">
      <c r="B654" s="33"/>
    </row>
    <row r="655" spans="2:2" ht="15.75" customHeight="1" x14ac:dyDescent="0.3">
      <c r="B655" s="33"/>
    </row>
    <row r="656" spans="2:2" ht="15.75" customHeight="1" x14ac:dyDescent="0.3">
      <c r="B656" s="33"/>
    </row>
    <row r="657" spans="2:2" ht="15.75" customHeight="1" x14ac:dyDescent="0.3">
      <c r="B657" s="33"/>
    </row>
    <row r="658" spans="2:2" ht="15.75" customHeight="1" x14ac:dyDescent="0.3">
      <c r="B658" s="33"/>
    </row>
    <row r="659" spans="2:2" ht="15.75" customHeight="1" x14ac:dyDescent="0.3">
      <c r="B659" s="33"/>
    </row>
    <row r="660" spans="2:2" ht="15.75" customHeight="1" x14ac:dyDescent="0.3">
      <c r="B660" s="33"/>
    </row>
    <row r="661" spans="2:2" ht="15.75" customHeight="1" x14ac:dyDescent="0.3">
      <c r="B661" s="33"/>
    </row>
    <row r="662" spans="2:2" ht="15.75" customHeight="1" x14ac:dyDescent="0.3">
      <c r="B662" s="33"/>
    </row>
    <row r="663" spans="2:2" ht="15.75" customHeight="1" x14ac:dyDescent="0.3">
      <c r="B663" s="33"/>
    </row>
    <row r="664" spans="2:2" ht="15.75" customHeight="1" x14ac:dyDescent="0.3">
      <c r="B664" s="33"/>
    </row>
    <row r="665" spans="2:2" ht="15.75" customHeight="1" x14ac:dyDescent="0.3">
      <c r="B665" s="33"/>
    </row>
    <row r="666" spans="2:2" ht="15.75" customHeight="1" x14ac:dyDescent="0.3">
      <c r="B666" s="33"/>
    </row>
    <row r="667" spans="2:2" ht="15.75" customHeight="1" x14ac:dyDescent="0.3">
      <c r="B667" s="33"/>
    </row>
    <row r="668" spans="2:2" ht="15.75" customHeight="1" x14ac:dyDescent="0.3">
      <c r="B668" s="33"/>
    </row>
    <row r="669" spans="2:2" ht="15.75" customHeight="1" x14ac:dyDescent="0.3">
      <c r="B669" s="33"/>
    </row>
    <row r="670" spans="2:2" ht="15.75" customHeight="1" x14ac:dyDescent="0.3">
      <c r="B670" s="33"/>
    </row>
    <row r="671" spans="2:2" ht="15.75" customHeight="1" x14ac:dyDescent="0.3">
      <c r="B671" s="33"/>
    </row>
    <row r="672" spans="2:2" ht="15.75" customHeight="1" x14ac:dyDescent="0.3">
      <c r="B672" s="33"/>
    </row>
    <row r="673" spans="2:2" ht="15.75" customHeight="1" x14ac:dyDescent="0.3">
      <c r="B673" s="33"/>
    </row>
    <row r="674" spans="2:2" ht="15.75" customHeight="1" x14ac:dyDescent="0.3">
      <c r="B674" s="33"/>
    </row>
    <row r="675" spans="2:2" ht="15.75" customHeight="1" x14ac:dyDescent="0.3">
      <c r="B675" s="33"/>
    </row>
    <row r="676" spans="2:2" ht="15.75" customHeight="1" x14ac:dyDescent="0.3">
      <c r="B676" s="33"/>
    </row>
    <row r="677" spans="2:2" ht="15.75" customHeight="1" x14ac:dyDescent="0.3">
      <c r="B677" s="33"/>
    </row>
    <row r="678" spans="2:2" ht="15.75" customHeight="1" x14ac:dyDescent="0.3">
      <c r="B678" s="33"/>
    </row>
    <row r="679" spans="2:2" ht="15.75" customHeight="1" x14ac:dyDescent="0.3">
      <c r="B679" s="33"/>
    </row>
    <row r="680" spans="2:2" ht="15.75" customHeight="1" x14ac:dyDescent="0.3">
      <c r="B680" s="33"/>
    </row>
    <row r="681" spans="2:2" ht="15.75" customHeight="1" x14ac:dyDescent="0.3">
      <c r="B681" s="33"/>
    </row>
    <row r="682" spans="2:2" ht="15.75" customHeight="1" x14ac:dyDescent="0.3">
      <c r="B682" s="33"/>
    </row>
    <row r="683" spans="2:2" ht="15.75" customHeight="1" x14ac:dyDescent="0.3">
      <c r="B683" s="33"/>
    </row>
    <row r="684" spans="2:2" ht="15.75" customHeight="1" x14ac:dyDescent="0.3">
      <c r="B684" s="33"/>
    </row>
    <row r="685" spans="2:2" ht="15.75" customHeight="1" x14ac:dyDescent="0.3">
      <c r="B685" s="33"/>
    </row>
    <row r="686" spans="2:2" ht="15.75" customHeight="1" x14ac:dyDescent="0.3">
      <c r="B686" s="33"/>
    </row>
    <row r="687" spans="2:2" ht="15.75" customHeight="1" x14ac:dyDescent="0.3">
      <c r="B687" s="33"/>
    </row>
    <row r="688" spans="2:2" ht="15.75" customHeight="1" x14ac:dyDescent="0.3">
      <c r="B688" s="33"/>
    </row>
    <row r="689" spans="2:2" ht="15.75" customHeight="1" x14ac:dyDescent="0.3">
      <c r="B689" s="33"/>
    </row>
    <row r="690" spans="2:2" ht="15.75" customHeight="1" x14ac:dyDescent="0.3">
      <c r="B690" s="33"/>
    </row>
    <row r="691" spans="2:2" ht="15.75" customHeight="1" x14ac:dyDescent="0.3">
      <c r="B691" s="33"/>
    </row>
    <row r="692" spans="2:2" ht="15.75" customHeight="1" x14ac:dyDescent="0.3">
      <c r="B692" s="33"/>
    </row>
    <row r="693" spans="2:2" ht="15.75" customHeight="1" x14ac:dyDescent="0.3">
      <c r="B693" s="33"/>
    </row>
    <row r="694" spans="2:2" ht="15.75" customHeight="1" x14ac:dyDescent="0.3">
      <c r="B694" s="33"/>
    </row>
    <row r="695" spans="2:2" ht="15.75" customHeight="1" x14ac:dyDescent="0.3">
      <c r="B695" s="33"/>
    </row>
    <row r="696" spans="2:2" ht="15.75" customHeight="1" x14ac:dyDescent="0.3">
      <c r="B696" s="33"/>
    </row>
    <row r="697" spans="2:2" ht="15.75" customHeight="1" x14ac:dyDescent="0.3">
      <c r="B697" s="33"/>
    </row>
    <row r="698" spans="2:2" ht="15.75" customHeight="1" x14ac:dyDescent="0.3">
      <c r="B698" s="33"/>
    </row>
    <row r="699" spans="2:2" ht="15.75" customHeight="1" x14ac:dyDescent="0.3">
      <c r="B699" s="33"/>
    </row>
    <row r="700" spans="2:2" ht="15.75" customHeight="1" x14ac:dyDescent="0.3">
      <c r="B700" s="33"/>
    </row>
    <row r="701" spans="2:2" ht="15.75" customHeight="1" x14ac:dyDescent="0.3">
      <c r="B701" s="33"/>
    </row>
    <row r="702" spans="2:2" ht="15.75" customHeight="1" x14ac:dyDescent="0.3">
      <c r="B702" s="33"/>
    </row>
    <row r="703" spans="2:2" ht="15.75" customHeight="1" x14ac:dyDescent="0.3">
      <c r="B703" s="33"/>
    </row>
    <row r="704" spans="2:2" ht="15.75" customHeight="1" x14ac:dyDescent="0.3">
      <c r="B704" s="33"/>
    </row>
    <row r="705" spans="2:2" ht="15.75" customHeight="1" x14ac:dyDescent="0.3">
      <c r="B705" s="33"/>
    </row>
    <row r="706" spans="2:2" ht="15.75" customHeight="1" x14ac:dyDescent="0.3">
      <c r="B706" s="33"/>
    </row>
    <row r="707" spans="2:2" ht="15.75" customHeight="1" x14ac:dyDescent="0.3">
      <c r="B707" s="33"/>
    </row>
    <row r="708" spans="2:2" ht="15.75" customHeight="1" x14ac:dyDescent="0.3">
      <c r="B708" s="33"/>
    </row>
    <row r="709" spans="2:2" ht="15.75" customHeight="1" x14ac:dyDescent="0.3">
      <c r="B709" s="33"/>
    </row>
    <row r="710" spans="2:2" ht="15.75" customHeight="1" x14ac:dyDescent="0.3">
      <c r="B710" s="33"/>
    </row>
    <row r="711" spans="2:2" ht="15.75" customHeight="1" x14ac:dyDescent="0.3">
      <c r="B711" s="33"/>
    </row>
    <row r="712" spans="2:2" ht="15.75" customHeight="1" x14ac:dyDescent="0.3">
      <c r="B712" s="33"/>
    </row>
    <row r="713" spans="2:2" ht="15.75" customHeight="1" x14ac:dyDescent="0.3">
      <c r="B713" s="33"/>
    </row>
    <row r="714" spans="2:2" ht="15.75" customHeight="1" x14ac:dyDescent="0.3">
      <c r="B714" s="33"/>
    </row>
    <row r="715" spans="2:2" ht="15.75" customHeight="1" x14ac:dyDescent="0.3">
      <c r="B715" s="33"/>
    </row>
    <row r="716" spans="2:2" ht="15.75" customHeight="1" x14ac:dyDescent="0.3">
      <c r="B716" s="33"/>
    </row>
    <row r="717" spans="2:2" ht="15.75" customHeight="1" x14ac:dyDescent="0.3">
      <c r="B717" s="33"/>
    </row>
    <row r="718" spans="2:2" ht="15.75" customHeight="1" x14ac:dyDescent="0.3">
      <c r="B718" s="33"/>
    </row>
    <row r="719" spans="2:2" ht="15.75" customHeight="1" x14ac:dyDescent="0.3">
      <c r="B719" s="33"/>
    </row>
    <row r="720" spans="2:2" ht="15.75" customHeight="1" x14ac:dyDescent="0.3">
      <c r="B720" s="33"/>
    </row>
    <row r="721" spans="2:2" ht="15.75" customHeight="1" x14ac:dyDescent="0.3">
      <c r="B721" s="33"/>
    </row>
    <row r="722" spans="2:2" ht="15.75" customHeight="1" x14ac:dyDescent="0.3">
      <c r="B722" s="33"/>
    </row>
    <row r="723" spans="2:2" ht="15.75" customHeight="1" x14ac:dyDescent="0.3">
      <c r="B723" s="33"/>
    </row>
    <row r="724" spans="2:2" ht="15.75" customHeight="1" x14ac:dyDescent="0.3">
      <c r="B724" s="33"/>
    </row>
    <row r="725" spans="2:2" ht="15.75" customHeight="1" x14ac:dyDescent="0.3">
      <c r="B725" s="33"/>
    </row>
    <row r="726" spans="2:2" ht="15.75" customHeight="1" x14ac:dyDescent="0.3">
      <c r="B726" s="33"/>
    </row>
    <row r="727" spans="2:2" ht="15.75" customHeight="1" x14ac:dyDescent="0.3">
      <c r="B727" s="33"/>
    </row>
    <row r="728" spans="2:2" ht="15.75" customHeight="1" x14ac:dyDescent="0.3">
      <c r="B728" s="33"/>
    </row>
    <row r="729" spans="2:2" ht="15.75" customHeight="1" x14ac:dyDescent="0.3">
      <c r="B729" s="33"/>
    </row>
    <row r="730" spans="2:2" ht="15.75" customHeight="1" x14ac:dyDescent="0.3">
      <c r="B730" s="33"/>
    </row>
    <row r="731" spans="2:2" ht="15.75" customHeight="1" x14ac:dyDescent="0.3">
      <c r="B731" s="33"/>
    </row>
    <row r="732" spans="2:2" ht="15.75" customHeight="1" x14ac:dyDescent="0.3">
      <c r="B732" s="33"/>
    </row>
    <row r="733" spans="2:2" ht="15.75" customHeight="1" x14ac:dyDescent="0.3">
      <c r="B733" s="33"/>
    </row>
    <row r="734" spans="2:2" ht="15.75" customHeight="1" x14ac:dyDescent="0.3">
      <c r="B734" s="33"/>
    </row>
    <row r="735" spans="2:2" ht="15.75" customHeight="1" x14ac:dyDescent="0.3">
      <c r="B735" s="33"/>
    </row>
    <row r="736" spans="2:2" ht="15.75" customHeight="1" x14ac:dyDescent="0.3">
      <c r="B736" s="33"/>
    </row>
    <row r="737" spans="2:2" ht="15.75" customHeight="1" x14ac:dyDescent="0.3">
      <c r="B737" s="33"/>
    </row>
    <row r="738" spans="2:2" ht="15.75" customHeight="1" x14ac:dyDescent="0.3">
      <c r="B738" s="33"/>
    </row>
    <row r="739" spans="2:2" ht="15.75" customHeight="1" x14ac:dyDescent="0.3">
      <c r="B739" s="33"/>
    </row>
    <row r="740" spans="2:2" ht="15.75" customHeight="1" x14ac:dyDescent="0.3">
      <c r="B740" s="33"/>
    </row>
    <row r="741" spans="2:2" ht="15.75" customHeight="1" x14ac:dyDescent="0.3">
      <c r="B741" s="33"/>
    </row>
    <row r="742" spans="2:2" ht="15.75" customHeight="1" x14ac:dyDescent="0.3">
      <c r="B742" s="33"/>
    </row>
    <row r="743" spans="2:2" ht="15.75" customHeight="1" x14ac:dyDescent="0.3">
      <c r="B743" s="33"/>
    </row>
    <row r="744" spans="2:2" ht="15.75" customHeight="1" x14ac:dyDescent="0.3">
      <c r="B744" s="33"/>
    </row>
    <row r="745" spans="2:2" ht="15.75" customHeight="1" x14ac:dyDescent="0.3">
      <c r="B745" s="33"/>
    </row>
    <row r="746" spans="2:2" ht="15.75" customHeight="1" x14ac:dyDescent="0.3">
      <c r="B746" s="33"/>
    </row>
    <row r="747" spans="2:2" ht="15.75" customHeight="1" x14ac:dyDescent="0.3">
      <c r="B747" s="33"/>
    </row>
    <row r="748" spans="2:2" ht="15.75" customHeight="1" x14ac:dyDescent="0.3">
      <c r="B748" s="33"/>
    </row>
    <row r="749" spans="2:2" ht="15.75" customHeight="1" x14ac:dyDescent="0.3">
      <c r="B749" s="33"/>
    </row>
    <row r="750" spans="2:2" ht="15.75" customHeight="1" x14ac:dyDescent="0.3">
      <c r="B750" s="33"/>
    </row>
    <row r="751" spans="2:2" ht="15.75" customHeight="1" x14ac:dyDescent="0.3">
      <c r="B751" s="33"/>
    </row>
    <row r="752" spans="2:2" ht="15.75" customHeight="1" x14ac:dyDescent="0.3">
      <c r="B752" s="33"/>
    </row>
    <row r="753" spans="2:2" ht="15.75" customHeight="1" x14ac:dyDescent="0.3">
      <c r="B753" s="33"/>
    </row>
    <row r="754" spans="2:2" ht="15.75" customHeight="1" x14ac:dyDescent="0.3">
      <c r="B754" s="33"/>
    </row>
    <row r="755" spans="2:2" ht="15.75" customHeight="1" x14ac:dyDescent="0.3">
      <c r="B755" s="33"/>
    </row>
    <row r="756" spans="2:2" ht="15.75" customHeight="1" x14ac:dyDescent="0.3">
      <c r="B756" s="33"/>
    </row>
    <row r="757" spans="2:2" ht="15.75" customHeight="1" x14ac:dyDescent="0.3">
      <c r="B757" s="33"/>
    </row>
    <row r="758" spans="2:2" ht="15.75" customHeight="1" x14ac:dyDescent="0.3">
      <c r="B758" s="33"/>
    </row>
    <row r="759" spans="2:2" ht="15.75" customHeight="1" x14ac:dyDescent="0.3">
      <c r="B759" s="33"/>
    </row>
    <row r="760" spans="2:2" ht="15.75" customHeight="1" x14ac:dyDescent="0.3">
      <c r="B760" s="33"/>
    </row>
    <row r="761" spans="2:2" ht="15.75" customHeight="1" x14ac:dyDescent="0.3">
      <c r="B761" s="33"/>
    </row>
    <row r="762" spans="2:2" ht="15.75" customHeight="1" x14ac:dyDescent="0.3">
      <c r="B762" s="33"/>
    </row>
    <row r="763" spans="2:2" ht="15.75" customHeight="1" x14ac:dyDescent="0.3">
      <c r="B763" s="33"/>
    </row>
    <row r="764" spans="2:2" ht="15.75" customHeight="1" x14ac:dyDescent="0.3">
      <c r="B764" s="33"/>
    </row>
    <row r="765" spans="2:2" ht="15.75" customHeight="1" x14ac:dyDescent="0.3">
      <c r="B765" s="33"/>
    </row>
    <row r="766" spans="2:2" ht="15.75" customHeight="1" x14ac:dyDescent="0.3">
      <c r="B766" s="33"/>
    </row>
    <row r="767" spans="2:2" ht="15.75" customHeight="1" x14ac:dyDescent="0.3">
      <c r="B767" s="33"/>
    </row>
    <row r="768" spans="2:2" ht="15.75" customHeight="1" x14ac:dyDescent="0.3">
      <c r="B768" s="33"/>
    </row>
    <row r="769" spans="2:2" ht="15.75" customHeight="1" x14ac:dyDescent="0.3">
      <c r="B769" s="33"/>
    </row>
    <row r="770" spans="2:2" ht="15.75" customHeight="1" x14ac:dyDescent="0.3">
      <c r="B770" s="33"/>
    </row>
    <row r="771" spans="2:2" ht="15.75" customHeight="1" x14ac:dyDescent="0.3">
      <c r="B771" s="33"/>
    </row>
    <row r="772" spans="2:2" ht="15.75" customHeight="1" x14ac:dyDescent="0.3">
      <c r="B772" s="33"/>
    </row>
    <row r="773" spans="2:2" ht="15.75" customHeight="1" x14ac:dyDescent="0.3">
      <c r="B773" s="33"/>
    </row>
    <row r="774" spans="2:2" ht="15.75" customHeight="1" x14ac:dyDescent="0.3">
      <c r="B774" s="33"/>
    </row>
    <row r="775" spans="2:2" ht="15.75" customHeight="1" x14ac:dyDescent="0.3">
      <c r="B775" s="33"/>
    </row>
    <row r="776" spans="2:2" ht="15.75" customHeight="1" x14ac:dyDescent="0.3">
      <c r="B776" s="33"/>
    </row>
    <row r="777" spans="2:2" ht="15.75" customHeight="1" x14ac:dyDescent="0.3">
      <c r="B777" s="33"/>
    </row>
    <row r="778" spans="2:2" ht="15.75" customHeight="1" x14ac:dyDescent="0.3">
      <c r="B778" s="33"/>
    </row>
    <row r="779" spans="2:2" ht="15.75" customHeight="1" x14ac:dyDescent="0.3">
      <c r="B779" s="33"/>
    </row>
    <row r="780" spans="2:2" ht="15.75" customHeight="1" x14ac:dyDescent="0.3">
      <c r="B780" s="33"/>
    </row>
    <row r="781" spans="2:2" ht="15.75" customHeight="1" x14ac:dyDescent="0.3">
      <c r="B781" s="33"/>
    </row>
    <row r="782" spans="2:2" ht="15.75" customHeight="1" x14ac:dyDescent="0.3">
      <c r="B782" s="33"/>
    </row>
    <row r="783" spans="2:2" ht="15.75" customHeight="1" x14ac:dyDescent="0.3">
      <c r="B783" s="33"/>
    </row>
    <row r="784" spans="2:2" ht="15.75" customHeight="1" x14ac:dyDescent="0.3">
      <c r="B784" s="33"/>
    </row>
    <row r="785" spans="2:2" ht="15.75" customHeight="1" x14ac:dyDescent="0.3">
      <c r="B785" s="33"/>
    </row>
    <row r="786" spans="2:2" ht="15.75" customHeight="1" x14ac:dyDescent="0.3">
      <c r="B786" s="33"/>
    </row>
    <row r="787" spans="2:2" ht="15.75" customHeight="1" x14ac:dyDescent="0.3">
      <c r="B787" s="33"/>
    </row>
    <row r="788" spans="2:2" ht="15.75" customHeight="1" x14ac:dyDescent="0.3">
      <c r="B788" s="33"/>
    </row>
    <row r="789" spans="2:2" ht="15.75" customHeight="1" x14ac:dyDescent="0.3">
      <c r="B789" s="33"/>
    </row>
    <row r="790" spans="2:2" ht="15.75" customHeight="1" x14ac:dyDescent="0.3">
      <c r="B790" s="33"/>
    </row>
    <row r="791" spans="2:2" ht="15.75" customHeight="1" x14ac:dyDescent="0.3">
      <c r="B791" s="33"/>
    </row>
    <row r="792" spans="2:2" ht="15.75" customHeight="1" x14ac:dyDescent="0.3">
      <c r="B792" s="33"/>
    </row>
    <row r="793" spans="2:2" ht="15.75" customHeight="1" x14ac:dyDescent="0.3">
      <c r="B793" s="33"/>
    </row>
    <row r="794" spans="2:2" ht="15.75" customHeight="1" x14ac:dyDescent="0.3">
      <c r="B794" s="33"/>
    </row>
    <row r="795" spans="2:2" ht="15.75" customHeight="1" x14ac:dyDescent="0.3">
      <c r="B795" s="33"/>
    </row>
    <row r="796" spans="2:2" ht="15.75" customHeight="1" x14ac:dyDescent="0.3">
      <c r="B796" s="33"/>
    </row>
    <row r="797" spans="2:2" ht="15.75" customHeight="1" x14ac:dyDescent="0.3">
      <c r="B797" s="33"/>
    </row>
    <row r="798" spans="2:2" ht="15.75" customHeight="1" x14ac:dyDescent="0.3">
      <c r="B798" s="33"/>
    </row>
    <row r="799" spans="2:2" ht="15.75" customHeight="1" x14ac:dyDescent="0.3">
      <c r="B799" s="33"/>
    </row>
    <row r="800" spans="2:2" ht="15.75" customHeight="1" x14ac:dyDescent="0.3">
      <c r="B800" s="33"/>
    </row>
    <row r="801" spans="2:2" ht="15.75" customHeight="1" x14ac:dyDescent="0.3">
      <c r="B801" s="33"/>
    </row>
    <row r="802" spans="2:2" ht="15.75" customHeight="1" x14ac:dyDescent="0.3">
      <c r="B802" s="33"/>
    </row>
    <row r="803" spans="2:2" ht="15.75" customHeight="1" x14ac:dyDescent="0.3">
      <c r="B803" s="33"/>
    </row>
    <row r="804" spans="2:2" ht="15.75" customHeight="1" x14ac:dyDescent="0.3">
      <c r="B804" s="33"/>
    </row>
    <row r="805" spans="2:2" ht="15.75" customHeight="1" x14ac:dyDescent="0.3">
      <c r="B805" s="33"/>
    </row>
    <row r="806" spans="2:2" ht="15.75" customHeight="1" x14ac:dyDescent="0.3">
      <c r="B806" s="33"/>
    </row>
    <row r="807" spans="2:2" ht="15.75" customHeight="1" x14ac:dyDescent="0.3">
      <c r="B807" s="33"/>
    </row>
    <row r="808" spans="2:2" ht="15.75" customHeight="1" x14ac:dyDescent="0.3">
      <c r="B808" s="33"/>
    </row>
    <row r="809" spans="2:2" ht="15.75" customHeight="1" x14ac:dyDescent="0.3">
      <c r="B809" s="33"/>
    </row>
    <row r="810" spans="2:2" ht="15.75" customHeight="1" x14ac:dyDescent="0.3">
      <c r="B810" s="33"/>
    </row>
    <row r="811" spans="2:2" ht="15.75" customHeight="1" x14ac:dyDescent="0.3">
      <c r="B811" s="33"/>
    </row>
    <row r="812" spans="2:2" ht="15.75" customHeight="1" x14ac:dyDescent="0.3">
      <c r="B812" s="33"/>
    </row>
    <row r="813" spans="2:2" ht="15.75" customHeight="1" x14ac:dyDescent="0.3">
      <c r="B813" s="33"/>
    </row>
    <row r="814" spans="2:2" ht="15.75" customHeight="1" x14ac:dyDescent="0.3">
      <c r="B814" s="33"/>
    </row>
    <row r="815" spans="2:2" ht="15.75" customHeight="1" x14ac:dyDescent="0.3">
      <c r="B815" s="33"/>
    </row>
    <row r="816" spans="2:2" ht="15.75" customHeight="1" x14ac:dyDescent="0.3">
      <c r="B816" s="33"/>
    </row>
    <row r="817" spans="2:2" ht="15.75" customHeight="1" x14ac:dyDescent="0.3">
      <c r="B817" s="33"/>
    </row>
    <row r="818" spans="2:2" ht="15.75" customHeight="1" x14ac:dyDescent="0.3">
      <c r="B818" s="33"/>
    </row>
    <row r="819" spans="2:2" ht="15.75" customHeight="1" x14ac:dyDescent="0.3">
      <c r="B819" s="33"/>
    </row>
    <row r="820" spans="2:2" ht="15.75" customHeight="1" x14ac:dyDescent="0.3">
      <c r="B820" s="33"/>
    </row>
    <row r="821" spans="2:2" ht="15.75" customHeight="1" x14ac:dyDescent="0.3">
      <c r="B821" s="33"/>
    </row>
    <row r="822" spans="2:2" ht="15.75" customHeight="1" x14ac:dyDescent="0.3">
      <c r="B822" s="33"/>
    </row>
    <row r="823" spans="2:2" ht="15.75" customHeight="1" x14ac:dyDescent="0.3">
      <c r="B823" s="33"/>
    </row>
    <row r="824" spans="2:2" ht="15.75" customHeight="1" x14ac:dyDescent="0.3">
      <c r="B824" s="33"/>
    </row>
    <row r="825" spans="2:2" ht="15.75" customHeight="1" x14ac:dyDescent="0.3">
      <c r="B825" s="33"/>
    </row>
    <row r="826" spans="2:2" ht="15.75" customHeight="1" x14ac:dyDescent="0.3">
      <c r="B826" s="33"/>
    </row>
    <row r="827" spans="2:2" ht="15.75" customHeight="1" x14ac:dyDescent="0.3">
      <c r="B827" s="33"/>
    </row>
    <row r="828" spans="2:2" ht="15.75" customHeight="1" x14ac:dyDescent="0.3">
      <c r="B828" s="33"/>
    </row>
    <row r="829" spans="2:2" ht="15.75" customHeight="1" x14ac:dyDescent="0.3">
      <c r="B829" s="33"/>
    </row>
    <row r="830" spans="2:2" ht="15.75" customHeight="1" x14ac:dyDescent="0.3">
      <c r="B830" s="33"/>
    </row>
    <row r="831" spans="2:2" ht="15.75" customHeight="1" x14ac:dyDescent="0.3">
      <c r="B831" s="33"/>
    </row>
    <row r="832" spans="2:2" ht="15.75" customHeight="1" x14ac:dyDescent="0.3">
      <c r="B832" s="33"/>
    </row>
    <row r="833" spans="2:2" ht="15.75" customHeight="1" x14ac:dyDescent="0.3">
      <c r="B833" s="33"/>
    </row>
    <row r="834" spans="2:2" ht="15.75" customHeight="1" x14ac:dyDescent="0.3">
      <c r="B834" s="33"/>
    </row>
    <row r="835" spans="2:2" ht="15.75" customHeight="1" x14ac:dyDescent="0.3">
      <c r="B835" s="33"/>
    </row>
    <row r="836" spans="2:2" ht="15.75" customHeight="1" x14ac:dyDescent="0.3">
      <c r="B836" s="33"/>
    </row>
    <row r="837" spans="2:2" ht="15.75" customHeight="1" x14ac:dyDescent="0.3">
      <c r="B837" s="33"/>
    </row>
    <row r="838" spans="2:2" ht="15.75" customHeight="1" x14ac:dyDescent="0.3">
      <c r="B838" s="33"/>
    </row>
    <row r="839" spans="2:2" ht="15.75" customHeight="1" x14ac:dyDescent="0.3">
      <c r="B839" s="33"/>
    </row>
    <row r="840" spans="2:2" ht="15.75" customHeight="1" x14ac:dyDescent="0.3">
      <c r="B840" s="33"/>
    </row>
    <row r="841" spans="2:2" ht="15.75" customHeight="1" x14ac:dyDescent="0.3">
      <c r="B841" s="33"/>
    </row>
    <row r="842" spans="2:2" ht="15.75" customHeight="1" x14ac:dyDescent="0.3">
      <c r="B842" s="33"/>
    </row>
    <row r="843" spans="2:2" ht="15.75" customHeight="1" x14ac:dyDescent="0.3">
      <c r="B843" s="33"/>
    </row>
    <row r="844" spans="2:2" ht="15.75" customHeight="1" x14ac:dyDescent="0.3">
      <c r="B844" s="33"/>
    </row>
    <row r="845" spans="2:2" ht="15.75" customHeight="1" x14ac:dyDescent="0.3">
      <c r="B845" s="33"/>
    </row>
    <row r="846" spans="2:2" ht="15.75" customHeight="1" x14ac:dyDescent="0.3">
      <c r="B846" s="33"/>
    </row>
    <row r="847" spans="2:2" ht="15.75" customHeight="1" x14ac:dyDescent="0.3">
      <c r="B847" s="33"/>
    </row>
    <row r="848" spans="2:2" ht="15.75" customHeight="1" x14ac:dyDescent="0.3">
      <c r="B848" s="33"/>
    </row>
    <row r="849" spans="2:2" ht="15.75" customHeight="1" x14ac:dyDescent="0.3">
      <c r="B849" s="33"/>
    </row>
    <row r="850" spans="2:2" ht="15.75" customHeight="1" x14ac:dyDescent="0.3">
      <c r="B850" s="33"/>
    </row>
    <row r="851" spans="2:2" ht="15.75" customHeight="1" x14ac:dyDescent="0.3">
      <c r="B851" s="33"/>
    </row>
    <row r="852" spans="2:2" ht="15.75" customHeight="1" x14ac:dyDescent="0.3">
      <c r="B852" s="33"/>
    </row>
    <row r="853" spans="2:2" ht="15.75" customHeight="1" x14ac:dyDescent="0.3">
      <c r="B853" s="33"/>
    </row>
    <row r="854" spans="2:2" ht="15.75" customHeight="1" x14ac:dyDescent="0.3">
      <c r="B854" s="33"/>
    </row>
    <row r="855" spans="2:2" ht="15.75" customHeight="1" x14ac:dyDescent="0.3">
      <c r="B855" s="33"/>
    </row>
    <row r="856" spans="2:2" ht="15.75" customHeight="1" x14ac:dyDescent="0.3">
      <c r="B856" s="33"/>
    </row>
    <row r="857" spans="2:2" ht="15.75" customHeight="1" x14ac:dyDescent="0.3">
      <c r="B857" s="33"/>
    </row>
    <row r="858" spans="2:2" ht="15.75" customHeight="1" x14ac:dyDescent="0.3">
      <c r="B858" s="33"/>
    </row>
    <row r="859" spans="2:2" ht="15.75" customHeight="1" x14ac:dyDescent="0.3">
      <c r="B859" s="33"/>
    </row>
    <row r="860" spans="2:2" ht="15.75" customHeight="1" x14ac:dyDescent="0.3">
      <c r="B860" s="33"/>
    </row>
    <row r="861" spans="2:2" ht="15.75" customHeight="1" x14ac:dyDescent="0.3">
      <c r="B861" s="33"/>
    </row>
    <row r="862" spans="2:2" ht="15.75" customHeight="1" x14ac:dyDescent="0.3">
      <c r="B862" s="33"/>
    </row>
    <row r="863" spans="2:2" ht="15.75" customHeight="1" x14ac:dyDescent="0.3">
      <c r="B863" s="33"/>
    </row>
    <row r="864" spans="2:2" ht="15.75" customHeight="1" x14ac:dyDescent="0.3">
      <c r="B864" s="33"/>
    </row>
    <row r="865" spans="2:2" ht="15.75" customHeight="1" x14ac:dyDescent="0.3">
      <c r="B865" s="33"/>
    </row>
    <row r="866" spans="2:2" ht="15.75" customHeight="1" x14ac:dyDescent="0.3">
      <c r="B866" s="33"/>
    </row>
    <row r="867" spans="2:2" ht="15.75" customHeight="1" x14ac:dyDescent="0.3">
      <c r="B867" s="33"/>
    </row>
    <row r="868" spans="2:2" ht="15.75" customHeight="1" x14ac:dyDescent="0.3">
      <c r="B868" s="33"/>
    </row>
    <row r="869" spans="2:2" ht="15.75" customHeight="1" x14ac:dyDescent="0.3">
      <c r="B869" s="33"/>
    </row>
    <row r="870" spans="2:2" ht="15.75" customHeight="1" x14ac:dyDescent="0.3">
      <c r="B870" s="33"/>
    </row>
    <row r="871" spans="2:2" ht="15.75" customHeight="1" x14ac:dyDescent="0.3">
      <c r="B871" s="33"/>
    </row>
    <row r="872" spans="2:2" ht="15.75" customHeight="1" x14ac:dyDescent="0.3">
      <c r="B872" s="33"/>
    </row>
    <row r="873" spans="2:2" ht="15.75" customHeight="1" x14ac:dyDescent="0.3">
      <c r="B873" s="33"/>
    </row>
    <row r="874" spans="2:2" ht="15.75" customHeight="1" x14ac:dyDescent="0.3">
      <c r="B874" s="33"/>
    </row>
    <row r="875" spans="2:2" ht="15.75" customHeight="1" x14ac:dyDescent="0.3">
      <c r="B875" s="33"/>
    </row>
    <row r="876" spans="2:2" ht="15.75" customHeight="1" x14ac:dyDescent="0.3">
      <c r="B876" s="33"/>
    </row>
    <row r="877" spans="2:2" ht="15.75" customHeight="1" x14ac:dyDescent="0.3">
      <c r="B877" s="33"/>
    </row>
    <row r="878" spans="2:2" ht="15.75" customHeight="1" x14ac:dyDescent="0.3">
      <c r="B878" s="33"/>
    </row>
    <row r="879" spans="2:2" ht="15.75" customHeight="1" x14ac:dyDescent="0.3">
      <c r="B879" s="33"/>
    </row>
    <row r="880" spans="2:2" ht="15.75" customHeight="1" x14ac:dyDescent="0.3">
      <c r="B880" s="33"/>
    </row>
    <row r="881" spans="2:2" ht="15.75" customHeight="1" x14ac:dyDescent="0.3">
      <c r="B881" s="33"/>
    </row>
    <row r="882" spans="2:2" ht="15.75" customHeight="1" x14ac:dyDescent="0.3">
      <c r="B882" s="33"/>
    </row>
    <row r="883" spans="2:2" ht="15.75" customHeight="1" x14ac:dyDescent="0.3">
      <c r="B883" s="33"/>
    </row>
    <row r="884" spans="2:2" ht="15.75" customHeight="1" x14ac:dyDescent="0.3">
      <c r="B884" s="33"/>
    </row>
    <row r="885" spans="2:2" ht="15.75" customHeight="1" x14ac:dyDescent="0.3">
      <c r="B885" s="33"/>
    </row>
    <row r="886" spans="2:2" ht="15.75" customHeight="1" x14ac:dyDescent="0.3">
      <c r="B886" s="33"/>
    </row>
    <row r="887" spans="2:2" ht="15.75" customHeight="1" x14ac:dyDescent="0.3">
      <c r="B887" s="33"/>
    </row>
    <row r="888" spans="2:2" ht="15.75" customHeight="1" x14ac:dyDescent="0.3">
      <c r="B888" s="33"/>
    </row>
    <row r="889" spans="2:2" ht="15.75" customHeight="1" x14ac:dyDescent="0.3">
      <c r="B889" s="33"/>
    </row>
    <row r="890" spans="2:2" ht="15.75" customHeight="1" x14ac:dyDescent="0.3">
      <c r="B890" s="33"/>
    </row>
    <row r="891" spans="2:2" ht="15.75" customHeight="1" x14ac:dyDescent="0.3">
      <c r="B891" s="33"/>
    </row>
    <row r="892" spans="2:2" ht="15.75" customHeight="1" x14ac:dyDescent="0.3">
      <c r="B892" s="33"/>
    </row>
    <row r="893" spans="2:2" ht="15.75" customHeight="1" x14ac:dyDescent="0.3">
      <c r="B893" s="33"/>
    </row>
    <row r="894" spans="2:2" ht="15.75" customHeight="1" x14ac:dyDescent="0.3">
      <c r="B894" s="33"/>
    </row>
    <row r="895" spans="2:2" ht="15.75" customHeight="1" x14ac:dyDescent="0.3">
      <c r="B895" s="33"/>
    </row>
    <row r="896" spans="2:2" ht="15.75" customHeight="1" x14ac:dyDescent="0.3">
      <c r="B896" s="33"/>
    </row>
    <row r="897" spans="2:2" ht="15.75" customHeight="1" x14ac:dyDescent="0.3">
      <c r="B897" s="33"/>
    </row>
    <row r="898" spans="2:2" ht="15.75" customHeight="1" x14ac:dyDescent="0.3">
      <c r="B898" s="33"/>
    </row>
    <row r="899" spans="2:2" ht="15.75" customHeight="1" x14ac:dyDescent="0.3">
      <c r="B899" s="33"/>
    </row>
    <row r="900" spans="2:2" ht="15.75" customHeight="1" x14ac:dyDescent="0.3">
      <c r="B900" s="33"/>
    </row>
    <row r="901" spans="2:2" ht="15.75" customHeight="1" x14ac:dyDescent="0.3">
      <c r="B901" s="33"/>
    </row>
    <row r="902" spans="2:2" ht="15.75" customHeight="1" x14ac:dyDescent="0.3">
      <c r="B902" s="33"/>
    </row>
    <row r="903" spans="2:2" ht="15.75" customHeight="1" x14ac:dyDescent="0.3">
      <c r="B903" s="33"/>
    </row>
    <row r="904" spans="2:2" ht="15.75" customHeight="1" x14ac:dyDescent="0.3">
      <c r="B904" s="33"/>
    </row>
    <row r="905" spans="2:2" ht="15.75" customHeight="1" x14ac:dyDescent="0.3">
      <c r="B905" s="33"/>
    </row>
    <row r="906" spans="2:2" ht="15.75" customHeight="1" x14ac:dyDescent="0.3">
      <c r="B906" s="33"/>
    </row>
    <row r="907" spans="2:2" ht="15.75" customHeight="1" x14ac:dyDescent="0.3">
      <c r="B907" s="33"/>
    </row>
    <row r="908" spans="2:2" ht="15.75" customHeight="1" x14ac:dyDescent="0.3">
      <c r="B908" s="33"/>
    </row>
    <row r="909" spans="2:2" ht="15.75" customHeight="1" x14ac:dyDescent="0.3">
      <c r="B909" s="33"/>
    </row>
    <row r="910" spans="2:2" ht="15.75" customHeight="1" x14ac:dyDescent="0.3">
      <c r="B910" s="33"/>
    </row>
    <row r="911" spans="2:2" ht="15.75" customHeight="1" x14ac:dyDescent="0.3">
      <c r="B911" s="33"/>
    </row>
    <row r="912" spans="2:2" ht="15.75" customHeight="1" x14ac:dyDescent="0.3">
      <c r="B912" s="33"/>
    </row>
    <row r="913" spans="2:2" ht="15.75" customHeight="1" x14ac:dyDescent="0.3">
      <c r="B913" s="33"/>
    </row>
    <row r="914" spans="2:2" ht="15.75" customHeight="1" x14ac:dyDescent="0.3">
      <c r="B914" s="33"/>
    </row>
    <row r="915" spans="2:2" ht="15.75" customHeight="1" x14ac:dyDescent="0.3">
      <c r="B915" s="33"/>
    </row>
    <row r="916" spans="2:2" ht="15.75" customHeight="1" x14ac:dyDescent="0.3">
      <c r="B916" s="33"/>
    </row>
    <row r="917" spans="2:2" ht="15.75" customHeight="1" x14ac:dyDescent="0.3">
      <c r="B917" s="33"/>
    </row>
    <row r="918" spans="2:2" ht="15.75" customHeight="1" x14ac:dyDescent="0.3">
      <c r="B918" s="33"/>
    </row>
    <row r="919" spans="2:2" ht="15.75" customHeight="1" x14ac:dyDescent="0.3">
      <c r="B919" s="33"/>
    </row>
    <row r="920" spans="2:2" ht="15.75" customHeight="1" x14ac:dyDescent="0.3">
      <c r="B920" s="33"/>
    </row>
    <row r="921" spans="2:2" ht="15.75" customHeight="1" x14ac:dyDescent="0.3">
      <c r="B921" s="33"/>
    </row>
    <row r="922" spans="2:2" ht="15.75" customHeight="1" x14ac:dyDescent="0.3">
      <c r="B922" s="33"/>
    </row>
    <row r="923" spans="2:2" ht="15.75" customHeight="1" x14ac:dyDescent="0.3">
      <c r="B923" s="33"/>
    </row>
    <row r="924" spans="2:2" ht="15.75" customHeight="1" x14ac:dyDescent="0.3">
      <c r="B924" s="33"/>
    </row>
    <row r="925" spans="2:2" ht="15.75" customHeight="1" x14ac:dyDescent="0.3">
      <c r="B925" s="33"/>
    </row>
    <row r="926" spans="2:2" ht="15.75" customHeight="1" x14ac:dyDescent="0.3">
      <c r="B926" s="33"/>
    </row>
    <row r="927" spans="2:2" ht="15.75" customHeight="1" x14ac:dyDescent="0.3">
      <c r="B927" s="33"/>
    </row>
    <row r="928" spans="2:2" ht="15.75" customHeight="1" x14ac:dyDescent="0.3">
      <c r="B928" s="33"/>
    </row>
    <row r="929" spans="2:2" ht="15.75" customHeight="1" x14ac:dyDescent="0.3">
      <c r="B929" s="33"/>
    </row>
    <row r="930" spans="2:2" ht="15.75" customHeight="1" x14ac:dyDescent="0.3">
      <c r="B930" s="33"/>
    </row>
    <row r="931" spans="2:2" ht="15.75" customHeight="1" x14ac:dyDescent="0.3">
      <c r="B931" s="33"/>
    </row>
    <row r="932" spans="2:2" ht="15.75" customHeight="1" x14ac:dyDescent="0.3">
      <c r="B932" s="33"/>
    </row>
    <row r="933" spans="2:2" ht="15.75" customHeight="1" x14ac:dyDescent="0.3">
      <c r="B933" s="33"/>
    </row>
    <row r="934" spans="2:2" ht="15.75" customHeight="1" x14ac:dyDescent="0.3">
      <c r="B934" s="33"/>
    </row>
    <row r="935" spans="2:2" ht="15.75" customHeight="1" x14ac:dyDescent="0.3">
      <c r="B935" s="33"/>
    </row>
    <row r="936" spans="2:2" ht="15.75" customHeight="1" x14ac:dyDescent="0.3">
      <c r="B936" s="33"/>
    </row>
    <row r="937" spans="2:2" ht="15.75" customHeight="1" x14ac:dyDescent="0.3">
      <c r="B937" s="33"/>
    </row>
    <row r="938" spans="2:2" ht="15.75" customHeight="1" x14ac:dyDescent="0.3">
      <c r="B938" s="33"/>
    </row>
    <row r="939" spans="2:2" ht="15.75" customHeight="1" x14ac:dyDescent="0.3">
      <c r="B939" s="33"/>
    </row>
    <row r="940" spans="2:2" ht="15.75" customHeight="1" x14ac:dyDescent="0.3">
      <c r="B940" s="33"/>
    </row>
    <row r="941" spans="2:2" ht="15.75" customHeight="1" x14ac:dyDescent="0.3">
      <c r="B941" s="33"/>
    </row>
    <row r="942" spans="2:2" ht="15.75" customHeight="1" x14ac:dyDescent="0.3">
      <c r="B942" s="33"/>
    </row>
    <row r="943" spans="2:2" ht="15.75" customHeight="1" x14ac:dyDescent="0.3">
      <c r="B943" s="33"/>
    </row>
    <row r="944" spans="2:2" ht="15.75" customHeight="1" x14ac:dyDescent="0.3">
      <c r="B944" s="33"/>
    </row>
    <row r="945" spans="2:2" ht="15.75" customHeight="1" x14ac:dyDescent="0.3">
      <c r="B945" s="33"/>
    </row>
    <row r="946" spans="2:2" ht="15.75" customHeight="1" x14ac:dyDescent="0.3">
      <c r="B946" s="33"/>
    </row>
    <row r="947" spans="2:2" ht="15.75" customHeight="1" x14ac:dyDescent="0.3">
      <c r="B947" s="33"/>
    </row>
    <row r="948" spans="2:2" ht="15.75" customHeight="1" x14ac:dyDescent="0.3">
      <c r="B948" s="33"/>
    </row>
    <row r="949" spans="2:2" ht="15.75" customHeight="1" x14ac:dyDescent="0.3">
      <c r="B949" s="33"/>
    </row>
    <row r="950" spans="2:2" ht="15.75" customHeight="1" x14ac:dyDescent="0.3">
      <c r="B950" s="33"/>
    </row>
    <row r="951" spans="2:2" ht="15.75" customHeight="1" x14ac:dyDescent="0.3">
      <c r="B951" s="33"/>
    </row>
    <row r="952" spans="2:2" ht="15.75" customHeight="1" x14ac:dyDescent="0.3">
      <c r="B952" s="33"/>
    </row>
    <row r="953" spans="2:2" ht="15.75" customHeight="1" x14ac:dyDescent="0.3">
      <c r="B953" s="33"/>
    </row>
    <row r="954" spans="2:2" ht="15.75" customHeight="1" x14ac:dyDescent="0.3">
      <c r="B954" s="33"/>
    </row>
    <row r="955" spans="2:2" ht="15.75" customHeight="1" x14ac:dyDescent="0.3">
      <c r="B955" s="33"/>
    </row>
    <row r="956" spans="2:2" ht="15.75" customHeight="1" x14ac:dyDescent="0.3">
      <c r="B956" s="33"/>
    </row>
    <row r="957" spans="2:2" ht="15.75" customHeight="1" x14ac:dyDescent="0.3">
      <c r="B957" s="33"/>
    </row>
    <row r="958" spans="2:2" ht="15.75" customHeight="1" x14ac:dyDescent="0.3">
      <c r="B958" s="33"/>
    </row>
    <row r="959" spans="2:2" ht="15.75" customHeight="1" x14ac:dyDescent="0.3">
      <c r="B959" s="33"/>
    </row>
    <row r="960" spans="2:2" ht="15.75" customHeight="1" x14ac:dyDescent="0.3">
      <c r="B960" s="33"/>
    </row>
    <row r="961" spans="2:2" ht="15.75" customHeight="1" x14ac:dyDescent="0.3">
      <c r="B961" s="33"/>
    </row>
    <row r="962" spans="2:2" ht="15.75" customHeight="1" x14ac:dyDescent="0.3">
      <c r="B962" s="33"/>
    </row>
    <row r="963" spans="2:2" ht="15.75" customHeight="1" x14ac:dyDescent="0.3">
      <c r="B963" s="33"/>
    </row>
    <row r="964" spans="2:2" ht="15.75" customHeight="1" x14ac:dyDescent="0.3">
      <c r="B964" s="33"/>
    </row>
    <row r="965" spans="2:2" ht="15.75" customHeight="1" x14ac:dyDescent="0.3">
      <c r="B965" s="33"/>
    </row>
    <row r="966" spans="2:2" ht="15.75" customHeight="1" x14ac:dyDescent="0.3">
      <c r="B966" s="33"/>
    </row>
    <row r="967" spans="2:2" ht="15.75" customHeight="1" x14ac:dyDescent="0.3">
      <c r="B967" s="33"/>
    </row>
    <row r="968" spans="2:2" ht="15.75" customHeight="1" x14ac:dyDescent="0.3">
      <c r="B968" s="33"/>
    </row>
    <row r="969" spans="2:2" ht="15.75" customHeight="1" x14ac:dyDescent="0.3">
      <c r="B969" s="33"/>
    </row>
    <row r="970" spans="2:2" ht="15.75" customHeight="1" x14ac:dyDescent="0.3">
      <c r="B970" s="33"/>
    </row>
    <row r="971" spans="2:2" ht="15.75" customHeight="1" x14ac:dyDescent="0.3">
      <c r="B971" s="33"/>
    </row>
    <row r="972" spans="2:2" ht="15.75" customHeight="1" x14ac:dyDescent="0.3">
      <c r="B972" s="33"/>
    </row>
    <row r="973" spans="2:2" ht="15.75" customHeight="1" x14ac:dyDescent="0.3">
      <c r="B973" s="33"/>
    </row>
    <row r="974" spans="2:2" ht="15.75" customHeight="1" x14ac:dyDescent="0.3">
      <c r="B974" s="33"/>
    </row>
    <row r="975" spans="2:2" ht="15.75" customHeight="1" x14ac:dyDescent="0.3">
      <c r="B975" s="33"/>
    </row>
    <row r="976" spans="2:2" ht="15.75" customHeight="1" x14ac:dyDescent="0.3">
      <c r="B976" s="33"/>
    </row>
    <row r="977" spans="2:2" ht="15.75" customHeight="1" x14ac:dyDescent="0.3">
      <c r="B977" s="33"/>
    </row>
    <row r="978" spans="2:2" ht="15.75" customHeight="1" x14ac:dyDescent="0.3">
      <c r="B978" s="33"/>
    </row>
    <row r="979" spans="2:2" ht="15.75" customHeight="1" x14ac:dyDescent="0.3">
      <c r="B979" s="33"/>
    </row>
    <row r="980" spans="2:2" ht="15.75" customHeight="1" x14ac:dyDescent="0.3">
      <c r="B980" s="33"/>
    </row>
    <row r="981" spans="2:2" ht="15.75" customHeight="1" x14ac:dyDescent="0.3">
      <c r="B981" s="33"/>
    </row>
    <row r="982" spans="2:2" ht="15.75" customHeight="1" x14ac:dyDescent="0.3">
      <c r="B982" s="33"/>
    </row>
    <row r="983" spans="2:2" ht="15.75" customHeight="1" x14ac:dyDescent="0.3">
      <c r="B983" s="33"/>
    </row>
    <row r="984" spans="2:2" ht="15.75" customHeight="1" x14ac:dyDescent="0.3">
      <c r="B984" s="33"/>
    </row>
    <row r="985" spans="2:2" ht="15.75" customHeight="1" x14ac:dyDescent="0.3">
      <c r="B985" s="33"/>
    </row>
    <row r="986" spans="2:2" ht="15.75" customHeight="1" x14ac:dyDescent="0.3">
      <c r="B986" s="33"/>
    </row>
    <row r="987" spans="2:2" ht="15.75" customHeight="1" x14ac:dyDescent="0.3">
      <c r="B987" s="33"/>
    </row>
    <row r="988" spans="2:2" ht="15.75" customHeight="1" x14ac:dyDescent="0.3">
      <c r="B988" s="33"/>
    </row>
    <row r="989" spans="2:2" ht="15.75" customHeight="1" x14ac:dyDescent="0.3">
      <c r="B989" s="33"/>
    </row>
    <row r="990" spans="2:2" ht="15.75" customHeight="1" x14ac:dyDescent="0.3">
      <c r="B990" s="33"/>
    </row>
    <row r="991" spans="2:2" ht="15.75" customHeight="1" x14ac:dyDescent="0.3">
      <c r="B991" s="33"/>
    </row>
    <row r="992" spans="2:2" ht="15.75" customHeight="1" x14ac:dyDescent="0.3">
      <c r="B992" s="33"/>
    </row>
    <row r="993" spans="2:2" ht="15.75" customHeight="1" x14ac:dyDescent="0.3">
      <c r="B993" s="33"/>
    </row>
    <row r="994" spans="2:2" ht="15.75" customHeight="1" x14ac:dyDescent="0.3">
      <c r="B994" s="33"/>
    </row>
    <row r="995" spans="2:2" ht="15.75" customHeight="1" x14ac:dyDescent="0.3">
      <c r="B995" s="33"/>
    </row>
    <row r="996" spans="2:2" ht="15.75" customHeight="1" x14ac:dyDescent="0.3">
      <c r="B996" s="33"/>
    </row>
    <row r="997" spans="2:2" ht="15.75" customHeight="1" x14ac:dyDescent="0.3">
      <c r="B997" s="33"/>
    </row>
    <row r="998" spans="2:2" ht="15.75" customHeight="1" x14ac:dyDescent="0.3">
      <c r="B998" s="33"/>
    </row>
    <row r="999" spans="2:2" ht="15.75" customHeight="1" x14ac:dyDescent="0.3">
      <c r="B999" s="33"/>
    </row>
    <row r="1000" spans="2:2" ht="15.75" customHeight="1" x14ac:dyDescent="0.3">
      <c r="B1000" s="33"/>
    </row>
  </sheetData>
  <autoFilter ref="A2:P17" xr:uid="{00000000-0009-0000-0000-00000A000000}"/>
  <mergeCells count="1">
    <mergeCell ref="B1:D1"/>
  </mergeCells>
  <pageMargins left="0.7" right="0.7" top="0.75" bottom="0.75" header="0" footer="0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000"/>
  <sheetViews>
    <sheetView workbookViewId="0">
      <selection activeCell="C12" sqref="C12"/>
    </sheetView>
  </sheetViews>
  <sheetFormatPr baseColWidth="10" defaultColWidth="14.44140625" defaultRowHeight="15" customHeight="1" x14ac:dyDescent="0.3"/>
  <cols>
    <col min="1" max="1" width="13.33203125" customWidth="1"/>
    <col min="2" max="2" width="34.109375" customWidth="1"/>
    <col min="3" max="3" width="28.33203125" customWidth="1"/>
    <col min="4" max="4" width="15.44140625" customWidth="1"/>
    <col min="5" max="5" width="4.109375" customWidth="1"/>
    <col min="6" max="6" width="13" customWidth="1"/>
    <col min="7" max="7" width="27.6640625" customWidth="1"/>
    <col min="8" max="8" width="9.5546875" customWidth="1"/>
    <col min="9" max="9" width="16.109375" customWidth="1"/>
    <col min="10" max="10" width="10" customWidth="1"/>
    <col min="11" max="12" width="10.6640625" customWidth="1"/>
    <col min="13" max="13" width="17.88671875" customWidth="1"/>
    <col min="15" max="15" width="14.5546875" customWidth="1"/>
  </cols>
  <sheetData>
    <row r="1" spans="1:16" ht="15" customHeight="1" x14ac:dyDescent="0.3">
      <c r="A1" s="34" t="s">
        <v>410</v>
      </c>
      <c r="B1" s="185" t="str">
        <f>'Formato Cronograma'!C14</f>
        <v>Gestión integral de riesgos</v>
      </c>
      <c r="C1" s="186"/>
      <c r="D1" s="186"/>
    </row>
    <row r="2" spans="1:16" ht="15" customHeight="1" x14ac:dyDescent="0.3">
      <c r="A2" s="34" t="s">
        <v>411</v>
      </c>
      <c r="B2" s="35" t="s">
        <v>412</v>
      </c>
      <c r="C2" s="36" t="s">
        <v>413</v>
      </c>
      <c r="D2" s="37" t="s">
        <v>414</v>
      </c>
      <c r="E2" s="24"/>
      <c r="F2" s="25"/>
      <c r="G2" s="25"/>
      <c r="H2" s="25"/>
      <c r="I2" s="25"/>
      <c r="J2" s="25"/>
      <c r="K2" s="25"/>
      <c r="L2" s="25"/>
      <c r="M2" s="25"/>
      <c r="N2" s="24"/>
      <c r="O2" s="24"/>
      <c r="P2" s="24"/>
    </row>
    <row r="3" spans="1:16" ht="15" customHeight="1" x14ac:dyDescent="0.3">
      <c r="A3" s="38">
        <v>1</v>
      </c>
      <c r="B3" s="39">
        <f>VLOOKUP((MATCH(A3,'Formato Cronograma'!$N$14:$LJ$14,0)),Datos!A:D,4,FALSE)</f>
        <v>46219</v>
      </c>
      <c r="C3" s="38" t="s">
        <v>415</v>
      </c>
      <c r="D3" s="38" t="s">
        <v>421</v>
      </c>
      <c r="E3" s="24"/>
      <c r="F3" s="28"/>
      <c r="G3" s="28"/>
      <c r="H3" s="25"/>
      <c r="I3" s="28"/>
      <c r="J3" s="28"/>
      <c r="K3" s="28"/>
      <c r="L3" s="28"/>
      <c r="M3" s="28"/>
      <c r="N3" s="24"/>
      <c r="O3" s="24"/>
      <c r="P3" s="24"/>
    </row>
    <row r="4" spans="1:16" ht="15" customHeight="1" x14ac:dyDescent="0.3">
      <c r="A4" s="38">
        <v>2</v>
      </c>
      <c r="B4" s="39">
        <f>VLOOKUP((MATCH(A4,'Formato Cronograma'!$N$14:$LJ$14,0)),Datos!A:D,4,FALSE)</f>
        <v>46226</v>
      </c>
      <c r="C4" s="38" t="s">
        <v>417</v>
      </c>
      <c r="D4" s="38" t="s">
        <v>422</v>
      </c>
      <c r="E4" s="24"/>
      <c r="F4" s="29"/>
      <c r="G4" s="30"/>
      <c r="H4" s="29"/>
      <c r="I4" s="29"/>
      <c r="J4" s="29"/>
      <c r="K4" s="31"/>
      <c r="L4" s="31"/>
      <c r="M4" s="29"/>
      <c r="N4" s="24"/>
      <c r="O4" s="24"/>
      <c r="P4" s="24"/>
    </row>
    <row r="5" spans="1:16" ht="15" customHeight="1" x14ac:dyDescent="0.3">
      <c r="A5" s="38">
        <v>3</v>
      </c>
      <c r="B5" s="39">
        <f>VLOOKUP((MATCH(A5,'Formato Cronograma'!$N$14:$LJ$14,0)),Datos!A:D,4,FALSE)</f>
        <v>46231</v>
      </c>
      <c r="C5" s="38" t="s">
        <v>417</v>
      </c>
      <c r="D5" s="38" t="s">
        <v>422</v>
      </c>
      <c r="E5" s="24"/>
      <c r="F5" s="29"/>
      <c r="G5" s="30"/>
      <c r="H5" s="29"/>
      <c r="I5" s="29"/>
      <c r="J5" s="29"/>
      <c r="K5" s="31"/>
      <c r="L5" s="31"/>
      <c r="M5" s="29"/>
      <c r="N5" s="24"/>
      <c r="O5" s="24"/>
      <c r="P5" s="24"/>
    </row>
    <row r="6" spans="1:16" ht="15" customHeight="1" x14ac:dyDescent="0.3">
      <c r="A6" s="38">
        <v>4</v>
      </c>
      <c r="B6" s="39">
        <f>VLOOKUP((MATCH(A6,'Formato Cronograma'!$N$14:$LJ$14,0)),Datos!A:D,4,FALSE)</f>
        <v>46233</v>
      </c>
      <c r="C6" s="38" t="s">
        <v>417</v>
      </c>
      <c r="D6" s="38" t="s">
        <v>422</v>
      </c>
      <c r="E6" s="24"/>
      <c r="F6" s="29"/>
      <c r="G6" s="30"/>
      <c r="H6" s="29"/>
      <c r="I6" s="29"/>
      <c r="J6" s="29"/>
      <c r="K6" s="31"/>
      <c r="L6" s="31"/>
      <c r="M6" s="29"/>
      <c r="N6" s="24"/>
      <c r="O6" s="24"/>
      <c r="P6" s="24"/>
    </row>
    <row r="7" spans="1:16" ht="15" customHeight="1" x14ac:dyDescent="0.3">
      <c r="A7" s="38">
        <v>5</v>
      </c>
      <c r="B7" s="39">
        <f>VLOOKUP((MATCH(A7,'Formato Cronograma'!$N$14:$LJ$14,0)),Datos!A:D,4,FALSE)</f>
        <v>46238</v>
      </c>
      <c r="C7" s="38" t="s">
        <v>417</v>
      </c>
      <c r="D7" s="38" t="s">
        <v>422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</row>
    <row r="8" spans="1:16" ht="15" customHeight="1" x14ac:dyDescent="0.3">
      <c r="A8" s="38">
        <v>6</v>
      </c>
      <c r="B8" s="39">
        <f>VLOOKUP((MATCH(A8,'Formato Cronograma'!$N$14:$LJ$14,0)),Datos!A:D,4,FALSE)</f>
        <v>46240</v>
      </c>
      <c r="C8" s="38" t="s">
        <v>417</v>
      </c>
      <c r="D8" s="38" t="s">
        <v>422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spans="1:16" ht="15" customHeight="1" x14ac:dyDescent="0.3">
      <c r="A9" s="38">
        <v>7</v>
      </c>
      <c r="B9" s="39">
        <f>VLOOKUP((MATCH(A9,'Formato Cronograma'!$N$14:$LJ$14,0)),Datos!A:D,4,FALSE)</f>
        <v>46245</v>
      </c>
      <c r="C9" s="38" t="s">
        <v>417</v>
      </c>
      <c r="D9" s="38" t="s">
        <v>422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 ht="15" customHeight="1" x14ac:dyDescent="0.3">
      <c r="A10" s="38">
        <v>8</v>
      </c>
      <c r="B10" s="39">
        <f>VLOOKUP((MATCH(A10,'Formato Cronograma'!$N$14:$LJ$14,0)),Datos!A:D,4,FALSE)</f>
        <v>46247</v>
      </c>
      <c r="C10" s="38" t="s">
        <v>417</v>
      </c>
      <c r="D10" s="38" t="s">
        <v>422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6" ht="14.4" x14ac:dyDescent="0.3">
      <c r="A11" s="38">
        <v>9</v>
      </c>
      <c r="B11" s="39">
        <f>VLOOKUP((MATCH(A11,'Formato Cronograma'!$N$14:$LJ$14,0)),Datos!A:D,4,FALSE)</f>
        <v>46252</v>
      </c>
      <c r="C11" s="38" t="s">
        <v>417</v>
      </c>
      <c r="D11" s="38" t="s">
        <v>422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spans="1:16" ht="14.4" x14ac:dyDescent="0.3">
      <c r="A12" s="38">
        <v>10</v>
      </c>
      <c r="B12" s="39">
        <f>VLOOKUP((MATCH(A12,'Formato Cronograma'!$N$14:$LJ$14,0)),Datos!A:D,4,FALSE)</f>
        <v>46259</v>
      </c>
      <c r="C12" s="38" t="s">
        <v>417</v>
      </c>
      <c r="D12" s="38" t="s">
        <v>422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spans="1:16" ht="14.4" x14ac:dyDescent="0.3">
      <c r="A13" s="38">
        <v>11</v>
      </c>
      <c r="B13" s="39">
        <f>VLOOKUP((MATCH(A13,'Formato Cronograma'!$N$14:$LJ$14,0)),Datos!A:D,4,FALSE)</f>
        <v>46261</v>
      </c>
      <c r="C13" s="38" t="s">
        <v>417</v>
      </c>
      <c r="D13" s="38" t="s">
        <v>422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1:16" ht="14.4" x14ac:dyDescent="0.3">
      <c r="A14" s="38">
        <v>12</v>
      </c>
      <c r="B14" s="39">
        <f>VLOOKUP((MATCH(A14,'Formato Cronograma'!$N$14:$LJ$14,0)),Datos!A:D,4,FALSE)</f>
        <v>46266</v>
      </c>
      <c r="C14" s="38" t="s">
        <v>417</v>
      </c>
      <c r="D14" s="38" t="s">
        <v>422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</row>
    <row r="15" spans="1:16" ht="14.4" x14ac:dyDescent="0.3">
      <c r="A15" s="38">
        <v>13</v>
      </c>
      <c r="B15" s="39">
        <f>VLOOKUP((MATCH(A15,'Formato Cronograma'!$N$14:$LJ$14,0)),Datos!A:D,4,FALSE)</f>
        <v>46273</v>
      </c>
      <c r="C15" s="38" t="s">
        <v>417</v>
      </c>
      <c r="D15" s="38" t="s">
        <v>422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</row>
    <row r="16" spans="1:16" ht="14.4" x14ac:dyDescent="0.3">
      <c r="A16" s="38">
        <v>14</v>
      </c>
      <c r="B16" s="39">
        <f>VLOOKUP((MATCH(A16,'Formato Cronograma'!$N$14:$LJ$14,0)),Datos!A:D,4,FALSE)</f>
        <v>46275</v>
      </c>
      <c r="C16" s="38" t="s">
        <v>417</v>
      </c>
      <c r="D16" s="38" t="s">
        <v>422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6" ht="14.4" x14ac:dyDescent="0.3">
      <c r="A17" s="38">
        <v>15</v>
      </c>
      <c r="B17" s="39">
        <f>VLOOKUP((MATCH(A17,'Formato Cronograma'!$N$14:$LJ$14,0)),Datos!A:D,4,FALSE)</f>
        <v>46282</v>
      </c>
      <c r="C17" s="38" t="s">
        <v>415</v>
      </c>
      <c r="D17" s="38" t="s">
        <v>421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</row>
    <row r="18" spans="1:16" ht="14.4" x14ac:dyDescent="0.3">
      <c r="A18" s="24"/>
      <c r="B18" s="32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</row>
    <row r="19" spans="1:16" ht="14.4" x14ac:dyDescent="0.3">
      <c r="A19" s="24"/>
      <c r="B19" s="32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spans="1:16" ht="14.4" x14ac:dyDescent="0.3">
      <c r="A20" s="24"/>
      <c r="B20" s="32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 ht="15.75" customHeight="1" x14ac:dyDescent="0.3">
      <c r="A21" s="24"/>
      <c r="B21" s="32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spans="1:16" ht="15.75" customHeight="1" x14ac:dyDescent="0.3">
      <c r="A22" s="24"/>
      <c r="B22" s="32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</row>
    <row r="23" spans="1:16" ht="15.75" customHeight="1" x14ac:dyDescent="0.3">
      <c r="A23" s="24"/>
      <c r="B23" s="32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4" spans="1:16" ht="15.75" customHeight="1" x14ac:dyDescent="0.3">
      <c r="A24" s="24"/>
      <c r="B24" s="32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  <row r="25" spans="1:16" ht="15.75" customHeight="1" x14ac:dyDescent="0.3">
      <c r="A25" s="24"/>
      <c r="B25" s="32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16" ht="15.75" customHeight="1" x14ac:dyDescent="0.3">
      <c r="A26" s="24"/>
      <c r="B26" s="32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</row>
    <row r="27" spans="1:16" ht="15.75" customHeight="1" x14ac:dyDescent="0.3">
      <c r="A27" s="24"/>
      <c r="B27" s="32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</row>
    <row r="28" spans="1:16" ht="15.75" customHeight="1" x14ac:dyDescent="0.3">
      <c r="A28" s="24"/>
      <c r="B28" s="32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</row>
    <row r="29" spans="1:16" ht="15.75" customHeight="1" x14ac:dyDescent="0.3">
      <c r="A29" s="24"/>
      <c r="B29" s="32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</row>
    <row r="30" spans="1:16" ht="15.75" customHeight="1" x14ac:dyDescent="0.3">
      <c r="A30" s="24"/>
      <c r="B30" s="32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</row>
    <row r="31" spans="1:16" ht="15.75" customHeight="1" x14ac:dyDescent="0.3">
      <c r="A31" s="24"/>
      <c r="B31" s="32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</row>
    <row r="32" spans="1:16" ht="15.75" customHeight="1" x14ac:dyDescent="0.3">
      <c r="A32" s="24"/>
      <c r="B32" s="32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</row>
    <row r="33" spans="1:16" ht="15.75" customHeight="1" x14ac:dyDescent="0.3">
      <c r="A33" s="24"/>
      <c r="B33" s="32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</row>
    <row r="34" spans="1:16" ht="15.75" customHeight="1" x14ac:dyDescent="0.3">
      <c r="A34" s="24"/>
      <c r="B34" s="32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spans="1:16" ht="15.75" customHeight="1" x14ac:dyDescent="0.3">
      <c r="A35" s="24"/>
      <c r="B35" s="32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</row>
    <row r="36" spans="1:16" ht="15.75" customHeight="1" x14ac:dyDescent="0.3">
      <c r="A36" s="24"/>
      <c r="B36" s="32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</row>
    <row r="37" spans="1:16" ht="15.75" customHeight="1" x14ac:dyDescent="0.3">
      <c r="A37" s="24"/>
      <c r="B37" s="32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</row>
    <row r="38" spans="1:16" ht="15.75" customHeight="1" x14ac:dyDescent="0.3">
      <c r="A38" s="24"/>
      <c r="B38" s="32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</row>
    <row r="39" spans="1:16" ht="15.75" customHeight="1" x14ac:dyDescent="0.3">
      <c r="A39" s="24"/>
      <c r="B39" s="32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</row>
    <row r="40" spans="1:16" ht="15.75" customHeight="1" x14ac:dyDescent="0.3">
      <c r="A40" s="24"/>
      <c r="B40" s="32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</row>
    <row r="41" spans="1:16" ht="15.75" customHeight="1" x14ac:dyDescent="0.3">
      <c r="A41" s="24"/>
      <c r="B41" s="32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</row>
    <row r="42" spans="1:16" ht="15.75" customHeight="1" x14ac:dyDescent="0.3">
      <c r="A42" s="24"/>
      <c r="B42" s="32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</row>
    <row r="43" spans="1:16" ht="15.75" customHeight="1" x14ac:dyDescent="0.3">
      <c r="A43" s="24"/>
      <c r="B43" s="32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</row>
    <row r="44" spans="1:16" ht="15.75" customHeight="1" x14ac:dyDescent="0.3">
      <c r="A44" s="24"/>
      <c r="B44" s="32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</row>
    <row r="45" spans="1:16" ht="15.75" customHeight="1" x14ac:dyDescent="0.3">
      <c r="A45" s="24"/>
      <c r="B45" s="32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</row>
    <row r="46" spans="1:16" ht="15.75" customHeight="1" x14ac:dyDescent="0.3">
      <c r="A46" s="24"/>
      <c r="B46" s="32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</row>
    <row r="47" spans="1:16" ht="15.75" customHeight="1" x14ac:dyDescent="0.3">
      <c r="A47" s="24"/>
      <c r="B47" s="32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</row>
    <row r="48" spans="1:16" ht="15.75" customHeight="1" x14ac:dyDescent="0.3">
      <c r="A48" s="24"/>
      <c r="B48" s="32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</row>
    <row r="49" spans="1:16" ht="15.75" customHeight="1" x14ac:dyDescent="0.3">
      <c r="A49" s="24"/>
      <c r="B49" s="32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</row>
    <row r="50" spans="1:16" ht="15.75" customHeight="1" x14ac:dyDescent="0.3">
      <c r="A50" s="24"/>
      <c r="B50" s="32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</row>
    <row r="51" spans="1:16" ht="15.75" customHeight="1" x14ac:dyDescent="0.3">
      <c r="A51" s="24"/>
      <c r="B51" s="32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</row>
    <row r="52" spans="1:16" ht="15.75" customHeight="1" x14ac:dyDescent="0.3">
      <c r="A52" s="24"/>
      <c r="B52" s="32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</row>
    <row r="53" spans="1:16" ht="15.75" customHeight="1" x14ac:dyDescent="0.3">
      <c r="A53" s="24"/>
      <c r="B53" s="32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</row>
    <row r="54" spans="1:16" ht="15.75" customHeight="1" x14ac:dyDescent="0.3">
      <c r="A54" s="24"/>
      <c r="B54" s="32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1:16" ht="15.75" customHeight="1" x14ac:dyDescent="0.3">
      <c r="A55" s="24"/>
      <c r="B55" s="32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</row>
    <row r="56" spans="1:16" ht="15.75" customHeight="1" x14ac:dyDescent="0.3">
      <c r="A56" s="24"/>
      <c r="B56" s="32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</row>
    <row r="57" spans="1:16" ht="15.75" customHeight="1" x14ac:dyDescent="0.3">
      <c r="A57" s="24"/>
      <c r="B57" s="32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</row>
    <row r="58" spans="1:16" ht="15.75" customHeight="1" x14ac:dyDescent="0.3">
      <c r="A58" s="24"/>
      <c r="B58" s="32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</row>
    <row r="59" spans="1:16" ht="15.75" customHeight="1" x14ac:dyDescent="0.3">
      <c r="A59" s="24"/>
      <c r="B59" s="32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</row>
    <row r="60" spans="1:16" ht="15.75" customHeight="1" x14ac:dyDescent="0.3">
      <c r="A60" s="24"/>
      <c r="B60" s="32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</row>
    <row r="61" spans="1:16" ht="15.75" customHeight="1" x14ac:dyDescent="0.3">
      <c r="A61" s="24"/>
      <c r="B61" s="32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</row>
    <row r="62" spans="1:16" ht="15.75" customHeight="1" x14ac:dyDescent="0.3">
      <c r="A62" s="24"/>
      <c r="B62" s="32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</row>
    <row r="63" spans="1:16" ht="15.75" customHeight="1" x14ac:dyDescent="0.3">
      <c r="A63" s="24"/>
      <c r="B63" s="32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</row>
    <row r="64" spans="1:16" ht="15.75" customHeight="1" x14ac:dyDescent="0.3">
      <c r="A64" s="24"/>
      <c r="B64" s="32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</row>
    <row r="65" spans="1:16" ht="15.75" customHeight="1" x14ac:dyDescent="0.3">
      <c r="A65" s="24"/>
      <c r="B65" s="32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</row>
    <row r="66" spans="1:16" ht="15.75" customHeight="1" x14ac:dyDescent="0.3">
      <c r="A66" s="24"/>
      <c r="B66" s="32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</row>
    <row r="67" spans="1:16" ht="15.75" customHeight="1" x14ac:dyDescent="0.3">
      <c r="A67" s="24"/>
      <c r="B67" s="32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</row>
    <row r="68" spans="1:16" ht="15.75" customHeight="1" x14ac:dyDescent="0.3">
      <c r="A68" s="24"/>
      <c r="B68" s="32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</row>
    <row r="69" spans="1:16" ht="15.75" customHeight="1" x14ac:dyDescent="0.3">
      <c r="A69" s="24"/>
      <c r="B69" s="32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</row>
    <row r="70" spans="1:16" ht="15.75" customHeight="1" x14ac:dyDescent="0.3">
      <c r="A70" s="24"/>
      <c r="B70" s="32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</row>
    <row r="71" spans="1:16" ht="15.75" customHeight="1" x14ac:dyDescent="0.3">
      <c r="A71" s="24"/>
      <c r="B71" s="32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</row>
    <row r="72" spans="1:16" ht="15.75" customHeight="1" x14ac:dyDescent="0.3">
      <c r="A72" s="24"/>
      <c r="B72" s="32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</row>
    <row r="73" spans="1:16" ht="15.75" customHeight="1" x14ac:dyDescent="0.3">
      <c r="A73" s="24"/>
      <c r="B73" s="32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</row>
    <row r="74" spans="1:16" ht="15.75" customHeight="1" x14ac:dyDescent="0.3">
      <c r="A74" s="24"/>
      <c r="B74" s="32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</row>
    <row r="75" spans="1:16" ht="15.75" customHeight="1" x14ac:dyDescent="0.3">
      <c r="A75" s="24"/>
      <c r="B75" s="32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</row>
    <row r="76" spans="1:16" ht="15.75" customHeight="1" x14ac:dyDescent="0.3">
      <c r="A76" s="24"/>
      <c r="B76" s="32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</row>
    <row r="77" spans="1:16" ht="15.75" customHeight="1" x14ac:dyDescent="0.3">
      <c r="A77" s="24"/>
      <c r="B77" s="32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</row>
    <row r="78" spans="1:16" ht="15.75" customHeight="1" x14ac:dyDescent="0.3">
      <c r="A78" s="24"/>
      <c r="B78" s="32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</row>
    <row r="79" spans="1:16" ht="15.75" customHeight="1" x14ac:dyDescent="0.3">
      <c r="A79" s="24"/>
      <c r="B79" s="32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</row>
    <row r="80" spans="1:16" ht="15.75" customHeight="1" x14ac:dyDescent="0.3">
      <c r="A80" s="24"/>
      <c r="B80" s="32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</row>
    <row r="81" spans="1:16" ht="15.75" customHeight="1" x14ac:dyDescent="0.3">
      <c r="A81" s="24"/>
      <c r="B81" s="32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</row>
    <row r="82" spans="1:16" ht="15.75" customHeight="1" x14ac:dyDescent="0.3">
      <c r="A82" s="24"/>
      <c r="B82" s="32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</row>
    <row r="83" spans="1:16" ht="15.75" customHeight="1" x14ac:dyDescent="0.3">
      <c r="A83" s="24"/>
      <c r="B83" s="32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</row>
    <row r="84" spans="1:16" ht="15.75" customHeight="1" x14ac:dyDescent="0.3">
      <c r="A84" s="24"/>
      <c r="B84" s="32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</row>
    <row r="85" spans="1:16" ht="15.75" customHeight="1" x14ac:dyDescent="0.3">
      <c r="A85" s="24"/>
      <c r="B85" s="32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</row>
    <row r="86" spans="1:16" ht="15.75" customHeight="1" x14ac:dyDescent="0.3">
      <c r="A86" s="24"/>
      <c r="B86" s="32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</row>
    <row r="87" spans="1:16" ht="15.75" customHeight="1" x14ac:dyDescent="0.3">
      <c r="A87" s="24"/>
      <c r="B87" s="32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</row>
    <row r="88" spans="1:16" ht="15.75" customHeight="1" x14ac:dyDescent="0.3">
      <c r="A88" s="24"/>
      <c r="B88" s="32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</row>
    <row r="89" spans="1:16" ht="15.75" customHeight="1" x14ac:dyDescent="0.3">
      <c r="A89" s="24"/>
      <c r="B89" s="32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</row>
    <row r="90" spans="1:16" ht="15.75" customHeight="1" x14ac:dyDescent="0.3">
      <c r="A90" s="24"/>
      <c r="B90" s="32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</row>
    <row r="91" spans="1:16" ht="15.75" customHeight="1" x14ac:dyDescent="0.3">
      <c r="A91" s="24"/>
      <c r="B91" s="32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</row>
    <row r="92" spans="1:16" ht="15.75" customHeight="1" x14ac:dyDescent="0.3">
      <c r="A92" s="24"/>
      <c r="B92" s="32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</row>
    <row r="93" spans="1:16" ht="15.75" customHeight="1" x14ac:dyDescent="0.3">
      <c r="A93" s="24"/>
      <c r="B93" s="32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</row>
    <row r="94" spans="1:16" ht="15.75" customHeight="1" x14ac:dyDescent="0.3">
      <c r="A94" s="24"/>
      <c r="B94" s="32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</row>
    <row r="95" spans="1:16" ht="15.75" customHeight="1" x14ac:dyDescent="0.3">
      <c r="A95" s="24"/>
      <c r="B95" s="32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</row>
    <row r="96" spans="1:16" ht="15.75" customHeight="1" x14ac:dyDescent="0.3">
      <c r="A96" s="24"/>
      <c r="B96" s="32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</row>
    <row r="97" spans="1:16" ht="15.75" customHeight="1" x14ac:dyDescent="0.3">
      <c r="A97" s="24"/>
      <c r="B97" s="32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</row>
    <row r="98" spans="1:16" ht="15.75" customHeight="1" x14ac:dyDescent="0.3">
      <c r="A98" s="24"/>
      <c r="B98" s="32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</row>
    <row r="99" spans="1:16" ht="15.75" customHeight="1" x14ac:dyDescent="0.3">
      <c r="A99" s="24"/>
      <c r="B99" s="32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</row>
    <row r="100" spans="1:16" ht="15.75" customHeight="1" x14ac:dyDescent="0.3">
      <c r="A100" s="24"/>
      <c r="B100" s="32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</row>
    <row r="101" spans="1:16" ht="15.75" customHeight="1" x14ac:dyDescent="0.3">
      <c r="A101" s="24"/>
      <c r="B101" s="32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</row>
    <row r="102" spans="1:16" ht="15.75" customHeight="1" x14ac:dyDescent="0.3">
      <c r="A102" s="24"/>
      <c r="B102" s="32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</row>
    <row r="103" spans="1:16" ht="15.75" customHeight="1" x14ac:dyDescent="0.3">
      <c r="A103" s="24"/>
      <c r="B103" s="32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</row>
    <row r="104" spans="1:16" ht="15.75" customHeight="1" x14ac:dyDescent="0.3">
      <c r="A104" s="24"/>
      <c r="B104" s="32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</row>
    <row r="105" spans="1:16" ht="15.75" customHeight="1" x14ac:dyDescent="0.3">
      <c r="A105" s="24"/>
      <c r="B105" s="32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</row>
    <row r="106" spans="1:16" ht="15.75" customHeight="1" x14ac:dyDescent="0.3">
      <c r="A106" s="24"/>
      <c r="B106" s="32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</row>
    <row r="107" spans="1:16" ht="15.75" customHeight="1" x14ac:dyDescent="0.3">
      <c r="A107" s="24"/>
      <c r="B107" s="32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</row>
    <row r="108" spans="1:16" ht="15.75" customHeight="1" x14ac:dyDescent="0.3">
      <c r="A108" s="24"/>
      <c r="B108" s="32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</row>
    <row r="109" spans="1:16" ht="15.75" customHeight="1" x14ac:dyDescent="0.3">
      <c r="A109" s="24"/>
      <c r="B109" s="32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</row>
    <row r="110" spans="1:16" ht="15.75" customHeight="1" x14ac:dyDescent="0.3">
      <c r="A110" s="24"/>
      <c r="B110" s="32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</row>
    <row r="111" spans="1:16" ht="15.75" customHeight="1" x14ac:dyDescent="0.3">
      <c r="A111" s="24"/>
      <c r="B111" s="32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</row>
    <row r="112" spans="1:16" ht="15.75" customHeight="1" x14ac:dyDescent="0.3">
      <c r="A112" s="24"/>
      <c r="B112" s="32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</row>
    <row r="113" spans="1:16" ht="15.75" customHeight="1" x14ac:dyDescent="0.3">
      <c r="A113" s="24"/>
      <c r="B113" s="32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</row>
    <row r="114" spans="1:16" ht="15.75" customHeight="1" x14ac:dyDescent="0.3">
      <c r="A114" s="24"/>
      <c r="B114" s="32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</row>
    <row r="115" spans="1:16" ht="15.75" customHeight="1" x14ac:dyDescent="0.3">
      <c r="A115" s="24"/>
      <c r="B115" s="32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</row>
    <row r="116" spans="1:16" ht="15.75" customHeight="1" x14ac:dyDescent="0.3">
      <c r="A116" s="24"/>
      <c r="B116" s="32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</row>
    <row r="117" spans="1:16" ht="15.75" customHeight="1" x14ac:dyDescent="0.3">
      <c r="A117" s="24"/>
      <c r="B117" s="32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</row>
    <row r="118" spans="1:16" ht="15.75" customHeight="1" x14ac:dyDescent="0.3">
      <c r="A118" s="24"/>
      <c r="B118" s="32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</row>
    <row r="119" spans="1:16" ht="15.75" customHeight="1" x14ac:dyDescent="0.3">
      <c r="A119" s="24"/>
      <c r="B119" s="32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</row>
    <row r="120" spans="1:16" ht="15.75" customHeight="1" x14ac:dyDescent="0.3">
      <c r="A120" s="24"/>
      <c r="B120" s="32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</row>
    <row r="121" spans="1:16" ht="15.75" customHeight="1" x14ac:dyDescent="0.3">
      <c r="A121" s="24"/>
      <c r="B121" s="32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</row>
    <row r="122" spans="1:16" ht="15.75" customHeight="1" x14ac:dyDescent="0.3">
      <c r="A122" s="24"/>
      <c r="B122" s="32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</row>
    <row r="123" spans="1:16" ht="15.75" customHeight="1" x14ac:dyDescent="0.3">
      <c r="A123" s="24"/>
      <c r="B123" s="32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</row>
    <row r="124" spans="1:16" ht="15.75" customHeight="1" x14ac:dyDescent="0.3">
      <c r="A124" s="24"/>
      <c r="B124" s="32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</row>
    <row r="125" spans="1:16" ht="15.75" customHeight="1" x14ac:dyDescent="0.3">
      <c r="A125" s="24"/>
      <c r="B125" s="32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</row>
    <row r="126" spans="1:16" ht="15.75" customHeight="1" x14ac:dyDescent="0.3">
      <c r="A126" s="24"/>
      <c r="B126" s="32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</row>
    <row r="127" spans="1:16" ht="15.75" customHeight="1" x14ac:dyDescent="0.3">
      <c r="A127" s="24"/>
      <c r="B127" s="32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</row>
    <row r="128" spans="1:16" ht="15.75" customHeight="1" x14ac:dyDescent="0.3">
      <c r="A128" s="24"/>
      <c r="B128" s="32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</row>
    <row r="129" spans="1:16" ht="15.75" customHeight="1" x14ac:dyDescent="0.3">
      <c r="A129" s="24"/>
      <c r="B129" s="32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</row>
    <row r="130" spans="1:16" ht="15.75" customHeight="1" x14ac:dyDescent="0.3">
      <c r="A130" s="24"/>
      <c r="B130" s="32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</row>
    <row r="131" spans="1:16" ht="15.75" customHeight="1" x14ac:dyDescent="0.3">
      <c r="A131" s="24"/>
      <c r="B131" s="32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</row>
    <row r="132" spans="1:16" ht="15.75" customHeight="1" x14ac:dyDescent="0.3">
      <c r="A132" s="24"/>
      <c r="B132" s="32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</row>
    <row r="133" spans="1:16" ht="15.75" customHeight="1" x14ac:dyDescent="0.3">
      <c r="A133" s="24"/>
      <c r="B133" s="32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</row>
    <row r="134" spans="1:16" ht="15.75" customHeight="1" x14ac:dyDescent="0.3">
      <c r="A134" s="24"/>
      <c r="B134" s="32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</row>
    <row r="135" spans="1:16" ht="15.75" customHeight="1" x14ac:dyDescent="0.3">
      <c r="A135" s="24"/>
      <c r="B135" s="32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</row>
    <row r="136" spans="1:16" ht="15.75" customHeight="1" x14ac:dyDescent="0.3">
      <c r="A136" s="24"/>
      <c r="B136" s="32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</row>
    <row r="137" spans="1:16" ht="15.75" customHeight="1" x14ac:dyDescent="0.3">
      <c r="A137" s="24"/>
      <c r="B137" s="32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</row>
    <row r="138" spans="1:16" ht="15.75" customHeight="1" x14ac:dyDescent="0.3">
      <c r="A138" s="24"/>
      <c r="B138" s="32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</row>
    <row r="139" spans="1:16" ht="15.75" customHeight="1" x14ac:dyDescent="0.3">
      <c r="A139" s="24"/>
      <c r="B139" s="32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</row>
    <row r="140" spans="1:16" ht="15.75" customHeight="1" x14ac:dyDescent="0.3">
      <c r="A140" s="24"/>
      <c r="B140" s="32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</row>
    <row r="141" spans="1:16" ht="15.75" customHeight="1" x14ac:dyDescent="0.3">
      <c r="A141" s="24"/>
      <c r="B141" s="32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</row>
    <row r="142" spans="1:16" ht="15.75" customHeight="1" x14ac:dyDescent="0.3">
      <c r="A142" s="24"/>
      <c r="B142" s="32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</row>
    <row r="143" spans="1:16" ht="15.75" customHeight="1" x14ac:dyDescent="0.3">
      <c r="A143" s="24"/>
      <c r="B143" s="32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</row>
    <row r="144" spans="1:16" ht="15.75" customHeight="1" x14ac:dyDescent="0.3">
      <c r="A144" s="24"/>
      <c r="B144" s="32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</row>
    <row r="145" spans="1:16" ht="15.75" customHeight="1" x14ac:dyDescent="0.3">
      <c r="A145" s="24"/>
      <c r="B145" s="32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</row>
    <row r="146" spans="1:16" ht="15.75" customHeight="1" x14ac:dyDescent="0.3">
      <c r="A146" s="24"/>
      <c r="B146" s="32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</row>
    <row r="147" spans="1:16" ht="15.75" customHeight="1" x14ac:dyDescent="0.3">
      <c r="A147" s="24"/>
      <c r="B147" s="32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</row>
    <row r="148" spans="1:16" ht="15.75" customHeight="1" x14ac:dyDescent="0.3">
      <c r="A148" s="24"/>
      <c r="B148" s="32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</row>
    <row r="149" spans="1:16" ht="15.75" customHeight="1" x14ac:dyDescent="0.3">
      <c r="A149" s="24"/>
      <c r="B149" s="32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</row>
    <row r="150" spans="1:16" ht="15.75" customHeight="1" x14ac:dyDescent="0.3">
      <c r="A150" s="24"/>
      <c r="B150" s="32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</row>
    <row r="151" spans="1:16" ht="15.75" customHeight="1" x14ac:dyDescent="0.3">
      <c r="A151" s="24"/>
      <c r="B151" s="32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</row>
    <row r="152" spans="1:16" ht="15.75" customHeight="1" x14ac:dyDescent="0.3">
      <c r="A152" s="24"/>
      <c r="B152" s="32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</row>
    <row r="153" spans="1:16" ht="15.75" customHeight="1" x14ac:dyDescent="0.3">
      <c r="A153" s="24"/>
      <c r="B153" s="32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</row>
    <row r="154" spans="1:16" ht="15.75" customHeight="1" x14ac:dyDescent="0.3">
      <c r="A154" s="24"/>
      <c r="B154" s="32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</row>
    <row r="155" spans="1:16" ht="15.75" customHeight="1" x14ac:dyDescent="0.3">
      <c r="A155" s="24"/>
      <c r="B155" s="32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</row>
    <row r="156" spans="1:16" ht="15.75" customHeight="1" x14ac:dyDescent="0.3">
      <c r="A156" s="24"/>
      <c r="B156" s="32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</row>
    <row r="157" spans="1:16" ht="15.75" customHeight="1" x14ac:dyDescent="0.3">
      <c r="A157" s="24"/>
      <c r="B157" s="32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</row>
    <row r="158" spans="1:16" ht="15.75" customHeight="1" x14ac:dyDescent="0.3">
      <c r="A158" s="24"/>
      <c r="B158" s="32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</row>
    <row r="159" spans="1:16" ht="15.75" customHeight="1" x14ac:dyDescent="0.3">
      <c r="A159" s="24"/>
      <c r="B159" s="32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</row>
    <row r="160" spans="1:16" ht="15.75" customHeight="1" x14ac:dyDescent="0.3">
      <c r="A160" s="24"/>
      <c r="B160" s="32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</row>
    <row r="161" spans="1:16" ht="15.75" customHeight="1" x14ac:dyDescent="0.3">
      <c r="A161" s="24"/>
      <c r="B161" s="32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</row>
    <row r="162" spans="1:16" ht="15.75" customHeight="1" x14ac:dyDescent="0.3">
      <c r="A162" s="24"/>
      <c r="B162" s="32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</row>
    <row r="163" spans="1:16" ht="15.75" customHeight="1" x14ac:dyDescent="0.3">
      <c r="A163" s="24"/>
      <c r="B163" s="32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</row>
    <row r="164" spans="1:16" ht="15.75" customHeight="1" x14ac:dyDescent="0.3">
      <c r="A164" s="24"/>
      <c r="B164" s="32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</row>
    <row r="165" spans="1:16" ht="15.75" customHeight="1" x14ac:dyDescent="0.3">
      <c r="A165" s="24"/>
      <c r="B165" s="32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</row>
    <row r="166" spans="1:16" ht="15.75" customHeight="1" x14ac:dyDescent="0.3">
      <c r="A166" s="24"/>
      <c r="B166" s="32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</row>
    <row r="167" spans="1:16" ht="15.75" customHeight="1" x14ac:dyDescent="0.3">
      <c r="A167" s="24"/>
      <c r="B167" s="32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</row>
    <row r="168" spans="1:16" ht="15.75" customHeight="1" x14ac:dyDescent="0.3">
      <c r="A168" s="24"/>
      <c r="B168" s="32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</row>
    <row r="169" spans="1:16" ht="15.75" customHeight="1" x14ac:dyDescent="0.3">
      <c r="A169" s="24"/>
      <c r="B169" s="32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</row>
    <row r="170" spans="1:16" ht="15.75" customHeight="1" x14ac:dyDescent="0.3">
      <c r="A170" s="24"/>
      <c r="B170" s="32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</row>
    <row r="171" spans="1:16" ht="15.75" customHeight="1" x14ac:dyDescent="0.3">
      <c r="A171" s="24"/>
      <c r="B171" s="32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</row>
    <row r="172" spans="1:16" ht="15.75" customHeight="1" x14ac:dyDescent="0.3">
      <c r="A172" s="24"/>
      <c r="B172" s="32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</row>
    <row r="173" spans="1:16" ht="15.75" customHeight="1" x14ac:dyDescent="0.3">
      <c r="A173" s="24"/>
      <c r="B173" s="32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</row>
    <row r="174" spans="1:16" ht="15.75" customHeight="1" x14ac:dyDescent="0.3">
      <c r="A174" s="24"/>
      <c r="B174" s="32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</row>
    <row r="175" spans="1:16" ht="15.75" customHeight="1" x14ac:dyDescent="0.3">
      <c r="A175" s="24"/>
      <c r="B175" s="32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</row>
    <row r="176" spans="1:16" ht="15.75" customHeight="1" x14ac:dyDescent="0.3">
      <c r="A176" s="24"/>
      <c r="B176" s="32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</row>
    <row r="177" spans="1:16" ht="15.75" customHeight="1" x14ac:dyDescent="0.3">
      <c r="A177" s="24"/>
      <c r="B177" s="32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</row>
    <row r="178" spans="1:16" ht="15.75" customHeight="1" x14ac:dyDescent="0.3">
      <c r="A178" s="24"/>
      <c r="B178" s="32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</row>
    <row r="179" spans="1:16" ht="15.75" customHeight="1" x14ac:dyDescent="0.3">
      <c r="A179" s="24"/>
      <c r="B179" s="32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</row>
    <row r="180" spans="1:16" ht="15.75" customHeight="1" x14ac:dyDescent="0.3">
      <c r="A180" s="24"/>
      <c r="B180" s="32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</row>
    <row r="181" spans="1:16" ht="15.75" customHeight="1" x14ac:dyDescent="0.3">
      <c r="A181" s="24"/>
      <c r="B181" s="32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</row>
    <row r="182" spans="1:16" ht="15.75" customHeight="1" x14ac:dyDescent="0.3">
      <c r="A182" s="24"/>
      <c r="B182" s="32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</row>
    <row r="183" spans="1:16" ht="15.75" customHeight="1" x14ac:dyDescent="0.3">
      <c r="A183" s="24"/>
      <c r="B183" s="32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</row>
    <row r="184" spans="1:16" ht="15.75" customHeight="1" x14ac:dyDescent="0.3">
      <c r="A184" s="24"/>
      <c r="B184" s="32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</row>
    <row r="185" spans="1:16" ht="15.75" customHeight="1" x14ac:dyDescent="0.3">
      <c r="A185" s="24"/>
      <c r="B185" s="32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</row>
    <row r="186" spans="1:16" ht="15.75" customHeight="1" x14ac:dyDescent="0.3">
      <c r="A186" s="24"/>
      <c r="B186" s="32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</row>
    <row r="187" spans="1:16" ht="15.75" customHeight="1" x14ac:dyDescent="0.3">
      <c r="A187" s="24"/>
      <c r="B187" s="32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</row>
    <row r="188" spans="1:16" ht="15.75" customHeight="1" x14ac:dyDescent="0.3">
      <c r="A188" s="24"/>
      <c r="B188" s="32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</row>
    <row r="189" spans="1:16" ht="15.75" customHeight="1" x14ac:dyDescent="0.3">
      <c r="A189" s="24"/>
      <c r="B189" s="32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</row>
    <row r="190" spans="1:16" ht="15.75" customHeight="1" x14ac:dyDescent="0.3">
      <c r="A190" s="24"/>
      <c r="B190" s="32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</row>
    <row r="191" spans="1:16" ht="15.75" customHeight="1" x14ac:dyDescent="0.3">
      <c r="A191" s="24"/>
      <c r="B191" s="32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</row>
    <row r="192" spans="1:16" ht="15.75" customHeight="1" x14ac:dyDescent="0.3">
      <c r="A192" s="24"/>
      <c r="B192" s="32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</row>
    <row r="193" spans="1:16" ht="15.75" customHeight="1" x14ac:dyDescent="0.3">
      <c r="A193" s="24"/>
      <c r="B193" s="32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</row>
    <row r="194" spans="1:16" ht="15.75" customHeight="1" x14ac:dyDescent="0.3">
      <c r="A194" s="24"/>
      <c r="B194" s="32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</row>
    <row r="195" spans="1:16" ht="15.75" customHeight="1" x14ac:dyDescent="0.3">
      <c r="A195" s="24"/>
      <c r="B195" s="32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</row>
    <row r="196" spans="1:16" ht="15.75" customHeight="1" x14ac:dyDescent="0.3">
      <c r="A196" s="24"/>
      <c r="B196" s="32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</row>
    <row r="197" spans="1:16" ht="15.75" customHeight="1" x14ac:dyDescent="0.3">
      <c r="A197" s="24"/>
      <c r="B197" s="32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</row>
    <row r="198" spans="1:16" ht="15.75" customHeight="1" x14ac:dyDescent="0.3">
      <c r="A198" s="24"/>
      <c r="B198" s="32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</row>
    <row r="199" spans="1:16" ht="15.75" customHeight="1" x14ac:dyDescent="0.3">
      <c r="A199" s="24"/>
      <c r="B199" s="32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</row>
    <row r="200" spans="1:16" ht="15.75" customHeight="1" x14ac:dyDescent="0.3">
      <c r="A200" s="24"/>
      <c r="B200" s="32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</row>
    <row r="201" spans="1:16" ht="15.75" customHeight="1" x14ac:dyDescent="0.3">
      <c r="A201" s="24"/>
      <c r="B201" s="32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</row>
    <row r="202" spans="1:16" ht="15.75" customHeight="1" x14ac:dyDescent="0.3">
      <c r="A202" s="24"/>
      <c r="B202" s="32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</row>
    <row r="203" spans="1:16" ht="15.75" customHeight="1" x14ac:dyDescent="0.3">
      <c r="A203" s="24"/>
      <c r="B203" s="32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</row>
    <row r="204" spans="1:16" ht="15.75" customHeight="1" x14ac:dyDescent="0.3">
      <c r="A204" s="24"/>
      <c r="B204" s="32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</row>
    <row r="205" spans="1:16" ht="15.75" customHeight="1" x14ac:dyDescent="0.3">
      <c r="A205" s="24"/>
      <c r="B205" s="32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</row>
    <row r="206" spans="1:16" ht="15.75" customHeight="1" x14ac:dyDescent="0.3">
      <c r="A206" s="24"/>
      <c r="B206" s="32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</row>
    <row r="207" spans="1:16" ht="15.75" customHeight="1" x14ac:dyDescent="0.3">
      <c r="A207" s="24"/>
      <c r="B207" s="32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</row>
    <row r="208" spans="1:16" ht="15.75" customHeight="1" x14ac:dyDescent="0.3">
      <c r="A208" s="24"/>
      <c r="B208" s="32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</row>
    <row r="209" spans="1:16" ht="15.75" customHeight="1" x14ac:dyDescent="0.3">
      <c r="A209" s="24"/>
      <c r="B209" s="32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</row>
    <row r="210" spans="1:16" ht="15.75" customHeight="1" x14ac:dyDescent="0.3">
      <c r="A210" s="24"/>
      <c r="B210" s="32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</row>
    <row r="211" spans="1:16" ht="15.75" customHeight="1" x14ac:dyDescent="0.3">
      <c r="A211" s="24"/>
      <c r="B211" s="32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</row>
    <row r="212" spans="1:16" ht="15.75" customHeight="1" x14ac:dyDescent="0.3">
      <c r="A212" s="24"/>
      <c r="B212" s="32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</row>
    <row r="213" spans="1:16" ht="15.75" customHeight="1" x14ac:dyDescent="0.3">
      <c r="A213" s="24"/>
      <c r="B213" s="32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</row>
    <row r="214" spans="1:16" ht="15.75" customHeight="1" x14ac:dyDescent="0.3">
      <c r="A214" s="24"/>
      <c r="B214" s="32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</row>
    <row r="215" spans="1:16" ht="15.75" customHeight="1" x14ac:dyDescent="0.3">
      <c r="A215" s="24"/>
      <c r="B215" s="32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</row>
    <row r="216" spans="1:16" ht="15.75" customHeight="1" x14ac:dyDescent="0.3">
      <c r="A216" s="24"/>
      <c r="B216" s="32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</row>
    <row r="217" spans="1:16" ht="15.75" customHeight="1" x14ac:dyDescent="0.3">
      <c r="A217" s="24"/>
      <c r="B217" s="32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</row>
    <row r="218" spans="1:16" ht="15.75" customHeight="1" x14ac:dyDescent="0.3">
      <c r="A218" s="24"/>
      <c r="B218" s="32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</row>
    <row r="219" spans="1:16" ht="15.75" customHeight="1" x14ac:dyDescent="0.3">
      <c r="A219" s="24"/>
      <c r="B219" s="32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</row>
    <row r="220" spans="1:16" ht="15.75" customHeight="1" x14ac:dyDescent="0.3">
      <c r="A220" s="24"/>
      <c r="B220" s="32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</row>
    <row r="221" spans="1:16" ht="15.75" customHeight="1" x14ac:dyDescent="0.3">
      <c r="B221" s="33"/>
    </row>
    <row r="222" spans="1:16" ht="15.75" customHeight="1" x14ac:dyDescent="0.3">
      <c r="B222" s="33"/>
    </row>
    <row r="223" spans="1:16" ht="15.75" customHeight="1" x14ac:dyDescent="0.3">
      <c r="B223" s="33"/>
    </row>
    <row r="224" spans="1:16" ht="15.75" customHeight="1" x14ac:dyDescent="0.3">
      <c r="B224" s="33"/>
    </row>
    <row r="225" spans="2:2" ht="15.75" customHeight="1" x14ac:dyDescent="0.3">
      <c r="B225" s="33"/>
    </row>
    <row r="226" spans="2:2" ht="15.75" customHeight="1" x14ac:dyDescent="0.3">
      <c r="B226" s="33"/>
    </row>
    <row r="227" spans="2:2" ht="15.75" customHeight="1" x14ac:dyDescent="0.3">
      <c r="B227" s="33"/>
    </row>
    <row r="228" spans="2:2" ht="15.75" customHeight="1" x14ac:dyDescent="0.3">
      <c r="B228" s="33"/>
    </row>
    <row r="229" spans="2:2" ht="15.75" customHeight="1" x14ac:dyDescent="0.3">
      <c r="B229" s="33"/>
    </row>
    <row r="230" spans="2:2" ht="15.75" customHeight="1" x14ac:dyDescent="0.3">
      <c r="B230" s="33"/>
    </row>
    <row r="231" spans="2:2" ht="15.75" customHeight="1" x14ac:dyDescent="0.3">
      <c r="B231" s="33"/>
    </row>
    <row r="232" spans="2:2" ht="15.75" customHeight="1" x14ac:dyDescent="0.3">
      <c r="B232" s="33"/>
    </row>
    <row r="233" spans="2:2" ht="15.75" customHeight="1" x14ac:dyDescent="0.3">
      <c r="B233" s="33"/>
    </row>
    <row r="234" spans="2:2" ht="15.75" customHeight="1" x14ac:dyDescent="0.3">
      <c r="B234" s="33"/>
    </row>
    <row r="235" spans="2:2" ht="15.75" customHeight="1" x14ac:dyDescent="0.3">
      <c r="B235" s="33"/>
    </row>
    <row r="236" spans="2:2" ht="15.75" customHeight="1" x14ac:dyDescent="0.3">
      <c r="B236" s="33"/>
    </row>
    <row r="237" spans="2:2" ht="15.75" customHeight="1" x14ac:dyDescent="0.3">
      <c r="B237" s="33"/>
    </row>
    <row r="238" spans="2:2" ht="15.75" customHeight="1" x14ac:dyDescent="0.3">
      <c r="B238" s="33"/>
    </row>
    <row r="239" spans="2:2" ht="15.75" customHeight="1" x14ac:dyDescent="0.3">
      <c r="B239" s="33"/>
    </row>
    <row r="240" spans="2:2" ht="15.75" customHeight="1" x14ac:dyDescent="0.3">
      <c r="B240" s="33"/>
    </row>
    <row r="241" spans="2:2" ht="15.75" customHeight="1" x14ac:dyDescent="0.3">
      <c r="B241" s="33"/>
    </row>
    <row r="242" spans="2:2" ht="15.75" customHeight="1" x14ac:dyDescent="0.3">
      <c r="B242" s="33"/>
    </row>
    <row r="243" spans="2:2" ht="15.75" customHeight="1" x14ac:dyDescent="0.3">
      <c r="B243" s="33"/>
    </row>
    <row r="244" spans="2:2" ht="15.75" customHeight="1" x14ac:dyDescent="0.3">
      <c r="B244" s="33"/>
    </row>
    <row r="245" spans="2:2" ht="15.75" customHeight="1" x14ac:dyDescent="0.3">
      <c r="B245" s="33"/>
    </row>
    <row r="246" spans="2:2" ht="15.75" customHeight="1" x14ac:dyDescent="0.3">
      <c r="B246" s="33"/>
    </row>
    <row r="247" spans="2:2" ht="15.75" customHeight="1" x14ac:dyDescent="0.3">
      <c r="B247" s="33"/>
    </row>
    <row r="248" spans="2:2" ht="15.75" customHeight="1" x14ac:dyDescent="0.3">
      <c r="B248" s="33"/>
    </row>
    <row r="249" spans="2:2" ht="15.75" customHeight="1" x14ac:dyDescent="0.3">
      <c r="B249" s="33"/>
    </row>
    <row r="250" spans="2:2" ht="15.75" customHeight="1" x14ac:dyDescent="0.3">
      <c r="B250" s="33"/>
    </row>
    <row r="251" spans="2:2" ht="15.75" customHeight="1" x14ac:dyDescent="0.3">
      <c r="B251" s="33"/>
    </row>
    <row r="252" spans="2:2" ht="15.75" customHeight="1" x14ac:dyDescent="0.3">
      <c r="B252" s="33"/>
    </row>
    <row r="253" spans="2:2" ht="15.75" customHeight="1" x14ac:dyDescent="0.3">
      <c r="B253" s="33"/>
    </row>
    <row r="254" spans="2:2" ht="15.75" customHeight="1" x14ac:dyDescent="0.3">
      <c r="B254" s="33"/>
    </row>
    <row r="255" spans="2:2" ht="15.75" customHeight="1" x14ac:dyDescent="0.3">
      <c r="B255" s="33"/>
    </row>
    <row r="256" spans="2:2" ht="15.75" customHeight="1" x14ac:dyDescent="0.3">
      <c r="B256" s="33"/>
    </row>
    <row r="257" spans="2:2" ht="15.75" customHeight="1" x14ac:dyDescent="0.3">
      <c r="B257" s="33"/>
    </row>
    <row r="258" spans="2:2" ht="15.75" customHeight="1" x14ac:dyDescent="0.3">
      <c r="B258" s="33"/>
    </row>
    <row r="259" spans="2:2" ht="15.75" customHeight="1" x14ac:dyDescent="0.3">
      <c r="B259" s="33"/>
    </row>
    <row r="260" spans="2:2" ht="15.75" customHeight="1" x14ac:dyDescent="0.3">
      <c r="B260" s="33"/>
    </row>
    <row r="261" spans="2:2" ht="15.75" customHeight="1" x14ac:dyDescent="0.3">
      <c r="B261" s="33"/>
    </row>
    <row r="262" spans="2:2" ht="15.75" customHeight="1" x14ac:dyDescent="0.3">
      <c r="B262" s="33"/>
    </row>
    <row r="263" spans="2:2" ht="15.75" customHeight="1" x14ac:dyDescent="0.3">
      <c r="B263" s="33"/>
    </row>
    <row r="264" spans="2:2" ht="15.75" customHeight="1" x14ac:dyDescent="0.3">
      <c r="B264" s="33"/>
    </row>
    <row r="265" spans="2:2" ht="15.75" customHeight="1" x14ac:dyDescent="0.3">
      <c r="B265" s="33"/>
    </row>
    <row r="266" spans="2:2" ht="15.75" customHeight="1" x14ac:dyDescent="0.3">
      <c r="B266" s="33"/>
    </row>
    <row r="267" spans="2:2" ht="15.75" customHeight="1" x14ac:dyDescent="0.3">
      <c r="B267" s="33"/>
    </row>
    <row r="268" spans="2:2" ht="15.75" customHeight="1" x14ac:dyDescent="0.3">
      <c r="B268" s="33"/>
    </row>
    <row r="269" spans="2:2" ht="15.75" customHeight="1" x14ac:dyDescent="0.3">
      <c r="B269" s="33"/>
    </row>
    <row r="270" spans="2:2" ht="15.75" customHeight="1" x14ac:dyDescent="0.3">
      <c r="B270" s="33"/>
    </row>
    <row r="271" spans="2:2" ht="15.75" customHeight="1" x14ac:dyDescent="0.3">
      <c r="B271" s="33"/>
    </row>
    <row r="272" spans="2:2" ht="15.75" customHeight="1" x14ac:dyDescent="0.3">
      <c r="B272" s="33"/>
    </row>
    <row r="273" spans="2:2" ht="15.75" customHeight="1" x14ac:dyDescent="0.3">
      <c r="B273" s="33"/>
    </row>
    <row r="274" spans="2:2" ht="15.75" customHeight="1" x14ac:dyDescent="0.3">
      <c r="B274" s="33"/>
    </row>
    <row r="275" spans="2:2" ht="15.75" customHeight="1" x14ac:dyDescent="0.3">
      <c r="B275" s="33"/>
    </row>
    <row r="276" spans="2:2" ht="15.75" customHeight="1" x14ac:dyDescent="0.3">
      <c r="B276" s="33"/>
    </row>
    <row r="277" spans="2:2" ht="15.75" customHeight="1" x14ac:dyDescent="0.3">
      <c r="B277" s="33"/>
    </row>
    <row r="278" spans="2:2" ht="15.75" customHeight="1" x14ac:dyDescent="0.3">
      <c r="B278" s="33"/>
    </row>
    <row r="279" spans="2:2" ht="15.75" customHeight="1" x14ac:dyDescent="0.3">
      <c r="B279" s="33"/>
    </row>
    <row r="280" spans="2:2" ht="15.75" customHeight="1" x14ac:dyDescent="0.3">
      <c r="B280" s="33"/>
    </row>
    <row r="281" spans="2:2" ht="15.75" customHeight="1" x14ac:dyDescent="0.3">
      <c r="B281" s="33"/>
    </row>
    <row r="282" spans="2:2" ht="15.75" customHeight="1" x14ac:dyDescent="0.3">
      <c r="B282" s="33"/>
    </row>
    <row r="283" spans="2:2" ht="15.75" customHeight="1" x14ac:dyDescent="0.3">
      <c r="B283" s="33"/>
    </row>
    <row r="284" spans="2:2" ht="15.75" customHeight="1" x14ac:dyDescent="0.3">
      <c r="B284" s="33"/>
    </row>
    <row r="285" spans="2:2" ht="15.75" customHeight="1" x14ac:dyDescent="0.3">
      <c r="B285" s="33"/>
    </row>
    <row r="286" spans="2:2" ht="15.75" customHeight="1" x14ac:dyDescent="0.3">
      <c r="B286" s="33"/>
    </row>
    <row r="287" spans="2:2" ht="15.75" customHeight="1" x14ac:dyDescent="0.3">
      <c r="B287" s="33"/>
    </row>
    <row r="288" spans="2:2" ht="15.75" customHeight="1" x14ac:dyDescent="0.3">
      <c r="B288" s="33"/>
    </row>
    <row r="289" spans="2:2" ht="15.75" customHeight="1" x14ac:dyDescent="0.3">
      <c r="B289" s="33"/>
    </row>
    <row r="290" spans="2:2" ht="15.75" customHeight="1" x14ac:dyDescent="0.3">
      <c r="B290" s="33"/>
    </row>
    <row r="291" spans="2:2" ht="15.75" customHeight="1" x14ac:dyDescent="0.3">
      <c r="B291" s="33"/>
    </row>
    <row r="292" spans="2:2" ht="15.75" customHeight="1" x14ac:dyDescent="0.3">
      <c r="B292" s="33"/>
    </row>
    <row r="293" spans="2:2" ht="15.75" customHeight="1" x14ac:dyDescent="0.3">
      <c r="B293" s="33"/>
    </row>
    <row r="294" spans="2:2" ht="15.75" customHeight="1" x14ac:dyDescent="0.3">
      <c r="B294" s="33"/>
    </row>
    <row r="295" spans="2:2" ht="15.75" customHeight="1" x14ac:dyDescent="0.3">
      <c r="B295" s="33"/>
    </row>
    <row r="296" spans="2:2" ht="15.75" customHeight="1" x14ac:dyDescent="0.3">
      <c r="B296" s="33"/>
    </row>
    <row r="297" spans="2:2" ht="15.75" customHeight="1" x14ac:dyDescent="0.3">
      <c r="B297" s="33"/>
    </row>
    <row r="298" spans="2:2" ht="15.75" customHeight="1" x14ac:dyDescent="0.3">
      <c r="B298" s="33"/>
    </row>
    <row r="299" spans="2:2" ht="15.75" customHeight="1" x14ac:dyDescent="0.3">
      <c r="B299" s="33"/>
    </row>
    <row r="300" spans="2:2" ht="15.75" customHeight="1" x14ac:dyDescent="0.3">
      <c r="B300" s="33"/>
    </row>
    <row r="301" spans="2:2" ht="15.75" customHeight="1" x14ac:dyDescent="0.3">
      <c r="B301" s="33"/>
    </row>
    <row r="302" spans="2:2" ht="15.75" customHeight="1" x14ac:dyDescent="0.3">
      <c r="B302" s="33"/>
    </row>
    <row r="303" spans="2:2" ht="15.75" customHeight="1" x14ac:dyDescent="0.3">
      <c r="B303" s="33"/>
    </row>
    <row r="304" spans="2:2" ht="15.75" customHeight="1" x14ac:dyDescent="0.3">
      <c r="B304" s="33"/>
    </row>
    <row r="305" spans="2:2" ht="15.75" customHeight="1" x14ac:dyDescent="0.3">
      <c r="B305" s="33"/>
    </row>
    <row r="306" spans="2:2" ht="15.75" customHeight="1" x14ac:dyDescent="0.3">
      <c r="B306" s="33"/>
    </row>
    <row r="307" spans="2:2" ht="15.75" customHeight="1" x14ac:dyDescent="0.3">
      <c r="B307" s="33"/>
    </row>
    <row r="308" spans="2:2" ht="15.75" customHeight="1" x14ac:dyDescent="0.3">
      <c r="B308" s="33"/>
    </row>
    <row r="309" spans="2:2" ht="15.75" customHeight="1" x14ac:dyDescent="0.3">
      <c r="B309" s="33"/>
    </row>
    <row r="310" spans="2:2" ht="15.75" customHeight="1" x14ac:dyDescent="0.3">
      <c r="B310" s="33"/>
    </row>
    <row r="311" spans="2:2" ht="15.75" customHeight="1" x14ac:dyDescent="0.3">
      <c r="B311" s="33"/>
    </row>
    <row r="312" spans="2:2" ht="15.75" customHeight="1" x14ac:dyDescent="0.3">
      <c r="B312" s="33"/>
    </row>
    <row r="313" spans="2:2" ht="15.75" customHeight="1" x14ac:dyDescent="0.3">
      <c r="B313" s="33"/>
    </row>
    <row r="314" spans="2:2" ht="15.75" customHeight="1" x14ac:dyDescent="0.3">
      <c r="B314" s="33"/>
    </row>
    <row r="315" spans="2:2" ht="15.75" customHeight="1" x14ac:dyDescent="0.3">
      <c r="B315" s="33"/>
    </row>
    <row r="316" spans="2:2" ht="15.75" customHeight="1" x14ac:dyDescent="0.3">
      <c r="B316" s="33"/>
    </row>
    <row r="317" spans="2:2" ht="15.75" customHeight="1" x14ac:dyDescent="0.3">
      <c r="B317" s="33"/>
    </row>
    <row r="318" spans="2:2" ht="15.75" customHeight="1" x14ac:dyDescent="0.3">
      <c r="B318" s="33"/>
    </row>
    <row r="319" spans="2:2" ht="15.75" customHeight="1" x14ac:dyDescent="0.3">
      <c r="B319" s="33"/>
    </row>
    <row r="320" spans="2:2" ht="15.75" customHeight="1" x14ac:dyDescent="0.3">
      <c r="B320" s="33"/>
    </row>
    <row r="321" spans="2:2" ht="15.75" customHeight="1" x14ac:dyDescent="0.3">
      <c r="B321" s="33"/>
    </row>
    <row r="322" spans="2:2" ht="15.75" customHeight="1" x14ac:dyDescent="0.3">
      <c r="B322" s="33"/>
    </row>
    <row r="323" spans="2:2" ht="15.75" customHeight="1" x14ac:dyDescent="0.3">
      <c r="B323" s="33"/>
    </row>
    <row r="324" spans="2:2" ht="15.75" customHeight="1" x14ac:dyDescent="0.3">
      <c r="B324" s="33"/>
    </row>
    <row r="325" spans="2:2" ht="15.75" customHeight="1" x14ac:dyDescent="0.3">
      <c r="B325" s="33"/>
    </row>
    <row r="326" spans="2:2" ht="15.75" customHeight="1" x14ac:dyDescent="0.3">
      <c r="B326" s="33"/>
    </row>
    <row r="327" spans="2:2" ht="15.75" customHeight="1" x14ac:dyDescent="0.3">
      <c r="B327" s="33"/>
    </row>
    <row r="328" spans="2:2" ht="15.75" customHeight="1" x14ac:dyDescent="0.3">
      <c r="B328" s="33"/>
    </row>
    <row r="329" spans="2:2" ht="15.75" customHeight="1" x14ac:dyDescent="0.3">
      <c r="B329" s="33"/>
    </row>
    <row r="330" spans="2:2" ht="15.75" customHeight="1" x14ac:dyDescent="0.3">
      <c r="B330" s="33"/>
    </row>
    <row r="331" spans="2:2" ht="15.75" customHeight="1" x14ac:dyDescent="0.3">
      <c r="B331" s="33"/>
    </row>
    <row r="332" spans="2:2" ht="15.75" customHeight="1" x14ac:dyDescent="0.3">
      <c r="B332" s="33"/>
    </row>
    <row r="333" spans="2:2" ht="15.75" customHeight="1" x14ac:dyDescent="0.3">
      <c r="B333" s="33"/>
    </row>
    <row r="334" spans="2:2" ht="15.75" customHeight="1" x14ac:dyDescent="0.3">
      <c r="B334" s="33"/>
    </row>
    <row r="335" spans="2:2" ht="15.75" customHeight="1" x14ac:dyDescent="0.3">
      <c r="B335" s="33"/>
    </row>
    <row r="336" spans="2:2" ht="15.75" customHeight="1" x14ac:dyDescent="0.3">
      <c r="B336" s="33"/>
    </row>
    <row r="337" spans="2:2" ht="15.75" customHeight="1" x14ac:dyDescent="0.3">
      <c r="B337" s="33"/>
    </row>
    <row r="338" spans="2:2" ht="15.75" customHeight="1" x14ac:dyDescent="0.3">
      <c r="B338" s="33"/>
    </row>
    <row r="339" spans="2:2" ht="15.75" customHeight="1" x14ac:dyDescent="0.3">
      <c r="B339" s="33"/>
    </row>
    <row r="340" spans="2:2" ht="15.75" customHeight="1" x14ac:dyDescent="0.3">
      <c r="B340" s="33"/>
    </row>
    <row r="341" spans="2:2" ht="15.75" customHeight="1" x14ac:dyDescent="0.3">
      <c r="B341" s="33"/>
    </row>
    <row r="342" spans="2:2" ht="15.75" customHeight="1" x14ac:dyDescent="0.3">
      <c r="B342" s="33"/>
    </row>
    <row r="343" spans="2:2" ht="15.75" customHeight="1" x14ac:dyDescent="0.3">
      <c r="B343" s="33"/>
    </row>
    <row r="344" spans="2:2" ht="15.75" customHeight="1" x14ac:dyDescent="0.3">
      <c r="B344" s="33"/>
    </row>
    <row r="345" spans="2:2" ht="15.75" customHeight="1" x14ac:dyDescent="0.3">
      <c r="B345" s="33"/>
    </row>
    <row r="346" spans="2:2" ht="15.75" customHeight="1" x14ac:dyDescent="0.3">
      <c r="B346" s="33"/>
    </row>
    <row r="347" spans="2:2" ht="15.75" customHeight="1" x14ac:dyDescent="0.3">
      <c r="B347" s="33"/>
    </row>
    <row r="348" spans="2:2" ht="15.75" customHeight="1" x14ac:dyDescent="0.3">
      <c r="B348" s="33"/>
    </row>
    <row r="349" spans="2:2" ht="15.75" customHeight="1" x14ac:dyDescent="0.3">
      <c r="B349" s="33"/>
    </row>
    <row r="350" spans="2:2" ht="15.75" customHeight="1" x14ac:dyDescent="0.3">
      <c r="B350" s="33"/>
    </row>
    <row r="351" spans="2:2" ht="15.75" customHeight="1" x14ac:dyDescent="0.3">
      <c r="B351" s="33"/>
    </row>
    <row r="352" spans="2:2" ht="15.75" customHeight="1" x14ac:dyDescent="0.3">
      <c r="B352" s="33"/>
    </row>
    <row r="353" spans="2:2" ht="15.75" customHeight="1" x14ac:dyDescent="0.3">
      <c r="B353" s="33"/>
    </row>
    <row r="354" spans="2:2" ht="15.75" customHeight="1" x14ac:dyDescent="0.3">
      <c r="B354" s="33"/>
    </row>
    <row r="355" spans="2:2" ht="15.75" customHeight="1" x14ac:dyDescent="0.3">
      <c r="B355" s="33"/>
    </row>
    <row r="356" spans="2:2" ht="15.75" customHeight="1" x14ac:dyDescent="0.3">
      <c r="B356" s="33"/>
    </row>
    <row r="357" spans="2:2" ht="15.75" customHeight="1" x14ac:dyDescent="0.3">
      <c r="B357" s="33"/>
    </row>
    <row r="358" spans="2:2" ht="15.75" customHeight="1" x14ac:dyDescent="0.3">
      <c r="B358" s="33"/>
    </row>
    <row r="359" spans="2:2" ht="15.75" customHeight="1" x14ac:dyDescent="0.3">
      <c r="B359" s="33"/>
    </row>
    <row r="360" spans="2:2" ht="15.75" customHeight="1" x14ac:dyDescent="0.3">
      <c r="B360" s="33"/>
    </row>
    <row r="361" spans="2:2" ht="15.75" customHeight="1" x14ac:dyDescent="0.3">
      <c r="B361" s="33"/>
    </row>
    <row r="362" spans="2:2" ht="15.75" customHeight="1" x14ac:dyDescent="0.3">
      <c r="B362" s="33"/>
    </row>
    <row r="363" spans="2:2" ht="15.75" customHeight="1" x14ac:dyDescent="0.3">
      <c r="B363" s="33"/>
    </row>
    <row r="364" spans="2:2" ht="15.75" customHeight="1" x14ac:dyDescent="0.3">
      <c r="B364" s="33"/>
    </row>
    <row r="365" spans="2:2" ht="15.75" customHeight="1" x14ac:dyDescent="0.3">
      <c r="B365" s="33"/>
    </row>
    <row r="366" spans="2:2" ht="15.75" customHeight="1" x14ac:dyDescent="0.3">
      <c r="B366" s="33"/>
    </row>
    <row r="367" spans="2:2" ht="15.75" customHeight="1" x14ac:dyDescent="0.3">
      <c r="B367" s="33"/>
    </row>
    <row r="368" spans="2:2" ht="15.75" customHeight="1" x14ac:dyDescent="0.3">
      <c r="B368" s="33"/>
    </row>
    <row r="369" spans="2:2" ht="15.75" customHeight="1" x14ac:dyDescent="0.3">
      <c r="B369" s="33"/>
    </row>
    <row r="370" spans="2:2" ht="15.75" customHeight="1" x14ac:dyDescent="0.3">
      <c r="B370" s="33"/>
    </row>
    <row r="371" spans="2:2" ht="15.75" customHeight="1" x14ac:dyDescent="0.3">
      <c r="B371" s="33"/>
    </row>
    <row r="372" spans="2:2" ht="15.75" customHeight="1" x14ac:dyDescent="0.3">
      <c r="B372" s="33"/>
    </row>
    <row r="373" spans="2:2" ht="15.75" customHeight="1" x14ac:dyDescent="0.3">
      <c r="B373" s="33"/>
    </row>
    <row r="374" spans="2:2" ht="15.75" customHeight="1" x14ac:dyDescent="0.3">
      <c r="B374" s="33"/>
    </row>
    <row r="375" spans="2:2" ht="15.75" customHeight="1" x14ac:dyDescent="0.3">
      <c r="B375" s="33"/>
    </row>
    <row r="376" spans="2:2" ht="15.75" customHeight="1" x14ac:dyDescent="0.3">
      <c r="B376" s="33"/>
    </row>
    <row r="377" spans="2:2" ht="15.75" customHeight="1" x14ac:dyDescent="0.3">
      <c r="B377" s="33"/>
    </row>
    <row r="378" spans="2:2" ht="15.75" customHeight="1" x14ac:dyDescent="0.3">
      <c r="B378" s="33"/>
    </row>
    <row r="379" spans="2:2" ht="15.75" customHeight="1" x14ac:dyDescent="0.3">
      <c r="B379" s="33"/>
    </row>
    <row r="380" spans="2:2" ht="15.75" customHeight="1" x14ac:dyDescent="0.3">
      <c r="B380" s="33"/>
    </row>
    <row r="381" spans="2:2" ht="15.75" customHeight="1" x14ac:dyDescent="0.3">
      <c r="B381" s="33"/>
    </row>
    <row r="382" spans="2:2" ht="15.75" customHeight="1" x14ac:dyDescent="0.3">
      <c r="B382" s="33"/>
    </row>
    <row r="383" spans="2:2" ht="15.75" customHeight="1" x14ac:dyDescent="0.3">
      <c r="B383" s="33"/>
    </row>
    <row r="384" spans="2:2" ht="15.75" customHeight="1" x14ac:dyDescent="0.3">
      <c r="B384" s="33"/>
    </row>
    <row r="385" spans="2:2" ht="15.75" customHeight="1" x14ac:dyDescent="0.3">
      <c r="B385" s="33"/>
    </row>
    <row r="386" spans="2:2" ht="15.75" customHeight="1" x14ac:dyDescent="0.3">
      <c r="B386" s="33"/>
    </row>
    <row r="387" spans="2:2" ht="15.75" customHeight="1" x14ac:dyDescent="0.3">
      <c r="B387" s="33"/>
    </row>
    <row r="388" spans="2:2" ht="15.75" customHeight="1" x14ac:dyDescent="0.3">
      <c r="B388" s="33"/>
    </row>
    <row r="389" spans="2:2" ht="15.75" customHeight="1" x14ac:dyDescent="0.3">
      <c r="B389" s="33"/>
    </row>
    <row r="390" spans="2:2" ht="15.75" customHeight="1" x14ac:dyDescent="0.3">
      <c r="B390" s="33"/>
    </row>
    <row r="391" spans="2:2" ht="15.75" customHeight="1" x14ac:dyDescent="0.3">
      <c r="B391" s="33"/>
    </row>
    <row r="392" spans="2:2" ht="15.75" customHeight="1" x14ac:dyDescent="0.3">
      <c r="B392" s="33"/>
    </row>
    <row r="393" spans="2:2" ht="15.75" customHeight="1" x14ac:dyDescent="0.3">
      <c r="B393" s="33"/>
    </row>
    <row r="394" spans="2:2" ht="15.75" customHeight="1" x14ac:dyDescent="0.3">
      <c r="B394" s="33"/>
    </row>
    <row r="395" spans="2:2" ht="15.75" customHeight="1" x14ac:dyDescent="0.3">
      <c r="B395" s="33"/>
    </row>
    <row r="396" spans="2:2" ht="15.75" customHeight="1" x14ac:dyDescent="0.3">
      <c r="B396" s="33"/>
    </row>
    <row r="397" spans="2:2" ht="15.75" customHeight="1" x14ac:dyDescent="0.3">
      <c r="B397" s="33"/>
    </row>
    <row r="398" spans="2:2" ht="15.75" customHeight="1" x14ac:dyDescent="0.3">
      <c r="B398" s="33"/>
    </row>
    <row r="399" spans="2:2" ht="15.75" customHeight="1" x14ac:dyDescent="0.3">
      <c r="B399" s="33"/>
    </row>
    <row r="400" spans="2:2" ht="15.75" customHeight="1" x14ac:dyDescent="0.3">
      <c r="B400" s="33"/>
    </row>
    <row r="401" spans="2:2" ht="15.75" customHeight="1" x14ac:dyDescent="0.3">
      <c r="B401" s="33"/>
    </row>
    <row r="402" spans="2:2" ht="15.75" customHeight="1" x14ac:dyDescent="0.3">
      <c r="B402" s="33"/>
    </row>
    <row r="403" spans="2:2" ht="15.75" customHeight="1" x14ac:dyDescent="0.3">
      <c r="B403" s="33"/>
    </row>
    <row r="404" spans="2:2" ht="15.75" customHeight="1" x14ac:dyDescent="0.3">
      <c r="B404" s="33"/>
    </row>
    <row r="405" spans="2:2" ht="15.75" customHeight="1" x14ac:dyDescent="0.3">
      <c r="B405" s="33"/>
    </row>
    <row r="406" spans="2:2" ht="15.75" customHeight="1" x14ac:dyDescent="0.3">
      <c r="B406" s="33"/>
    </row>
    <row r="407" spans="2:2" ht="15.75" customHeight="1" x14ac:dyDescent="0.3">
      <c r="B407" s="33"/>
    </row>
    <row r="408" spans="2:2" ht="15.75" customHeight="1" x14ac:dyDescent="0.3">
      <c r="B408" s="33"/>
    </row>
    <row r="409" spans="2:2" ht="15.75" customHeight="1" x14ac:dyDescent="0.3">
      <c r="B409" s="33"/>
    </row>
    <row r="410" spans="2:2" ht="15.75" customHeight="1" x14ac:dyDescent="0.3">
      <c r="B410" s="33"/>
    </row>
    <row r="411" spans="2:2" ht="15.75" customHeight="1" x14ac:dyDescent="0.3">
      <c r="B411" s="33"/>
    </row>
    <row r="412" spans="2:2" ht="15.75" customHeight="1" x14ac:dyDescent="0.3">
      <c r="B412" s="33"/>
    </row>
    <row r="413" spans="2:2" ht="15.75" customHeight="1" x14ac:dyDescent="0.3">
      <c r="B413" s="33"/>
    </row>
    <row r="414" spans="2:2" ht="15.75" customHeight="1" x14ac:dyDescent="0.3">
      <c r="B414" s="33"/>
    </row>
    <row r="415" spans="2:2" ht="15.75" customHeight="1" x14ac:dyDescent="0.3">
      <c r="B415" s="33"/>
    </row>
    <row r="416" spans="2:2" ht="15.75" customHeight="1" x14ac:dyDescent="0.3">
      <c r="B416" s="33"/>
    </row>
    <row r="417" spans="2:2" ht="15.75" customHeight="1" x14ac:dyDescent="0.3">
      <c r="B417" s="33"/>
    </row>
    <row r="418" spans="2:2" ht="15.75" customHeight="1" x14ac:dyDescent="0.3">
      <c r="B418" s="33"/>
    </row>
    <row r="419" spans="2:2" ht="15.75" customHeight="1" x14ac:dyDescent="0.3">
      <c r="B419" s="33"/>
    </row>
    <row r="420" spans="2:2" ht="15.75" customHeight="1" x14ac:dyDescent="0.3">
      <c r="B420" s="33"/>
    </row>
    <row r="421" spans="2:2" ht="15.75" customHeight="1" x14ac:dyDescent="0.3">
      <c r="B421" s="33"/>
    </row>
    <row r="422" spans="2:2" ht="15.75" customHeight="1" x14ac:dyDescent="0.3">
      <c r="B422" s="33"/>
    </row>
    <row r="423" spans="2:2" ht="15.75" customHeight="1" x14ac:dyDescent="0.3">
      <c r="B423" s="33"/>
    </row>
    <row r="424" spans="2:2" ht="15.75" customHeight="1" x14ac:dyDescent="0.3">
      <c r="B424" s="33"/>
    </row>
    <row r="425" spans="2:2" ht="15.75" customHeight="1" x14ac:dyDescent="0.3">
      <c r="B425" s="33"/>
    </row>
    <row r="426" spans="2:2" ht="15.75" customHeight="1" x14ac:dyDescent="0.3">
      <c r="B426" s="33"/>
    </row>
    <row r="427" spans="2:2" ht="15.75" customHeight="1" x14ac:dyDescent="0.3">
      <c r="B427" s="33"/>
    </row>
    <row r="428" spans="2:2" ht="15.75" customHeight="1" x14ac:dyDescent="0.3">
      <c r="B428" s="33"/>
    </row>
    <row r="429" spans="2:2" ht="15.75" customHeight="1" x14ac:dyDescent="0.3">
      <c r="B429" s="33"/>
    </row>
    <row r="430" spans="2:2" ht="15.75" customHeight="1" x14ac:dyDescent="0.3">
      <c r="B430" s="33"/>
    </row>
    <row r="431" spans="2:2" ht="15.75" customHeight="1" x14ac:dyDescent="0.3">
      <c r="B431" s="33"/>
    </row>
    <row r="432" spans="2:2" ht="15.75" customHeight="1" x14ac:dyDescent="0.3">
      <c r="B432" s="33"/>
    </row>
    <row r="433" spans="2:2" ht="15.75" customHeight="1" x14ac:dyDescent="0.3">
      <c r="B433" s="33"/>
    </row>
    <row r="434" spans="2:2" ht="15.75" customHeight="1" x14ac:dyDescent="0.3">
      <c r="B434" s="33"/>
    </row>
    <row r="435" spans="2:2" ht="15.75" customHeight="1" x14ac:dyDescent="0.3">
      <c r="B435" s="33"/>
    </row>
    <row r="436" spans="2:2" ht="15.75" customHeight="1" x14ac:dyDescent="0.3">
      <c r="B436" s="33"/>
    </row>
    <row r="437" spans="2:2" ht="15.75" customHeight="1" x14ac:dyDescent="0.3">
      <c r="B437" s="33"/>
    </row>
    <row r="438" spans="2:2" ht="15.75" customHeight="1" x14ac:dyDescent="0.3">
      <c r="B438" s="33"/>
    </row>
    <row r="439" spans="2:2" ht="15.75" customHeight="1" x14ac:dyDescent="0.3">
      <c r="B439" s="33"/>
    </row>
    <row r="440" spans="2:2" ht="15.75" customHeight="1" x14ac:dyDescent="0.3">
      <c r="B440" s="33"/>
    </row>
    <row r="441" spans="2:2" ht="15.75" customHeight="1" x14ac:dyDescent="0.3">
      <c r="B441" s="33"/>
    </row>
    <row r="442" spans="2:2" ht="15.75" customHeight="1" x14ac:dyDescent="0.3">
      <c r="B442" s="33"/>
    </row>
    <row r="443" spans="2:2" ht="15.75" customHeight="1" x14ac:dyDescent="0.3">
      <c r="B443" s="33"/>
    </row>
    <row r="444" spans="2:2" ht="15.75" customHeight="1" x14ac:dyDescent="0.3">
      <c r="B444" s="33"/>
    </row>
    <row r="445" spans="2:2" ht="15.75" customHeight="1" x14ac:dyDescent="0.3">
      <c r="B445" s="33"/>
    </row>
    <row r="446" spans="2:2" ht="15.75" customHeight="1" x14ac:dyDescent="0.3">
      <c r="B446" s="33"/>
    </row>
    <row r="447" spans="2:2" ht="15.75" customHeight="1" x14ac:dyDescent="0.3">
      <c r="B447" s="33"/>
    </row>
    <row r="448" spans="2:2" ht="15.75" customHeight="1" x14ac:dyDescent="0.3">
      <c r="B448" s="33"/>
    </row>
    <row r="449" spans="2:2" ht="15.75" customHeight="1" x14ac:dyDescent="0.3">
      <c r="B449" s="33"/>
    </row>
    <row r="450" spans="2:2" ht="15.75" customHeight="1" x14ac:dyDescent="0.3">
      <c r="B450" s="33"/>
    </row>
    <row r="451" spans="2:2" ht="15.75" customHeight="1" x14ac:dyDescent="0.3">
      <c r="B451" s="33"/>
    </row>
    <row r="452" spans="2:2" ht="15.75" customHeight="1" x14ac:dyDescent="0.3">
      <c r="B452" s="33"/>
    </row>
    <row r="453" spans="2:2" ht="15.75" customHeight="1" x14ac:dyDescent="0.3">
      <c r="B453" s="33"/>
    </row>
    <row r="454" spans="2:2" ht="15.75" customHeight="1" x14ac:dyDescent="0.3">
      <c r="B454" s="33"/>
    </row>
    <row r="455" spans="2:2" ht="15.75" customHeight="1" x14ac:dyDescent="0.3">
      <c r="B455" s="33"/>
    </row>
    <row r="456" spans="2:2" ht="15.75" customHeight="1" x14ac:dyDescent="0.3">
      <c r="B456" s="33"/>
    </row>
    <row r="457" spans="2:2" ht="15.75" customHeight="1" x14ac:dyDescent="0.3">
      <c r="B457" s="33"/>
    </row>
    <row r="458" spans="2:2" ht="15.75" customHeight="1" x14ac:dyDescent="0.3">
      <c r="B458" s="33"/>
    </row>
    <row r="459" spans="2:2" ht="15.75" customHeight="1" x14ac:dyDescent="0.3">
      <c r="B459" s="33"/>
    </row>
    <row r="460" spans="2:2" ht="15.75" customHeight="1" x14ac:dyDescent="0.3">
      <c r="B460" s="33"/>
    </row>
    <row r="461" spans="2:2" ht="15.75" customHeight="1" x14ac:dyDescent="0.3">
      <c r="B461" s="33"/>
    </row>
    <row r="462" spans="2:2" ht="15.75" customHeight="1" x14ac:dyDescent="0.3">
      <c r="B462" s="33"/>
    </row>
    <row r="463" spans="2:2" ht="15.75" customHeight="1" x14ac:dyDescent="0.3">
      <c r="B463" s="33"/>
    </row>
    <row r="464" spans="2:2" ht="15.75" customHeight="1" x14ac:dyDescent="0.3">
      <c r="B464" s="33"/>
    </row>
    <row r="465" spans="2:2" ht="15.75" customHeight="1" x14ac:dyDescent="0.3">
      <c r="B465" s="33"/>
    </row>
    <row r="466" spans="2:2" ht="15.75" customHeight="1" x14ac:dyDescent="0.3">
      <c r="B466" s="33"/>
    </row>
    <row r="467" spans="2:2" ht="15.75" customHeight="1" x14ac:dyDescent="0.3">
      <c r="B467" s="33"/>
    </row>
    <row r="468" spans="2:2" ht="15.75" customHeight="1" x14ac:dyDescent="0.3">
      <c r="B468" s="33"/>
    </row>
    <row r="469" spans="2:2" ht="15.75" customHeight="1" x14ac:dyDescent="0.3">
      <c r="B469" s="33"/>
    </row>
    <row r="470" spans="2:2" ht="15.75" customHeight="1" x14ac:dyDescent="0.3">
      <c r="B470" s="33"/>
    </row>
    <row r="471" spans="2:2" ht="15.75" customHeight="1" x14ac:dyDescent="0.3">
      <c r="B471" s="33"/>
    </row>
    <row r="472" spans="2:2" ht="15.75" customHeight="1" x14ac:dyDescent="0.3">
      <c r="B472" s="33"/>
    </row>
    <row r="473" spans="2:2" ht="15.75" customHeight="1" x14ac:dyDescent="0.3">
      <c r="B473" s="33"/>
    </row>
    <row r="474" spans="2:2" ht="15.75" customHeight="1" x14ac:dyDescent="0.3">
      <c r="B474" s="33"/>
    </row>
    <row r="475" spans="2:2" ht="15.75" customHeight="1" x14ac:dyDescent="0.3">
      <c r="B475" s="33"/>
    </row>
    <row r="476" spans="2:2" ht="15.75" customHeight="1" x14ac:dyDescent="0.3">
      <c r="B476" s="33"/>
    </row>
    <row r="477" spans="2:2" ht="15.75" customHeight="1" x14ac:dyDescent="0.3">
      <c r="B477" s="33"/>
    </row>
    <row r="478" spans="2:2" ht="15.75" customHeight="1" x14ac:dyDescent="0.3">
      <c r="B478" s="33"/>
    </row>
    <row r="479" spans="2:2" ht="15.75" customHeight="1" x14ac:dyDescent="0.3">
      <c r="B479" s="33"/>
    </row>
    <row r="480" spans="2:2" ht="15.75" customHeight="1" x14ac:dyDescent="0.3">
      <c r="B480" s="33"/>
    </row>
    <row r="481" spans="2:2" ht="15.75" customHeight="1" x14ac:dyDescent="0.3">
      <c r="B481" s="33"/>
    </row>
    <row r="482" spans="2:2" ht="15.75" customHeight="1" x14ac:dyDescent="0.3">
      <c r="B482" s="33"/>
    </row>
    <row r="483" spans="2:2" ht="15.75" customHeight="1" x14ac:dyDescent="0.3">
      <c r="B483" s="33"/>
    </row>
    <row r="484" spans="2:2" ht="15.75" customHeight="1" x14ac:dyDescent="0.3">
      <c r="B484" s="33"/>
    </row>
    <row r="485" spans="2:2" ht="15.75" customHeight="1" x14ac:dyDescent="0.3">
      <c r="B485" s="33"/>
    </row>
    <row r="486" spans="2:2" ht="15.75" customHeight="1" x14ac:dyDescent="0.3">
      <c r="B486" s="33"/>
    </row>
    <row r="487" spans="2:2" ht="15.75" customHeight="1" x14ac:dyDescent="0.3">
      <c r="B487" s="33"/>
    </row>
    <row r="488" spans="2:2" ht="15.75" customHeight="1" x14ac:dyDescent="0.3">
      <c r="B488" s="33"/>
    </row>
    <row r="489" spans="2:2" ht="15.75" customHeight="1" x14ac:dyDescent="0.3">
      <c r="B489" s="33"/>
    </row>
    <row r="490" spans="2:2" ht="15.75" customHeight="1" x14ac:dyDescent="0.3">
      <c r="B490" s="33"/>
    </row>
    <row r="491" spans="2:2" ht="15.75" customHeight="1" x14ac:dyDescent="0.3">
      <c r="B491" s="33"/>
    </row>
    <row r="492" spans="2:2" ht="15.75" customHeight="1" x14ac:dyDescent="0.3">
      <c r="B492" s="33"/>
    </row>
    <row r="493" spans="2:2" ht="15.75" customHeight="1" x14ac:dyDescent="0.3">
      <c r="B493" s="33"/>
    </row>
    <row r="494" spans="2:2" ht="15.75" customHeight="1" x14ac:dyDescent="0.3">
      <c r="B494" s="33"/>
    </row>
    <row r="495" spans="2:2" ht="15.75" customHeight="1" x14ac:dyDescent="0.3">
      <c r="B495" s="33"/>
    </row>
    <row r="496" spans="2:2" ht="15.75" customHeight="1" x14ac:dyDescent="0.3">
      <c r="B496" s="33"/>
    </row>
    <row r="497" spans="2:2" ht="15.75" customHeight="1" x14ac:dyDescent="0.3">
      <c r="B497" s="33"/>
    </row>
    <row r="498" spans="2:2" ht="15.75" customHeight="1" x14ac:dyDescent="0.3">
      <c r="B498" s="33"/>
    </row>
    <row r="499" spans="2:2" ht="15.75" customHeight="1" x14ac:dyDescent="0.3">
      <c r="B499" s="33"/>
    </row>
    <row r="500" spans="2:2" ht="15.75" customHeight="1" x14ac:dyDescent="0.3">
      <c r="B500" s="33"/>
    </row>
    <row r="501" spans="2:2" ht="15.75" customHeight="1" x14ac:dyDescent="0.3">
      <c r="B501" s="33"/>
    </row>
    <row r="502" spans="2:2" ht="15.75" customHeight="1" x14ac:dyDescent="0.3">
      <c r="B502" s="33"/>
    </row>
    <row r="503" spans="2:2" ht="15.75" customHeight="1" x14ac:dyDescent="0.3">
      <c r="B503" s="33"/>
    </row>
    <row r="504" spans="2:2" ht="15.75" customHeight="1" x14ac:dyDescent="0.3">
      <c r="B504" s="33"/>
    </row>
    <row r="505" spans="2:2" ht="15.75" customHeight="1" x14ac:dyDescent="0.3">
      <c r="B505" s="33"/>
    </row>
    <row r="506" spans="2:2" ht="15.75" customHeight="1" x14ac:dyDescent="0.3">
      <c r="B506" s="33"/>
    </row>
    <row r="507" spans="2:2" ht="15.75" customHeight="1" x14ac:dyDescent="0.3">
      <c r="B507" s="33"/>
    </row>
    <row r="508" spans="2:2" ht="15.75" customHeight="1" x14ac:dyDescent="0.3">
      <c r="B508" s="33"/>
    </row>
    <row r="509" spans="2:2" ht="15.75" customHeight="1" x14ac:dyDescent="0.3">
      <c r="B509" s="33"/>
    </row>
    <row r="510" spans="2:2" ht="15.75" customHeight="1" x14ac:dyDescent="0.3">
      <c r="B510" s="33"/>
    </row>
    <row r="511" spans="2:2" ht="15.75" customHeight="1" x14ac:dyDescent="0.3">
      <c r="B511" s="33"/>
    </row>
    <row r="512" spans="2:2" ht="15.75" customHeight="1" x14ac:dyDescent="0.3">
      <c r="B512" s="33"/>
    </row>
    <row r="513" spans="2:2" ht="15.75" customHeight="1" x14ac:dyDescent="0.3">
      <c r="B513" s="33"/>
    </row>
    <row r="514" spans="2:2" ht="15.75" customHeight="1" x14ac:dyDescent="0.3">
      <c r="B514" s="33"/>
    </row>
    <row r="515" spans="2:2" ht="15.75" customHeight="1" x14ac:dyDescent="0.3">
      <c r="B515" s="33"/>
    </row>
    <row r="516" spans="2:2" ht="15.75" customHeight="1" x14ac:dyDescent="0.3">
      <c r="B516" s="33"/>
    </row>
    <row r="517" spans="2:2" ht="15.75" customHeight="1" x14ac:dyDescent="0.3">
      <c r="B517" s="33"/>
    </row>
    <row r="518" spans="2:2" ht="15.75" customHeight="1" x14ac:dyDescent="0.3">
      <c r="B518" s="33"/>
    </row>
    <row r="519" spans="2:2" ht="15.75" customHeight="1" x14ac:dyDescent="0.3">
      <c r="B519" s="33"/>
    </row>
    <row r="520" spans="2:2" ht="15.75" customHeight="1" x14ac:dyDescent="0.3">
      <c r="B520" s="33"/>
    </row>
    <row r="521" spans="2:2" ht="15.75" customHeight="1" x14ac:dyDescent="0.3">
      <c r="B521" s="33"/>
    </row>
    <row r="522" spans="2:2" ht="15.75" customHeight="1" x14ac:dyDescent="0.3">
      <c r="B522" s="33"/>
    </row>
    <row r="523" spans="2:2" ht="15.75" customHeight="1" x14ac:dyDescent="0.3">
      <c r="B523" s="33"/>
    </row>
    <row r="524" spans="2:2" ht="15.75" customHeight="1" x14ac:dyDescent="0.3">
      <c r="B524" s="33"/>
    </row>
    <row r="525" spans="2:2" ht="15.75" customHeight="1" x14ac:dyDescent="0.3">
      <c r="B525" s="33"/>
    </row>
    <row r="526" spans="2:2" ht="15.75" customHeight="1" x14ac:dyDescent="0.3">
      <c r="B526" s="33"/>
    </row>
    <row r="527" spans="2:2" ht="15.75" customHeight="1" x14ac:dyDescent="0.3">
      <c r="B527" s="33"/>
    </row>
    <row r="528" spans="2:2" ht="15.75" customHeight="1" x14ac:dyDescent="0.3">
      <c r="B528" s="33"/>
    </row>
    <row r="529" spans="2:2" ht="15.75" customHeight="1" x14ac:dyDescent="0.3">
      <c r="B529" s="33"/>
    </row>
    <row r="530" spans="2:2" ht="15.75" customHeight="1" x14ac:dyDescent="0.3">
      <c r="B530" s="33"/>
    </row>
    <row r="531" spans="2:2" ht="15.75" customHeight="1" x14ac:dyDescent="0.3">
      <c r="B531" s="33"/>
    </row>
    <row r="532" spans="2:2" ht="15.75" customHeight="1" x14ac:dyDescent="0.3">
      <c r="B532" s="33"/>
    </row>
    <row r="533" spans="2:2" ht="15.75" customHeight="1" x14ac:dyDescent="0.3">
      <c r="B533" s="33"/>
    </row>
    <row r="534" spans="2:2" ht="15.75" customHeight="1" x14ac:dyDescent="0.3">
      <c r="B534" s="33"/>
    </row>
    <row r="535" spans="2:2" ht="15.75" customHeight="1" x14ac:dyDescent="0.3">
      <c r="B535" s="33"/>
    </row>
    <row r="536" spans="2:2" ht="15.75" customHeight="1" x14ac:dyDescent="0.3">
      <c r="B536" s="33"/>
    </row>
    <row r="537" spans="2:2" ht="15.75" customHeight="1" x14ac:dyDescent="0.3">
      <c r="B537" s="33"/>
    </row>
    <row r="538" spans="2:2" ht="15.75" customHeight="1" x14ac:dyDescent="0.3">
      <c r="B538" s="33"/>
    </row>
    <row r="539" spans="2:2" ht="15.75" customHeight="1" x14ac:dyDescent="0.3">
      <c r="B539" s="33"/>
    </row>
    <row r="540" spans="2:2" ht="15.75" customHeight="1" x14ac:dyDescent="0.3">
      <c r="B540" s="33"/>
    </row>
    <row r="541" spans="2:2" ht="15.75" customHeight="1" x14ac:dyDescent="0.3">
      <c r="B541" s="33"/>
    </row>
    <row r="542" spans="2:2" ht="15.75" customHeight="1" x14ac:dyDescent="0.3">
      <c r="B542" s="33"/>
    </row>
    <row r="543" spans="2:2" ht="15.75" customHeight="1" x14ac:dyDescent="0.3">
      <c r="B543" s="33"/>
    </row>
    <row r="544" spans="2:2" ht="15.75" customHeight="1" x14ac:dyDescent="0.3">
      <c r="B544" s="33"/>
    </row>
    <row r="545" spans="2:2" ht="15.75" customHeight="1" x14ac:dyDescent="0.3">
      <c r="B545" s="33"/>
    </row>
    <row r="546" spans="2:2" ht="15.75" customHeight="1" x14ac:dyDescent="0.3">
      <c r="B546" s="33"/>
    </row>
    <row r="547" spans="2:2" ht="15.75" customHeight="1" x14ac:dyDescent="0.3">
      <c r="B547" s="33"/>
    </row>
    <row r="548" spans="2:2" ht="15.75" customHeight="1" x14ac:dyDescent="0.3">
      <c r="B548" s="33"/>
    </row>
    <row r="549" spans="2:2" ht="15.75" customHeight="1" x14ac:dyDescent="0.3">
      <c r="B549" s="33"/>
    </row>
    <row r="550" spans="2:2" ht="15.75" customHeight="1" x14ac:dyDescent="0.3">
      <c r="B550" s="33"/>
    </row>
    <row r="551" spans="2:2" ht="15.75" customHeight="1" x14ac:dyDescent="0.3">
      <c r="B551" s="33"/>
    </row>
    <row r="552" spans="2:2" ht="15.75" customHeight="1" x14ac:dyDescent="0.3">
      <c r="B552" s="33"/>
    </row>
    <row r="553" spans="2:2" ht="15.75" customHeight="1" x14ac:dyDescent="0.3">
      <c r="B553" s="33"/>
    </row>
    <row r="554" spans="2:2" ht="15.75" customHeight="1" x14ac:dyDescent="0.3">
      <c r="B554" s="33"/>
    </row>
    <row r="555" spans="2:2" ht="15.75" customHeight="1" x14ac:dyDescent="0.3">
      <c r="B555" s="33"/>
    </row>
    <row r="556" spans="2:2" ht="15.75" customHeight="1" x14ac:dyDescent="0.3">
      <c r="B556" s="33"/>
    </row>
    <row r="557" spans="2:2" ht="15.75" customHeight="1" x14ac:dyDescent="0.3">
      <c r="B557" s="33"/>
    </row>
    <row r="558" spans="2:2" ht="15.75" customHeight="1" x14ac:dyDescent="0.3">
      <c r="B558" s="33"/>
    </row>
    <row r="559" spans="2:2" ht="15.75" customHeight="1" x14ac:dyDescent="0.3">
      <c r="B559" s="33"/>
    </row>
    <row r="560" spans="2:2" ht="15.75" customHeight="1" x14ac:dyDescent="0.3">
      <c r="B560" s="33"/>
    </row>
    <row r="561" spans="2:2" ht="15.75" customHeight="1" x14ac:dyDescent="0.3">
      <c r="B561" s="33"/>
    </row>
    <row r="562" spans="2:2" ht="15.75" customHeight="1" x14ac:dyDescent="0.3">
      <c r="B562" s="33"/>
    </row>
    <row r="563" spans="2:2" ht="15.75" customHeight="1" x14ac:dyDescent="0.3">
      <c r="B563" s="33"/>
    </row>
    <row r="564" spans="2:2" ht="15.75" customHeight="1" x14ac:dyDescent="0.3">
      <c r="B564" s="33"/>
    </row>
    <row r="565" spans="2:2" ht="15.75" customHeight="1" x14ac:dyDescent="0.3">
      <c r="B565" s="33"/>
    </row>
    <row r="566" spans="2:2" ht="15.75" customHeight="1" x14ac:dyDescent="0.3">
      <c r="B566" s="33"/>
    </row>
    <row r="567" spans="2:2" ht="15.75" customHeight="1" x14ac:dyDescent="0.3">
      <c r="B567" s="33"/>
    </row>
    <row r="568" spans="2:2" ht="15.75" customHeight="1" x14ac:dyDescent="0.3">
      <c r="B568" s="33"/>
    </row>
    <row r="569" spans="2:2" ht="15.75" customHeight="1" x14ac:dyDescent="0.3">
      <c r="B569" s="33"/>
    </row>
    <row r="570" spans="2:2" ht="15.75" customHeight="1" x14ac:dyDescent="0.3">
      <c r="B570" s="33"/>
    </row>
    <row r="571" spans="2:2" ht="15.75" customHeight="1" x14ac:dyDescent="0.3">
      <c r="B571" s="33"/>
    </row>
    <row r="572" spans="2:2" ht="15.75" customHeight="1" x14ac:dyDescent="0.3">
      <c r="B572" s="33"/>
    </row>
    <row r="573" spans="2:2" ht="15.75" customHeight="1" x14ac:dyDescent="0.3">
      <c r="B573" s="33"/>
    </row>
    <row r="574" spans="2:2" ht="15.75" customHeight="1" x14ac:dyDescent="0.3">
      <c r="B574" s="33"/>
    </row>
    <row r="575" spans="2:2" ht="15.75" customHeight="1" x14ac:dyDescent="0.3">
      <c r="B575" s="33"/>
    </row>
    <row r="576" spans="2:2" ht="15.75" customHeight="1" x14ac:dyDescent="0.3">
      <c r="B576" s="33"/>
    </row>
    <row r="577" spans="2:2" ht="15.75" customHeight="1" x14ac:dyDescent="0.3">
      <c r="B577" s="33"/>
    </row>
    <row r="578" spans="2:2" ht="15.75" customHeight="1" x14ac:dyDescent="0.3">
      <c r="B578" s="33"/>
    </row>
    <row r="579" spans="2:2" ht="15.75" customHeight="1" x14ac:dyDescent="0.3">
      <c r="B579" s="33"/>
    </row>
    <row r="580" spans="2:2" ht="15.75" customHeight="1" x14ac:dyDescent="0.3">
      <c r="B580" s="33"/>
    </row>
    <row r="581" spans="2:2" ht="15.75" customHeight="1" x14ac:dyDescent="0.3">
      <c r="B581" s="33"/>
    </row>
    <row r="582" spans="2:2" ht="15.75" customHeight="1" x14ac:dyDescent="0.3">
      <c r="B582" s="33"/>
    </row>
    <row r="583" spans="2:2" ht="15.75" customHeight="1" x14ac:dyDescent="0.3">
      <c r="B583" s="33"/>
    </row>
    <row r="584" spans="2:2" ht="15.75" customHeight="1" x14ac:dyDescent="0.3">
      <c r="B584" s="33"/>
    </row>
    <row r="585" spans="2:2" ht="15.75" customHeight="1" x14ac:dyDescent="0.3">
      <c r="B585" s="33"/>
    </row>
    <row r="586" spans="2:2" ht="15.75" customHeight="1" x14ac:dyDescent="0.3">
      <c r="B586" s="33"/>
    </row>
    <row r="587" spans="2:2" ht="15.75" customHeight="1" x14ac:dyDescent="0.3">
      <c r="B587" s="33"/>
    </row>
    <row r="588" spans="2:2" ht="15.75" customHeight="1" x14ac:dyDescent="0.3">
      <c r="B588" s="33"/>
    </row>
    <row r="589" spans="2:2" ht="15.75" customHeight="1" x14ac:dyDescent="0.3">
      <c r="B589" s="33"/>
    </row>
    <row r="590" spans="2:2" ht="15.75" customHeight="1" x14ac:dyDescent="0.3">
      <c r="B590" s="33"/>
    </row>
    <row r="591" spans="2:2" ht="15.75" customHeight="1" x14ac:dyDescent="0.3">
      <c r="B591" s="33"/>
    </row>
    <row r="592" spans="2:2" ht="15.75" customHeight="1" x14ac:dyDescent="0.3">
      <c r="B592" s="33"/>
    </row>
    <row r="593" spans="2:2" ht="15.75" customHeight="1" x14ac:dyDescent="0.3">
      <c r="B593" s="33"/>
    </row>
    <row r="594" spans="2:2" ht="15.75" customHeight="1" x14ac:dyDescent="0.3">
      <c r="B594" s="33"/>
    </row>
    <row r="595" spans="2:2" ht="15.75" customHeight="1" x14ac:dyDescent="0.3">
      <c r="B595" s="33"/>
    </row>
    <row r="596" spans="2:2" ht="15.75" customHeight="1" x14ac:dyDescent="0.3">
      <c r="B596" s="33"/>
    </row>
    <row r="597" spans="2:2" ht="15.75" customHeight="1" x14ac:dyDescent="0.3">
      <c r="B597" s="33"/>
    </row>
    <row r="598" spans="2:2" ht="15.75" customHeight="1" x14ac:dyDescent="0.3">
      <c r="B598" s="33"/>
    </row>
    <row r="599" spans="2:2" ht="15.75" customHeight="1" x14ac:dyDescent="0.3">
      <c r="B599" s="33"/>
    </row>
    <row r="600" spans="2:2" ht="15.75" customHeight="1" x14ac:dyDescent="0.3">
      <c r="B600" s="33"/>
    </row>
    <row r="601" spans="2:2" ht="15.75" customHeight="1" x14ac:dyDescent="0.3">
      <c r="B601" s="33"/>
    </row>
    <row r="602" spans="2:2" ht="15.75" customHeight="1" x14ac:dyDescent="0.3">
      <c r="B602" s="33"/>
    </row>
    <row r="603" spans="2:2" ht="15.75" customHeight="1" x14ac:dyDescent="0.3">
      <c r="B603" s="33"/>
    </row>
    <row r="604" spans="2:2" ht="15.75" customHeight="1" x14ac:dyDescent="0.3">
      <c r="B604" s="33"/>
    </row>
    <row r="605" spans="2:2" ht="15.75" customHeight="1" x14ac:dyDescent="0.3">
      <c r="B605" s="33"/>
    </row>
    <row r="606" spans="2:2" ht="15.75" customHeight="1" x14ac:dyDescent="0.3">
      <c r="B606" s="33"/>
    </row>
    <row r="607" spans="2:2" ht="15.75" customHeight="1" x14ac:dyDescent="0.3">
      <c r="B607" s="33"/>
    </row>
    <row r="608" spans="2:2" ht="15.75" customHeight="1" x14ac:dyDescent="0.3">
      <c r="B608" s="33"/>
    </row>
    <row r="609" spans="2:2" ht="15.75" customHeight="1" x14ac:dyDescent="0.3">
      <c r="B609" s="33"/>
    </row>
    <row r="610" spans="2:2" ht="15.75" customHeight="1" x14ac:dyDescent="0.3">
      <c r="B610" s="33"/>
    </row>
    <row r="611" spans="2:2" ht="15.75" customHeight="1" x14ac:dyDescent="0.3">
      <c r="B611" s="33"/>
    </row>
    <row r="612" spans="2:2" ht="15.75" customHeight="1" x14ac:dyDescent="0.3">
      <c r="B612" s="33"/>
    </row>
    <row r="613" spans="2:2" ht="15.75" customHeight="1" x14ac:dyDescent="0.3">
      <c r="B613" s="33"/>
    </row>
    <row r="614" spans="2:2" ht="15.75" customHeight="1" x14ac:dyDescent="0.3">
      <c r="B614" s="33"/>
    </row>
    <row r="615" spans="2:2" ht="15.75" customHeight="1" x14ac:dyDescent="0.3">
      <c r="B615" s="33"/>
    </row>
    <row r="616" spans="2:2" ht="15.75" customHeight="1" x14ac:dyDescent="0.3">
      <c r="B616" s="33"/>
    </row>
    <row r="617" spans="2:2" ht="15.75" customHeight="1" x14ac:dyDescent="0.3">
      <c r="B617" s="33"/>
    </row>
    <row r="618" spans="2:2" ht="15.75" customHeight="1" x14ac:dyDescent="0.3">
      <c r="B618" s="33"/>
    </row>
    <row r="619" spans="2:2" ht="15.75" customHeight="1" x14ac:dyDescent="0.3">
      <c r="B619" s="33"/>
    </row>
    <row r="620" spans="2:2" ht="15.75" customHeight="1" x14ac:dyDescent="0.3">
      <c r="B620" s="33"/>
    </row>
    <row r="621" spans="2:2" ht="15.75" customHeight="1" x14ac:dyDescent="0.3">
      <c r="B621" s="33"/>
    </row>
    <row r="622" spans="2:2" ht="15.75" customHeight="1" x14ac:dyDescent="0.3">
      <c r="B622" s="33"/>
    </row>
    <row r="623" spans="2:2" ht="15.75" customHeight="1" x14ac:dyDescent="0.3">
      <c r="B623" s="33"/>
    </row>
    <row r="624" spans="2:2" ht="15.75" customHeight="1" x14ac:dyDescent="0.3">
      <c r="B624" s="33"/>
    </row>
    <row r="625" spans="2:2" ht="15.75" customHeight="1" x14ac:dyDescent="0.3">
      <c r="B625" s="33"/>
    </row>
    <row r="626" spans="2:2" ht="15.75" customHeight="1" x14ac:dyDescent="0.3">
      <c r="B626" s="33"/>
    </row>
    <row r="627" spans="2:2" ht="15.75" customHeight="1" x14ac:dyDescent="0.3">
      <c r="B627" s="33"/>
    </row>
    <row r="628" spans="2:2" ht="15.75" customHeight="1" x14ac:dyDescent="0.3">
      <c r="B628" s="33"/>
    </row>
    <row r="629" spans="2:2" ht="15.75" customHeight="1" x14ac:dyDescent="0.3">
      <c r="B629" s="33"/>
    </row>
    <row r="630" spans="2:2" ht="15.75" customHeight="1" x14ac:dyDescent="0.3">
      <c r="B630" s="33"/>
    </row>
    <row r="631" spans="2:2" ht="15.75" customHeight="1" x14ac:dyDescent="0.3">
      <c r="B631" s="33"/>
    </row>
    <row r="632" spans="2:2" ht="15.75" customHeight="1" x14ac:dyDescent="0.3">
      <c r="B632" s="33"/>
    </row>
    <row r="633" spans="2:2" ht="15.75" customHeight="1" x14ac:dyDescent="0.3">
      <c r="B633" s="33"/>
    </row>
    <row r="634" spans="2:2" ht="15.75" customHeight="1" x14ac:dyDescent="0.3">
      <c r="B634" s="33"/>
    </row>
    <row r="635" spans="2:2" ht="15.75" customHeight="1" x14ac:dyDescent="0.3">
      <c r="B635" s="33"/>
    </row>
    <row r="636" spans="2:2" ht="15.75" customHeight="1" x14ac:dyDescent="0.3">
      <c r="B636" s="33"/>
    </row>
    <row r="637" spans="2:2" ht="15.75" customHeight="1" x14ac:dyDescent="0.3">
      <c r="B637" s="33"/>
    </row>
    <row r="638" spans="2:2" ht="15.75" customHeight="1" x14ac:dyDescent="0.3">
      <c r="B638" s="33"/>
    </row>
    <row r="639" spans="2:2" ht="15.75" customHeight="1" x14ac:dyDescent="0.3">
      <c r="B639" s="33"/>
    </row>
    <row r="640" spans="2:2" ht="15.75" customHeight="1" x14ac:dyDescent="0.3">
      <c r="B640" s="33"/>
    </row>
    <row r="641" spans="2:2" ht="15.75" customHeight="1" x14ac:dyDescent="0.3">
      <c r="B641" s="33"/>
    </row>
    <row r="642" spans="2:2" ht="15.75" customHeight="1" x14ac:dyDescent="0.3">
      <c r="B642" s="33"/>
    </row>
    <row r="643" spans="2:2" ht="15.75" customHeight="1" x14ac:dyDescent="0.3">
      <c r="B643" s="33"/>
    </row>
    <row r="644" spans="2:2" ht="15.75" customHeight="1" x14ac:dyDescent="0.3">
      <c r="B644" s="33"/>
    </row>
    <row r="645" spans="2:2" ht="15.75" customHeight="1" x14ac:dyDescent="0.3">
      <c r="B645" s="33"/>
    </row>
    <row r="646" spans="2:2" ht="15.75" customHeight="1" x14ac:dyDescent="0.3">
      <c r="B646" s="33"/>
    </row>
    <row r="647" spans="2:2" ht="15.75" customHeight="1" x14ac:dyDescent="0.3">
      <c r="B647" s="33"/>
    </row>
    <row r="648" spans="2:2" ht="15.75" customHeight="1" x14ac:dyDescent="0.3">
      <c r="B648" s="33"/>
    </row>
    <row r="649" spans="2:2" ht="15.75" customHeight="1" x14ac:dyDescent="0.3">
      <c r="B649" s="33"/>
    </row>
    <row r="650" spans="2:2" ht="15.75" customHeight="1" x14ac:dyDescent="0.3">
      <c r="B650" s="33"/>
    </row>
    <row r="651" spans="2:2" ht="15.75" customHeight="1" x14ac:dyDescent="0.3">
      <c r="B651" s="33"/>
    </row>
    <row r="652" spans="2:2" ht="15.75" customHeight="1" x14ac:dyDescent="0.3">
      <c r="B652" s="33"/>
    </row>
    <row r="653" spans="2:2" ht="15.75" customHeight="1" x14ac:dyDescent="0.3">
      <c r="B653" s="33"/>
    </row>
    <row r="654" spans="2:2" ht="15.75" customHeight="1" x14ac:dyDescent="0.3">
      <c r="B654" s="33"/>
    </row>
    <row r="655" spans="2:2" ht="15.75" customHeight="1" x14ac:dyDescent="0.3">
      <c r="B655" s="33"/>
    </row>
    <row r="656" spans="2:2" ht="15.75" customHeight="1" x14ac:dyDescent="0.3">
      <c r="B656" s="33"/>
    </row>
    <row r="657" spans="2:2" ht="15.75" customHeight="1" x14ac:dyDescent="0.3">
      <c r="B657" s="33"/>
    </row>
    <row r="658" spans="2:2" ht="15.75" customHeight="1" x14ac:dyDescent="0.3">
      <c r="B658" s="33"/>
    </row>
    <row r="659" spans="2:2" ht="15.75" customHeight="1" x14ac:dyDescent="0.3">
      <c r="B659" s="33"/>
    </row>
    <row r="660" spans="2:2" ht="15.75" customHeight="1" x14ac:dyDescent="0.3">
      <c r="B660" s="33"/>
    </row>
    <row r="661" spans="2:2" ht="15.75" customHeight="1" x14ac:dyDescent="0.3">
      <c r="B661" s="33"/>
    </row>
    <row r="662" spans="2:2" ht="15.75" customHeight="1" x14ac:dyDescent="0.3">
      <c r="B662" s="33"/>
    </row>
    <row r="663" spans="2:2" ht="15.75" customHeight="1" x14ac:dyDescent="0.3">
      <c r="B663" s="33"/>
    </row>
    <row r="664" spans="2:2" ht="15.75" customHeight="1" x14ac:dyDescent="0.3">
      <c r="B664" s="33"/>
    </row>
    <row r="665" spans="2:2" ht="15.75" customHeight="1" x14ac:dyDescent="0.3">
      <c r="B665" s="33"/>
    </row>
    <row r="666" spans="2:2" ht="15.75" customHeight="1" x14ac:dyDescent="0.3">
      <c r="B666" s="33"/>
    </row>
    <row r="667" spans="2:2" ht="15.75" customHeight="1" x14ac:dyDescent="0.3">
      <c r="B667" s="33"/>
    </row>
    <row r="668" spans="2:2" ht="15.75" customHeight="1" x14ac:dyDescent="0.3">
      <c r="B668" s="33"/>
    </row>
    <row r="669" spans="2:2" ht="15.75" customHeight="1" x14ac:dyDescent="0.3">
      <c r="B669" s="33"/>
    </row>
    <row r="670" spans="2:2" ht="15.75" customHeight="1" x14ac:dyDescent="0.3">
      <c r="B670" s="33"/>
    </row>
    <row r="671" spans="2:2" ht="15.75" customHeight="1" x14ac:dyDescent="0.3">
      <c r="B671" s="33"/>
    </row>
    <row r="672" spans="2:2" ht="15.75" customHeight="1" x14ac:dyDescent="0.3">
      <c r="B672" s="33"/>
    </row>
    <row r="673" spans="2:2" ht="15.75" customHeight="1" x14ac:dyDescent="0.3">
      <c r="B673" s="33"/>
    </row>
    <row r="674" spans="2:2" ht="15.75" customHeight="1" x14ac:dyDescent="0.3">
      <c r="B674" s="33"/>
    </row>
    <row r="675" spans="2:2" ht="15.75" customHeight="1" x14ac:dyDescent="0.3">
      <c r="B675" s="33"/>
    </row>
    <row r="676" spans="2:2" ht="15.75" customHeight="1" x14ac:dyDescent="0.3">
      <c r="B676" s="33"/>
    </row>
    <row r="677" spans="2:2" ht="15.75" customHeight="1" x14ac:dyDescent="0.3">
      <c r="B677" s="33"/>
    </row>
    <row r="678" spans="2:2" ht="15.75" customHeight="1" x14ac:dyDescent="0.3">
      <c r="B678" s="33"/>
    </row>
    <row r="679" spans="2:2" ht="15.75" customHeight="1" x14ac:dyDescent="0.3">
      <c r="B679" s="33"/>
    </row>
    <row r="680" spans="2:2" ht="15.75" customHeight="1" x14ac:dyDescent="0.3">
      <c r="B680" s="33"/>
    </row>
    <row r="681" spans="2:2" ht="15.75" customHeight="1" x14ac:dyDescent="0.3">
      <c r="B681" s="33"/>
    </row>
    <row r="682" spans="2:2" ht="15.75" customHeight="1" x14ac:dyDescent="0.3">
      <c r="B682" s="33"/>
    </row>
    <row r="683" spans="2:2" ht="15.75" customHeight="1" x14ac:dyDescent="0.3">
      <c r="B683" s="33"/>
    </row>
    <row r="684" spans="2:2" ht="15.75" customHeight="1" x14ac:dyDescent="0.3">
      <c r="B684" s="33"/>
    </row>
    <row r="685" spans="2:2" ht="15.75" customHeight="1" x14ac:dyDescent="0.3">
      <c r="B685" s="33"/>
    </row>
    <row r="686" spans="2:2" ht="15.75" customHeight="1" x14ac:dyDescent="0.3">
      <c r="B686" s="33"/>
    </row>
    <row r="687" spans="2:2" ht="15.75" customHeight="1" x14ac:dyDescent="0.3">
      <c r="B687" s="33"/>
    </row>
    <row r="688" spans="2:2" ht="15.75" customHeight="1" x14ac:dyDescent="0.3">
      <c r="B688" s="33"/>
    </row>
    <row r="689" spans="2:2" ht="15.75" customHeight="1" x14ac:dyDescent="0.3">
      <c r="B689" s="33"/>
    </row>
    <row r="690" spans="2:2" ht="15.75" customHeight="1" x14ac:dyDescent="0.3">
      <c r="B690" s="33"/>
    </row>
    <row r="691" spans="2:2" ht="15.75" customHeight="1" x14ac:dyDescent="0.3">
      <c r="B691" s="33"/>
    </row>
    <row r="692" spans="2:2" ht="15.75" customHeight="1" x14ac:dyDescent="0.3">
      <c r="B692" s="33"/>
    </row>
    <row r="693" spans="2:2" ht="15.75" customHeight="1" x14ac:dyDescent="0.3">
      <c r="B693" s="33"/>
    </row>
    <row r="694" spans="2:2" ht="15.75" customHeight="1" x14ac:dyDescent="0.3">
      <c r="B694" s="33"/>
    </row>
    <row r="695" spans="2:2" ht="15.75" customHeight="1" x14ac:dyDescent="0.3">
      <c r="B695" s="33"/>
    </row>
    <row r="696" spans="2:2" ht="15.75" customHeight="1" x14ac:dyDescent="0.3">
      <c r="B696" s="33"/>
    </row>
    <row r="697" spans="2:2" ht="15.75" customHeight="1" x14ac:dyDescent="0.3">
      <c r="B697" s="33"/>
    </row>
    <row r="698" spans="2:2" ht="15.75" customHeight="1" x14ac:dyDescent="0.3">
      <c r="B698" s="33"/>
    </row>
    <row r="699" spans="2:2" ht="15.75" customHeight="1" x14ac:dyDescent="0.3">
      <c r="B699" s="33"/>
    </row>
    <row r="700" spans="2:2" ht="15.75" customHeight="1" x14ac:dyDescent="0.3">
      <c r="B700" s="33"/>
    </row>
    <row r="701" spans="2:2" ht="15.75" customHeight="1" x14ac:dyDescent="0.3">
      <c r="B701" s="33"/>
    </row>
    <row r="702" spans="2:2" ht="15.75" customHeight="1" x14ac:dyDescent="0.3">
      <c r="B702" s="33"/>
    </row>
    <row r="703" spans="2:2" ht="15.75" customHeight="1" x14ac:dyDescent="0.3">
      <c r="B703" s="33"/>
    </row>
    <row r="704" spans="2:2" ht="15.75" customHeight="1" x14ac:dyDescent="0.3">
      <c r="B704" s="33"/>
    </row>
    <row r="705" spans="2:2" ht="15.75" customHeight="1" x14ac:dyDescent="0.3">
      <c r="B705" s="33"/>
    </row>
    <row r="706" spans="2:2" ht="15.75" customHeight="1" x14ac:dyDescent="0.3">
      <c r="B706" s="33"/>
    </row>
    <row r="707" spans="2:2" ht="15.75" customHeight="1" x14ac:dyDescent="0.3">
      <c r="B707" s="33"/>
    </row>
    <row r="708" spans="2:2" ht="15.75" customHeight="1" x14ac:dyDescent="0.3">
      <c r="B708" s="33"/>
    </row>
    <row r="709" spans="2:2" ht="15.75" customHeight="1" x14ac:dyDescent="0.3">
      <c r="B709" s="33"/>
    </row>
    <row r="710" spans="2:2" ht="15.75" customHeight="1" x14ac:dyDescent="0.3">
      <c r="B710" s="33"/>
    </row>
    <row r="711" spans="2:2" ht="15.75" customHeight="1" x14ac:dyDescent="0.3">
      <c r="B711" s="33"/>
    </row>
    <row r="712" spans="2:2" ht="15.75" customHeight="1" x14ac:dyDescent="0.3">
      <c r="B712" s="33"/>
    </row>
    <row r="713" spans="2:2" ht="15.75" customHeight="1" x14ac:dyDescent="0.3">
      <c r="B713" s="33"/>
    </row>
    <row r="714" spans="2:2" ht="15.75" customHeight="1" x14ac:dyDescent="0.3">
      <c r="B714" s="33"/>
    </row>
    <row r="715" spans="2:2" ht="15.75" customHeight="1" x14ac:dyDescent="0.3">
      <c r="B715" s="33"/>
    </row>
    <row r="716" spans="2:2" ht="15.75" customHeight="1" x14ac:dyDescent="0.3">
      <c r="B716" s="33"/>
    </row>
    <row r="717" spans="2:2" ht="15.75" customHeight="1" x14ac:dyDescent="0.3">
      <c r="B717" s="33"/>
    </row>
    <row r="718" spans="2:2" ht="15.75" customHeight="1" x14ac:dyDescent="0.3">
      <c r="B718" s="33"/>
    </row>
    <row r="719" spans="2:2" ht="15.75" customHeight="1" x14ac:dyDescent="0.3">
      <c r="B719" s="33"/>
    </row>
    <row r="720" spans="2:2" ht="15.75" customHeight="1" x14ac:dyDescent="0.3">
      <c r="B720" s="33"/>
    </row>
    <row r="721" spans="2:2" ht="15.75" customHeight="1" x14ac:dyDescent="0.3">
      <c r="B721" s="33"/>
    </row>
    <row r="722" spans="2:2" ht="15.75" customHeight="1" x14ac:dyDescent="0.3">
      <c r="B722" s="33"/>
    </row>
    <row r="723" spans="2:2" ht="15.75" customHeight="1" x14ac:dyDescent="0.3">
      <c r="B723" s="33"/>
    </row>
    <row r="724" spans="2:2" ht="15.75" customHeight="1" x14ac:dyDescent="0.3">
      <c r="B724" s="33"/>
    </row>
    <row r="725" spans="2:2" ht="15.75" customHeight="1" x14ac:dyDescent="0.3">
      <c r="B725" s="33"/>
    </row>
    <row r="726" spans="2:2" ht="15.75" customHeight="1" x14ac:dyDescent="0.3">
      <c r="B726" s="33"/>
    </row>
    <row r="727" spans="2:2" ht="15.75" customHeight="1" x14ac:dyDescent="0.3">
      <c r="B727" s="33"/>
    </row>
    <row r="728" spans="2:2" ht="15.75" customHeight="1" x14ac:dyDescent="0.3">
      <c r="B728" s="33"/>
    </row>
    <row r="729" spans="2:2" ht="15.75" customHeight="1" x14ac:dyDescent="0.3">
      <c r="B729" s="33"/>
    </row>
    <row r="730" spans="2:2" ht="15.75" customHeight="1" x14ac:dyDescent="0.3">
      <c r="B730" s="33"/>
    </row>
    <row r="731" spans="2:2" ht="15.75" customHeight="1" x14ac:dyDescent="0.3">
      <c r="B731" s="33"/>
    </row>
    <row r="732" spans="2:2" ht="15.75" customHeight="1" x14ac:dyDescent="0.3">
      <c r="B732" s="33"/>
    </row>
    <row r="733" spans="2:2" ht="15.75" customHeight="1" x14ac:dyDescent="0.3">
      <c r="B733" s="33"/>
    </row>
    <row r="734" spans="2:2" ht="15.75" customHeight="1" x14ac:dyDescent="0.3">
      <c r="B734" s="33"/>
    </row>
    <row r="735" spans="2:2" ht="15.75" customHeight="1" x14ac:dyDescent="0.3">
      <c r="B735" s="33"/>
    </row>
    <row r="736" spans="2:2" ht="15.75" customHeight="1" x14ac:dyDescent="0.3">
      <c r="B736" s="33"/>
    </row>
    <row r="737" spans="2:2" ht="15.75" customHeight="1" x14ac:dyDescent="0.3">
      <c r="B737" s="33"/>
    </row>
    <row r="738" spans="2:2" ht="15.75" customHeight="1" x14ac:dyDescent="0.3">
      <c r="B738" s="33"/>
    </row>
    <row r="739" spans="2:2" ht="15.75" customHeight="1" x14ac:dyDescent="0.3">
      <c r="B739" s="33"/>
    </row>
    <row r="740" spans="2:2" ht="15.75" customHeight="1" x14ac:dyDescent="0.3">
      <c r="B740" s="33"/>
    </row>
    <row r="741" spans="2:2" ht="15.75" customHeight="1" x14ac:dyDescent="0.3">
      <c r="B741" s="33"/>
    </row>
    <row r="742" spans="2:2" ht="15.75" customHeight="1" x14ac:dyDescent="0.3">
      <c r="B742" s="33"/>
    </row>
    <row r="743" spans="2:2" ht="15.75" customHeight="1" x14ac:dyDescent="0.3">
      <c r="B743" s="33"/>
    </row>
    <row r="744" spans="2:2" ht="15.75" customHeight="1" x14ac:dyDescent="0.3">
      <c r="B744" s="33"/>
    </row>
    <row r="745" spans="2:2" ht="15.75" customHeight="1" x14ac:dyDescent="0.3">
      <c r="B745" s="33"/>
    </row>
    <row r="746" spans="2:2" ht="15.75" customHeight="1" x14ac:dyDescent="0.3">
      <c r="B746" s="33"/>
    </row>
    <row r="747" spans="2:2" ht="15.75" customHeight="1" x14ac:dyDescent="0.3">
      <c r="B747" s="33"/>
    </row>
    <row r="748" spans="2:2" ht="15.75" customHeight="1" x14ac:dyDescent="0.3">
      <c r="B748" s="33"/>
    </row>
    <row r="749" spans="2:2" ht="15.75" customHeight="1" x14ac:dyDescent="0.3">
      <c r="B749" s="33"/>
    </row>
    <row r="750" spans="2:2" ht="15.75" customHeight="1" x14ac:dyDescent="0.3">
      <c r="B750" s="33"/>
    </row>
    <row r="751" spans="2:2" ht="15.75" customHeight="1" x14ac:dyDescent="0.3">
      <c r="B751" s="33"/>
    </row>
    <row r="752" spans="2:2" ht="15.75" customHeight="1" x14ac:dyDescent="0.3">
      <c r="B752" s="33"/>
    </row>
    <row r="753" spans="2:2" ht="15.75" customHeight="1" x14ac:dyDescent="0.3">
      <c r="B753" s="33"/>
    </row>
    <row r="754" spans="2:2" ht="15.75" customHeight="1" x14ac:dyDescent="0.3">
      <c r="B754" s="33"/>
    </row>
    <row r="755" spans="2:2" ht="15.75" customHeight="1" x14ac:dyDescent="0.3">
      <c r="B755" s="33"/>
    </row>
    <row r="756" spans="2:2" ht="15.75" customHeight="1" x14ac:dyDescent="0.3">
      <c r="B756" s="33"/>
    </row>
    <row r="757" spans="2:2" ht="15.75" customHeight="1" x14ac:dyDescent="0.3">
      <c r="B757" s="33"/>
    </row>
    <row r="758" spans="2:2" ht="15.75" customHeight="1" x14ac:dyDescent="0.3">
      <c r="B758" s="33"/>
    </row>
    <row r="759" spans="2:2" ht="15.75" customHeight="1" x14ac:dyDescent="0.3">
      <c r="B759" s="33"/>
    </row>
    <row r="760" spans="2:2" ht="15.75" customHeight="1" x14ac:dyDescent="0.3">
      <c r="B760" s="33"/>
    </row>
    <row r="761" spans="2:2" ht="15.75" customHeight="1" x14ac:dyDescent="0.3">
      <c r="B761" s="33"/>
    </row>
    <row r="762" spans="2:2" ht="15.75" customHeight="1" x14ac:dyDescent="0.3">
      <c r="B762" s="33"/>
    </row>
    <row r="763" spans="2:2" ht="15.75" customHeight="1" x14ac:dyDescent="0.3">
      <c r="B763" s="33"/>
    </row>
    <row r="764" spans="2:2" ht="15.75" customHeight="1" x14ac:dyDescent="0.3">
      <c r="B764" s="33"/>
    </row>
    <row r="765" spans="2:2" ht="15.75" customHeight="1" x14ac:dyDescent="0.3">
      <c r="B765" s="33"/>
    </row>
    <row r="766" spans="2:2" ht="15.75" customHeight="1" x14ac:dyDescent="0.3">
      <c r="B766" s="33"/>
    </row>
    <row r="767" spans="2:2" ht="15.75" customHeight="1" x14ac:dyDescent="0.3">
      <c r="B767" s="33"/>
    </row>
    <row r="768" spans="2:2" ht="15.75" customHeight="1" x14ac:dyDescent="0.3">
      <c r="B768" s="33"/>
    </row>
    <row r="769" spans="2:2" ht="15.75" customHeight="1" x14ac:dyDescent="0.3">
      <c r="B769" s="33"/>
    </row>
    <row r="770" spans="2:2" ht="15.75" customHeight="1" x14ac:dyDescent="0.3">
      <c r="B770" s="33"/>
    </row>
    <row r="771" spans="2:2" ht="15.75" customHeight="1" x14ac:dyDescent="0.3">
      <c r="B771" s="33"/>
    </row>
    <row r="772" spans="2:2" ht="15.75" customHeight="1" x14ac:dyDescent="0.3">
      <c r="B772" s="33"/>
    </row>
    <row r="773" spans="2:2" ht="15.75" customHeight="1" x14ac:dyDescent="0.3">
      <c r="B773" s="33"/>
    </row>
    <row r="774" spans="2:2" ht="15.75" customHeight="1" x14ac:dyDescent="0.3">
      <c r="B774" s="33"/>
    </row>
    <row r="775" spans="2:2" ht="15.75" customHeight="1" x14ac:dyDescent="0.3">
      <c r="B775" s="33"/>
    </row>
    <row r="776" spans="2:2" ht="15.75" customHeight="1" x14ac:dyDescent="0.3">
      <c r="B776" s="33"/>
    </row>
    <row r="777" spans="2:2" ht="15.75" customHeight="1" x14ac:dyDescent="0.3">
      <c r="B777" s="33"/>
    </row>
    <row r="778" spans="2:2" ht="15.75" customHeight="1" x14ac:dyDescent="0.3">
      <c r="B778" s="33"/>
    </row>
    <row r="779" spans="2:2" ht="15.75" customHeight="1" x14ac:dyDescent="0.3">
      <c r="B779" s="33"/>
    </row>
    <row r="780" spans="2:2" ht="15.75" customHeight="1" x14ac:dyDescent="0.3">
      <c r="B780" s="33"/>
    </row>
    <row r="781" spans="2:2" ht="15.75" customHeight="1" x14ac:dyDescent="0.3">
      <c r="B781" s="33"/>
    </row>
    <row r="782" spans="2:2" ht="15.75" customHeight="1" x14ac:dyDescent="0.3">
      <c r="B782" s="33"/>
    </row>
    <row r="783" spans="2:2" ht="15.75" customHeight="1" x14ac:dyDescent="0.3">
      <c r="B783" s="33"/>
    </row>
    <row r="784" spans="2:2" ht="15.75" customHeight="1" x14ac:dyDescent="0.3">
      <c r="B784" s="33"/>
    </row>
    <row r="785" spans="2:2" ht="15.75" customHeight="1" x14ac:dyDescent="0.3">
      <c r="B785" s="33"/>
    </row>
    <row r="786" spans="2:2" ht="15.75" customHeight="1" x14ac:dyDescent="0.3">
      <c r="B786" s="33"/>
    </row>
    <row r="787" spans="2:2" ht="15.75" customHeight="1" x14ac:dyDescent="0.3">
      <c r="B787" s="33"/>
    </row>
    <row r="788" spans="2:2" ht="15.75" customHeight="1" x14ac:dyDescent="0.3">
      <c r="B788" s="33"/>
    </row>
    <row r="789" spans="2:2" ht="15.75" customHeight="1" x14ac:dyDescent="0.3">
      <c r="B789" s="33"/>
    </row>
    <row r="790" spans="2:2" ht="15.75" customHeight="1" x14ac:dyDescent="0.3">
      <c r="B790" s="33"/>
    </row>
    <row r="791" spans="2:2" ht="15.75" customHeight="1" x14ac:dyDescent="0.3">
      <c r="B791" s="33"/>
    </row>
    <row r="792" spans="2:2" ht="15.75" customHeight="1" x14ac:dyDescent="0.3">
      <c r="B792" s="33"/>
    </row>
    <row r="793" spans="2:2" ht="15.75" customHeight="1" x14ac:dyDescent="0.3">
      <c r="B793" s="33"/>
    </row>
    <row r="794" spans="2:2" ht="15.75" customHeight="1" x14ac:dyDescent="0.3">
      <c r="B794" s="33"/>
    </row>
    <row r="795" spans="2:2" ht="15.75" customHeight="1" x14ac:dyDescent="0.3">
      <c r="B795" s="33"/>
    </row>
    <row r="796" spans="2:2" ht="15.75" customHeight="1" x14ac:dyDescent="0.3">
      <c r="B796" s="33"/>
    </row>
    <row r="797" spans="2:2" ht="15.75" customHeight="1" x14ac:dyDescent="0.3">
      <c r="B797" s="33"/>
    </row>
    <row r="798" spans="2:2" ht="15.75" customHeight="1" x14ac:dyDescent="0.3">
      <c r="B798" s="33"/>
    </row>
    <row r="799" spans="2:2" ht="15.75" customHeight="1" x14ac:dyDescent="0.3">
      <c r="B799" s="33"/>
    </row>
    <row r="800" spans="2:2" ht="15.75" customHeight="1" x14ac:dyDescent="0.3">
      <c r="B800" s="33"/>
    </row>
    <row r="801" spans="2:2" ht="15.75" customHeight="1" x14ac:dyDescent="0.3">
      <c r="B801" s="33"/>
    </row>
    <row r="802" spans="2:2" ht="15.75" customHeight="1" x14ac:dyDescent="0.3">
      <c r="B802" s="33"/>
    </row>
    <row r="803" spans="2:2" ht="15.75" customHeight="1" x14ac:dyDescent="0.3">
      <c r="B803" s="33"/>
    </row>
    <row r="804" spans="2:2" ht="15.75" customHeight="1" x14ac:dyDescent="0.3">
      <c r="B804" s="33"/>
    </row>
    <row r="805" spans="2:2" ht="15.75" customHeight="1" x14ac:dyDescent="0.3">
      <c r="B805" s="33"/>
    </row>
    <row r="806" spans="2:2" ht="15.75" customHeight="1" x14ac:dyDescent="0.3">
      <c r="B806" s="33"/>
    </row>
    <row r="807" spans="2:2" ht="15.75" customHeight="1" x14ac:dyDescent="0.3">
      <c r="B807" s="33"/>
    </row>
    <row r="808" spans="2:2" ht="15.75" customHeight="1" x14ac:dyDescent="0.3">
      <c r="B808" s="33"/>
    </row>
    <row r="809" spans="2:2" ht="15.75" customHeight="1" x14ac:dyDescent="0.3">
      <c r="B809" s="33"/>
    </row>
    <row r="810" spans="2:2" ht="15.75" customHeight="1" x14ac:dyDescent="0.3">
      <c r="B810" s="33"/>
    </row>
    <row r="811" spans="2:2" ht="15.75" customHeight="1" x14ac:dyDescent="0.3">
      <c r="B811" s="33"/>
    </row>
    <row r="812" spans="2:2" ht="15.75" customHeight="1" x14ac:dyDescent="0.3">
      <c r="B812" s="33"/>
    </row>
    <row r="813" spans="2:2" ht="15.75" customHeight="1" x14ac:dyDescent="0.3">
      <c r="B813" s="33"/>
    </row>
    <row r="814" spans="2:2" ht="15.75" customHeight="1" x14ac:dyDescent="0.3">
      <c r="B814" s="33"/>
    </row>
    <row r="815" spans="2:2" ht="15.75" customHeight="1" x14ac:dyDescent="0.3">
      <c r="B815" s="33"/>
    </row>
    <row r="816" spans="2:2" ht="15.75" customHeight="1" x14ac:dyDescent="0.3">
      <c r="B816" s="33"/>
    </row>
    <row r="817" spans="2:2" ht="15.75" customHeight="1" x14ac:dyDescent="0.3">
      <c r="B817" s="33"/>
    </row>
    <row r="818" spans="2:2" ht="15.75" customHeight="1" x14ac:dyDescent="0.3">
      <c r="B818" s="33"/>
    </row>
    <row r="819" spans="2:2" ht="15.75" customHeight="1" x14ac:dyDescent="0.3">
      <c r="B819" s="33"/>
    </row>
    <row r="820" spans="2:2" ht="15.75" customHeight="1" x14ac:dyDescent="0.3">
      <c r="B820" s="33"/>
    </row>
    <row r="821" spans="2:2" ht="15.75" customHeight="1" x14ac:dyDescent="0.3">
      <c r="B821" s="33"/>
    </row>
    <row r="822" spans="2:2" ht="15.75" customHeight="1" x14ac:dyDescent="0.3">
      <c r="B822" s="33"/>
    </row>
    <row r="823" spans="2:2" ht="15.75" customHeight="1" x14ac:dyDescent="0.3">
      <c r="B823" s="33"/>
    </row>
    <row r="824" spans="2:2" ht="15.75" customHeight="1" x14ac:dyDescent="0.3">
      <c r="B824" s="33"/>
    </row>
    <row r="825" spans="2:2" ht="15.75" customHeight="1" x14ac:dyDescent="0.3">
      <c r="B825" s="33"/>
    </row>
    <row r="826" spans="2:2" ht="15.75" customHeight="1" x14ac:dyDescent="0.3">
      <c r="B826" s="33"/>
    </row>
    <row r="827" spans="2:2" ht="15.75" customHeight="1" x14ac:dyDescent="0.3">
      <c r="B827" s="33"/>
    </row>
    <row r="828" spans="2:2" ht="15.75" customHeight="1" x14ac:dyDescent="0.3">
      <c r="B828" s="33"/>
    </row>
    <row r="829" spans="2:2" ht="15.75" customHeight="1" x14ac:dyDescent="0.3">
      <c r="B829" s="33"/>
    </row>
    <row r="830" spans="2:2" ht="15.75" customHeight="1" x14ac:dyDescent="0.3">
      <c r="B830" s="33"/>
    </row>
    <row r="831" spans="2:2" ht="15.75" customHeight="1" x14ac:dyDescent="0.3">
      <c r="B831" s="33"/>
    </row>
    <row r="832" spans="2:2" ht="15.75" customHeight="1" x14ac:dyDescent="0.3">
      <c r="B832" s="33"/>
    </row>
    <row r="833" spans="2:2" ht="15.75" customHeight="1" x14ac:dyDescent="0.3">
      <c r="B833" s="33"/>
    </row>
    <row r="834" spans="2:2" ht="15.75" customHeight="1" x14ac:dyDescent="0.3">
      <c r="B834" s="33"/>
    </row>
    <row r="835" spans="2:2" ht="15.75" customHeight="1" x14ac:dyDescent="0.3">
      <c r="B835" s="33"/>
    </row>
    <row r="836" spans="2:2" ht="15.75" customHeight="1" x14ac:dyDescent="0.3">
      <c r="B836" s="33"/>
    </row>
    <row r="837" spans="2:2" ht="15.75" customHeight="1" x14ac:dyDescent="0.3">
      <c r="B837" s="33"/>
    </row>
    <row r="838" spans="2:2" ht="15.75" customHeight="1" x14ac:dyDescent="0.3">
      <c r="B838" s="33"/>
    </row>
    <row r="839" spans="2:2" ht="15.75" customHeight="1" x14ac:dyDescent="0.3">
      <c r="B839" s="33"/>
    </row>
    <row r="840" spans="2:2" ht="15.75" customHeight="1" x14ac:dyDescent="0.3">
      <c r="B840" s="33"/>
    </row>
    <row r="841" spans="2:2" ht="15.75" customHeight="1" x14ac:dyDescent="0.3">
      <c r="B841" s="33"/>
    </row>
    <row r="842" spans="2:2" ht="15.75" customHeight="1" x14ac:dyDescent="0.3">
      <c r="B842" s="33"/>
    </row>
    <row r="843" spans="2:2" ht="15.75" customHeight="1" x14ac:dyDescent="0.3">
      <c r="B843" s="33"/>
    </row>
    <row r="844" spans="2:2" ht="15.75" customHeight="1" x14ac:dyDescent="0.3">
      <c r="B844" s="33"/>
    </row>
    <row r="845" spans="2:2" ht="15.75" customHeight="1" x14ac:dyDescent="0.3">
      <c r="B845" s="33"/>
    </row>
    <row r="846" spans="2:2" ht="15.75" customHeight="1" x14ac:dyDescent="0.3">
      <c r="B846" s="33"/>
    </row>
    <row r="847" spans="2:2" ht="15.75" customHeight="1" x14ac:dyDescent="0.3">
      <c r="B847" s="33"/>
    </row>
    <row r="848" spans="2:2" ht="15.75" customHeight="1" x14ac:dyDescent="0.3">
      <c r="B848" s="33"/>
    </row>
    <row r="849" spans="2:2" ht="15.75" customHeight="1" x14ac:dyDescent="0.3">
      <c r="B849" s="33"/>
    </row>
    <row r="850" spans="2:2" ht="15.75" customHeight="1" x14ac:dyDescent="0.3">
      <c r="B850" s="33"/>
    </row>
    <row r="851" spans="2:2" ht="15.75" customHeight="1" x14ac:dyDescent="0.3">
      <c r="B851" s="33"/>
    </row>
    <row r="852" spans="2:2" ht="15.75" customHeight="1" x14ac:dyDescent="0.3">
      <c r="B852" s="33"/>
    </row>
    <row r="853" spans="2:2" ht="15.75" customHeight="1" x14ac:dyDescent="0.3">
      <c r="B853" s="33"/>
    </row>
    <row r="854" spans="2:2" ht="15.75" customHeight="1" x14ac:dyDescent="0.3">
      <c r="B854" s="33"/>
    </row>
    <row r="855" spans="2:2" ht="15.75" customHeight="1" x14ac:dyDescent="0.3">
      <c r="B855" s="33"/>
    </row>
    <row r="856" spans="2:2" ht="15.75" customHeight="1" x14ac:dyDescent="0.3">
      <c r="B856" s="33"/>
    </row>
    <row r="857" spans="2:2" ht="15.75" customHeight="1" x14ac:dyDescent="0.3">
      <c r="B857" s="33"/>
    </row>
    <row r="858" spans="2:2" ht="15.75" customHeight="1" x14ac:dyDescent="0.3">
      <c r="B858" s="33"/>
    </row>
    <row r="859" spans="2:2" ht="15.75" customHeight="1" x14ac:dyDescent="0.3">
      <c r="B859" s="33"/>
    </row>
    <row r="860" spans="2:2" ht="15.75" customHeight="1" x14ac:dyDescent="0.3">
      <c r="B860" s="33"/>
    </row>
    <row r="861" spans="2:2" ht="15.75" customHeight="1" x14ac:dyDescent="0.3">
      <c r="B861" s="33"/>
    </row>
    <row r="862" spans="2:2" ht="15.75" customHeight="1" x14ac:dyDescent="0.3">
      <c r="B862" s="33"/>
    </row>
    <row r="863" spans="2:2" ht="15.75" customHeight="1" x14ac:dyDescent="0.3">
      <c r="B863" s="33"/>
    </row>
    <row r="864" spans="2:2" ht="15.75" customHeight="1" x14ac:dyDescent="0.3">
      <c r="B864" s="33"/>
    </row>
    <row r="865" spans="2:2" ht="15.75" customHeight="1" x14ac:dyDescent="0.3">
      <c r="B865" s="33"/>
    </row>
    <row r="866" spans="2:2" ht="15.75" customHeight="1" x14ac:dyDescent="0.3">
      <c r="B866" s="33"/>
    </row>
    <row r="867" spans="2:2" ht="15.75" customHeight="1" x14ac:dyDescent="0.3">
      <c r="B867" s="33"/>
    </row>
    <row r="868" spans="2:2" ht="15.75" customHeight="1" x14ac:dyDescent="0.3">
      <c r="B868" s="33"/>
    </row>
    <row r="869" spans="2:2" ht="15.75" customHeight="1" x14ac:dyDescent="0.3">
      <c r="B869" s="33"/>
    </row>
    <row r="870" spans="2:2" ht="15.75" customHeight="1" x14ac:dyDescent="0.3">
      <c r="B870" s="33"/>
    </row>
    <row r="871" spans="2:2" ht="15.75" customHeight="1" x14ac:dyDescent="0.3">
      <c r="B871" s="33"/>
    </row>
    <row r="872" spans="2:2" ht="15.75" customHeight="1" x14ac:dyDescent="0.3">
      <c r="B872" s="33"/>
    </row>
    <row r="873" spans="2:2" ht="15.75" customHeight="1" x14ac:dyDescent="0.3">
      <c r="B873" s="33"/>
    </row>
    <row r="874" spans="2:2" ht="15.75" customHeight="1" x14ac:dyDescent="0.3">
      <c r="B874" s="33"/>
    </row>
    <row r="875" spans="2:2" ht="15.75" customHeight="1" x14ac:dyDescent="0.3">
      <c r="B875" s="33"/>
    </row>
    <row r="876" spans="2:2" ht="15.75" customHeight="1" x14ac:dyDescent="0.3">
      <c r="B876" s="33"/>
    </row>
    <row r="877" spans="2:2" ht="15.75" customHeight="1" x14ac:dyDescent="0.3">
      <c r="B877" s="33"/>
    </row>
    <row r="878" spans="2:2" ht="15.75" customHeight="1" x14ac:dyDescent="0.3">
      <c r="B878" s="33"/>
    </row>
    <row r="879" spans="2:2" ht="15.75" customHeight="1" x14ac:dyDescent="0.3">
      <c r="B879" s="33"/>
    </row>
    <row r="880" spans="2:2" ht="15.75" customHeight="1" x14ac:dyDescent="0.3">
      <c r="B880" s="33"/>
    </row>
    <row r="881" spans="2:2" ht="15.75" customHeight="1" x14ac:dyDescent="0.3">
      <c r="B881" s="33"/>
    </row>
    <row r="882" spans="2:2" ht="15.75" customHeight="1" x14ac:dyDescent="0.3">
      <c r="B882" s="33"/>
    </row>
    <row r="883" spans="2:2" ht="15.75" customHeight="1" x14ac:dyDescent="0.3">
      <c r="B883" s="33"/>
    </row>
    <row r="884" spans="2:2" ht="15.75" customHeight="1" x14ac:dyDescent="0.3">
      <c r="B884" s="33"/>
    </row>
    <row r="885" spans="2:2" ht="15.75" customHeight="1" x14ac:dyDescent="0.3">
      <c r="B885" s="33"/>
    </row>
    <row r="886" spans="2:2" ht="15.75" customHeight="1" x14ac:dyDescent="0.3">
      <c r="B886" s="33"/>
    </row>
    <row r="887" spans="2:2" ht="15.75" customHeight="1" x14ac:dyDescent="0.3">
      <c r="B887" s="33"/>
    </row>
    <row r="888" spans="2:2" ht="15.75" customHeight="1" x14ac:dyDescent="0.3">
      <c r="B888" s="33"/>
    </row>
    <row r="889" spans="2:2" ht="15.75" customHeight="1" x14ac:dyDescent="0.3">
      <c r="B889" s="33"/>
    </row>
    <row r="890" spans="2:2" ht="15.75" customHeight="1" x14ac:dyDescent="0.3">
      <c r="B890" s="33"/>
    </row>
    <row r="891" spans="2:2" ht="15.75" customHeight="1" x14ac:dyDescent="0.3">
      <c r="B891" s="33"/>
    </row>
    <row r="892" spans="2:2" ht="15.75" customHeight="1" x14ac:dyDescent="0.3">
      <c r="B892" s="33"/>
    </row>
    <row r="893" spans="2:2" ht="15.75" customHeight="1" x14ac:dyDescent="0.3">
      <c r="B893" s="33"/>
    </row>
    <row r="894" spans="2:2" ht="15.75" customHeight="1" x14ac:dyDescent="0.3">
      <c r="B894" s="33"/>
    </row>
    <row r="895" spans="2:2" ht="15.75" customHeight="1" x14ac:dyDescent="0.3">
      <c r="B895" s="33"/>
    </row>
    <row r="896" spans="2:2" ht="15.75" customHeight="1" x14ac:dyDescent="0.3">
      <c r="B896" s="33"/>
    </row>
    <row r="897" spans="2:2" ht="15.75" customHeight="1" x14ac:dyDescent="0.3">
      <c r="B897" s="33"/>
    </row>
    <row r="898" spans="2:2" ht="15.75" customHeight="1" x14ac:dyDescent="0.3">
      <c r="B898" s="33"/>
    </row>
    <row r="899" spans="2:2" ht="15.75" customHeight="1" x14ac:dyDescent="0.3">
      <c r="B899" s="33"/>
    </row>
    <row r="900" spans="2:2" ht="15.75" customHeight="1" x14ac:dyDescent="0.3">
      <c r="B900" s="33"/>
    </row>
    <row r="901" spans="2:2" ht="15.75" customHeight="1" x14ac:dyDescent="0.3">
      <c r="B901" s="33"/>
    </row>
    <row r="902" spans="2:2" ht="15.75" customHeight="1" x14ac:dyDescent="0.3">
      <c r="B902" s="33"/>
    </row>
    <row r="903" spans="2:2" ht="15.75" customHeight="1" x14ac:dyDescent="0.3">
      <c r="B903" s="33"/>
    </row>
    <row r="904" spans="2:2" ht="15.75" customHeight="1" x14ac:dyDescent="0.3">
      <c r="B904" s="33"/>
    </row>
    <row r="905" spans="2:2" ht="15.75" customHeight="1" x14ac:dyDescent="0.3">
      <c r="B905" s="33"/>
    </row>
    <row r="906" spans="2:2" ht="15.75" customHeight="1" x14ac:dyDescent="0.3">
      <c r="B906" s="33"/>
    </row>
    <row r="907" spans="2:2" ht="15.75" customHeight="1" x14ac:dyDescent="0.3">
      <c r="B907" s="33"/>
    </row>
    <row r="908" spans="2:2" ht="15.75" customHeight="1" x14ac:dyDescent="0.3">
      <c r="B908" s="33"/>
    </row>
    <row r="909" spans="2:2" ht="15.75" customHeight="1" x14ac:dyDescent="0.3">
      <c r="B909" s="33"/>
    </row>
    <row r="910" spans="2:2" ht="15.75" customHeight="1" x14ac:dyDescent="0.3">
      <c r="B910" s="33"/>
    </row>
    <row r="911" spans="2:2" ht="15.75" customHeight="1" x14ac:dyDescent="0.3">
      <c r="B911" s="33"/>
    </row>
    <row r="912" spans="2:2" ht="15.75" customHeight="1" x14ac:dyDescent="0.3">
      <c r="B912" s="33"/>
    </row>
    <row r="913" spans="2:2" ht="15.75" customHeight="1" x14ac:dyDescent="0.3">
      <c r="B913" s="33"/>
    </row>
    <row r="914" spans="2:2" ht="15.75" customHeight="1" x14ac:dyDescent="0.3">
      <c r="B914" s="33"/>
    </row>
    <row r="915" spans="2:2" ht="15.75" customHeight="1" x14ac:dyDescent="0.3">
      <c r="B915" s="33"/>
    </row>
    <row r="916" spans="2:2" ht="15.75" customHeight="1" x14ac:dyDescent="0.3">
      <c r="B916" s="33"/>
    </row>
    <row r="917" spans="2:2" ht="15.75" customHeight="1" x14ac:dyDescent="0.3">
      <c r="B917" s="33"/>
    </row>
    <row r="918" spans="2:2" ht="15.75" customHeight="1" x14ac:dyDescent="0.3">
      <c r="B918" s="33"/>
    </row>
    <row r="919" spans="2:2" ht="15.75" customHeight="1" x14ac:dyDescent="0.3">
      <c r="B919" s="33"/>
    </row>
    <row r="920" spans="2:2" ht="15.75" customHeight="1" x14ac:dyDescent="0.3">
      <c r="B920" s="33"/>
    </row>
    <row r="921" spans="2:2" ht="15.75" customHeight="1" x14ac:dyDescent="0.3">
      <c r="B921" s="33"/>
    </row>
    <row r="922" spans="2:2" ht="15.75" customHeight="1" x14ac:dyDescent="0.3">
      <c r="B922" s="33"/>
    </row>
    <row r="923" spans="2:2" ht="15.75" customHeight="1" x14ac:dyDescent="0.3">
      <c r="B923" s="33"/>
    </row>
    <row r="924" spans="2:2" ht="15.75" customHeight="1" x14ac:dyDescent="0.3">
      <c r="B924" s="33"/>
    </row>
    <row r="925" spans="2:2" ht="15.75" customHeight="1" x14ac:dyDescent="0.3">
      <c r="B925" s="33"/>
    </row>
    <row r="926" spans="2:2" ht="15.75" customHeight="1" x14ac:dyDescent="0.3">
      <c r="B926" s="33"/>
    </row>
    <row r="927" spans="2:2" ht="15.75" customHeight="1" x14ac:dyDescent="0.3">
      <c r="B927" s="33"/>
    </row>
    <row r="928" spans="2:2" ht="15.75" customHeight="1" x14ac:dyDescent="0.3">
      <c r="B928" s="33"/>
    </row>
    <row r="929" spans="2:2" ht="15.75" customHeight="1" x14ac:dyDescent="0.3">
      <c r="B929" s="33"/>
    </row>
    <row r="930" spans="2:2" ht="15.75" customHeight="1" x14ac:dyDescent="0.3">
      <c r="B930" s="33"/>
    </row>
    <row r="931" spans="2:2" ht="15.75" customHeight="1" x14ac:dyDescent="0.3">
      <c r="B931" s="33"/>
    </row>
    <row r="932" spans="2:2" ht="15.75" customHeight="1" x14ac:dyDescent="0.3">
      <c r="B932" s="33"/>
    </row>
    <row r="933" spans="2:2" ht="15.75" customHeight="1" x14ac:dyDescent="0.3">
      <c r="B933" s="33"/>
    </row>
    <row r="934" spans="2:2" ht="15.75" customHeight="1" x14ac:dyDescent="0.3">
      <c r="B934" s="33"/>
    </row>
    <row r="935" spans="2:2" ht="15.75" customHeight="1" x14ac:dyDescent="0.3">
      <c r="B935" s="33"/>
    </row>
    <row r="936" spans="2:2" ht="15.75" customHeight="1" x14ac:dyDescent="0.3">
      <c r="B936" s="33"/>
    </row>
    <row r="937" spans="2:2" ht="15.75" customHeight="1" x14ac:dyDescent="0.3">
      <c r="B937" s="33"/>
    </row>
    <row r="938" spans="2:2" ht="15.75" customHeight="1" x14ac:dyDescent="0.3">
      <c r="B938" s="33"/>
    </row>
    <row r="939" spans="2:2" ht="15.75" customHeight="1" x14ac:dyDescent="0.3">
      <c r="B939" s="33"/>
    </row>
    <row r="940" spans="2:2" ht="15.75" customHeight="1" x14ac:dyDescent="0.3">
      <c r="B940" s="33"/>
    </row>
    <row r="941" spans="2:2" ht="15.75" customHeight="1" x14ac:dyDescent="0.3">
      <c r="B941" s="33"/>
    </row>
    <row r="942" spans="2:2" ht="15.75" customHeight="1" x14ac:dyDescent="0.3">
      <c r="B942" s="33"/>
    </row>
    <row r="943" spans="2:2" ht="15.75" customHeight="1" x14ac:dyDescent="0.3">
      <c r="B943" s="33"/>
    </row>
    <row r="944" spans="2:2" ht="15.75" customHeight="1" x14ac:dyDescent="0.3">
      <c r="B944" s="33"/>
    </row>
    <row r="945" spans="2:2" ht="15.75" customHeight="1" x14ac:dyDescent="0.3">
      <c r="B945" s="33"/>
    </row>
    <row r="946" spans="2:2" ht="15.75" customHeight="1" x14ac:dyDescent="0.3">
      <c r="B946" s="33"/>
    </row>
    <row r="947" spans="2:2" ht="15.75" customHeight="1" x14ac:dyDescent="0.3">
      <c r="B947" s="33"/>
    </row>
    <row r="948" spans="2:2" ht="15.75" customHeight="1" x14ac:dyDescent="0.3">
      <c r="B948" s="33"/>
    </row>
    <row r="949" spans="2:2" ht="15.75" customHeight="1" x14ac:dyDescent="0.3">
      <c r="B949" s="33"/>
    </row>
    <row r="950" spans="2:2" ht="15.75" customHeight="1" x14ac:dyDescent="0.3">
      <c r="B950" s="33"/>
    </row>
    <row r="951" spans="2:2" ht="15.75" customHeight="1" x14ac:dyDescent="0.3">
      <c r="B951" s="33"/>
    </row>
    <row r="952" spans="2:2" ht="15.75" customHeight="1" x14ac:dyDescent="0.3">
      <c r="B952" s="33"/>
    </row>
    <row r="953" spans="2:2" ht="15.75" customHeight="1" x14ac:dyDescent="0.3">
      <c r="B953" s="33"/>
    </row>
    <row r="954" spans="2:2" ht="15.75" customHeight="1" x14ac:dyDescent="0.3">
      <c r="B954" s="33"/>
    </row>
    <row r="955" spans="2:2" ht="15.75" customHeight="1" x14ac:dyDescent="0.3">
      <c r="B955" s="33"/>
    </row>
    <row r="956" spans="2:2" ht="15.75" customHeight="1" x14ac:dyDescent="0.3">
      <c r="B956" s="33"/>
    </row>
    <row r="957" spans="2:2" ht="15.75" customHeight="1" x14ac:dyDescent="0.3">
      <c r="B957" s="33"/>
    </row>
    <row r="958" spans="2:2" ht="15.75" customHeight="1" x14ac:dyDescent="0.3">
      <c r="B958" s="33"/>
    </row>
    <row r="959" spans="2:2" ht="15.75" customHeight="1" x14ac:dyDescent="0.3">
      <c r="B959" s="33"/>
    </row>
    <row r="960" spans="2:2" ht="15.75" customHeight="1" x14ac:dyDescent="0.3">
      <c r="B960" s="33"/>
    </row>
    <row r="961" spans="2:2" ht="15.75" customHeight="1" x14ac:dyDescent="0.3">
      <c r="B961" s="33"/>
    </row>
    <row r="962" spans="2:2" ht="15.75" customHeight="1" x14ac:dyDescent="0.3">
      <c r="B962" s="33"/>
    </row>
    <row r="963" spans="2:2" ht="15.75" customHeight="1" x14ac:dyDescent="0.3">
      <c r="B963" s="33"/>
    </row>
    <row r="964" spans="2:2" ht="15.75" customHeight="1" x14ac:dyDescent="0.3">
      <c r="B964" s="33"/>
    </row>
    <row r="965" spans="2:2" ht="15.75" customHeight="1" x14ac:dyDescent="0.3">
      <c r="B965" s="33"/>
    </row>
    <row r="966" spans="2:2" ht="15.75" customHeight="1" x14ac:dyDescent="0.3">
      <c r="B966" s="33"/>
    </row>
    <row r="967" spans="2:2" ht="15.75" customHeight="1" x14ac:dyDescent="0.3">
      <c r="B967" s="33"/>
    </row>
    <row r="968" spans="2:2" ht="15.75" customHeight="1" x14ac:dyDescent="0.3">
      <c r="B968" s="33"/>
    </row>
    <row r="969" spans="2:2" ht="15.75" customHeight="1" x14ac:dyDescent="0.3">
      <c r="B969" s="33"/>
    </row>
    <row r="970" spans="2:2" ht="15.75" customHeight="1" x14ac:dyDescent="0.3">
      <c r="B970" s="33"/>
    </row>
    <row r="971" spans="2:2" ht="15.75" customHeight="1" x14ac:dyDescent="0.3">
      <c r="B971" s="33"/>
    </row>
    <row r="972" spans="2:2" ht="15.75" customHeight="1" x14ac:dyDescent="0.3">
      <c r="B972" s="33"/>
    </row>
    <row r="973" spans="2:2" ht="15.75" customHeight="1" x14ac:dyDescent="0.3">
      <c r="B973" s="33"/>
    </row>
    <row r="974" spans="2:2" ht="15.75" customHeight="1" x14ac:dyDescent="0.3">
      <c r="B974" s="33"/>
    </row>
    <row r="975" spans="2:2" ht="15.75" customHeight="1" x14ac:dyDescent="0.3">
      <c r="B975" s="33"/>
    </row>
    <row r="976" spans="2:2" ht="15.75" customHeight="1" x14ac:dyDescent="0.3">
      <c r="B976" s="33"/>
    </row>
    <row r="977" spans="2:2" ht="15.75" customHeight="1" x14ac:dyDescent="0.3">
      <c r="B977" s="33"/>
    </row>
    <row r="978" spans="2:2" ht="15.75" customHeight="1" x14ac:dyDescent="0.3">
      <c r="B978" s="33"/>
    </row>
    <row r="979" spans="2:2" ht="15.75" customHeight="1" x14ac:dyDescent="0.3">
      <c r="B979" s="33"/>
    </row>
    <row r="980" spans="2:2" ht="15.75" customHeight="1" x14ac:dyDescent="0.3">
      <c r="B980" s="33"/>
    </row>
    <row r="981" spans="2:2" ht="15.75" customHeight="1" x14ac:dyDescent="0.3">
      <c r="B981" s="33"/>
    </row>
    <row r="982" spans="2:2" ht="15.75" customHeight="1" x14ac:dyDescent="0.3">
      <c r="B982" s="33"/>
    </row>
    <row r="983" spans="2:2" ht="15.75" customHeight="1" x14ac:dyDescent="0.3">
      <c r="B983" s="33"/>
    </row>
    <row r="984" spans="2:2" ht="15.75" customHeight="1" x14ac:dyDescent="0.3">
      <c r="B984" s="33"/>
    </row>
    <row r="985" spans="2:2" ht="15.75" customHeight="1" x14ac:dyDescent="0.3">
      <c r="B985" s="33"/>
    </row>
    <row r="986" spans="2:2" ht="15.75" customHeight="1" x14ac:dyDescent="0.3">
      <c r="B986" s="33"/>
    </row>
    <row r="987" spans="2:2" ht="15.75" customHeight="1" x14ac:dyDescent="0.3">
      <c r="B987" s="33"/>
    </row>
    <row r="988" spans="2:2" ht="15.75" customHeight="1" x14ac:dyDescent="0.3">
      <c r="B988" s="33"/>
    </row>
    <row r="989" spans="2:2" ht="15.75" customHeight="1" x14ac:dyDescent="0.3">
      <c r="B989" s="33"/>
    </row>
    <row r="990" spans="2:2" ht="15.75" customHeight="1" x14ac:dyDescent="0.3">
      <c r="B990" s="33"/>
    </row>
    <row r="991" spans="2:2" ht="15.75" customHeight="1" x14ac:dyDescent="0.3">
      <c r="B991" s="33"/>
    </row>
    <row r="992" spans="2:2" ht="15.75" customHeight="1" x14ac:dyDescent="0.3">
      <c r="B992" s="33"/>
    </row>
    <row r="993" spans="2:2" ht="15.75" customHeight="1" x14ac:dyDescent="0.3">
      <c r="B993" s="33"/>
    </row>
    <row r="994" spans="2:2" ht="15.75" customHeight="1" x14ac:dyDescent="0.3">
      <c r="B994" s="33"/>
    </row>
    <row r="995" spans="2:2" ht="15.75" customHeight="1" x14ac:dyDescent="0.3">
      <c r="B995" s="33"/>
    </row>
    <row r="996" spans="2:2" ht="15.75" customHeight="1" x14ac:dyDescent="0.3">
      <c r="B996" s="33"/>
    </row>
    <row r="997" spans="2:2" ht="15.75" customHeight="1" x14ac:dyDescent="0.3">
      <c r="B997" s="33"/>
    </row>
    <row r="998" spans="2:2" ht="15.75" customHeight="1" x14ac:dyDescent="0.3">
      <c r="B998" s="33"/>
    </row>
    <row r="999" spans="2:2" ht="15.75" customHeight="1" x14ac:dyDescent="0.3">
      <c r="B999" s="33"/>
    </row>
    <row r="1000" spans="2:2" ht="15.75" customHeight="1" x14ac:dyDescent="0.3">
      <c r="B1000" s="33"/>
    </row>
  </sheetData>
  <autoFilter ref="A2:P17" xr:uid="{00000000-0009-0000-0000-00000B000000}"/>
  <mergeCells count="1">
    <mergeCell ref="B1:D1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000"/>
  <sheetViews>
    <sheetView workbookViewId="0">
      <selection activeCell="D17" sqref="A1:D17"/>
    </sheetView>
  </sheetViews>
  <sheetFormatPr baseColWidth="10" defaultColWidth="14.44140625" defaultRowHeight="15" customHeight="1" x14ac:dyDescent="0.3"/>
  <cols>
    <col min="1" max="1" width="13.33203125" customWidth="1"/>
    <col min="2" max="2" width="34.109375" customWidth="1"/>
    <col min="3" max="3" width="28.33203125" customWidth="1"/>
    <col min="4" max="4" width="19.33203125" customWidth="1"/>
    <col min="5" max="5" width="4.109375" customWidth="1"/>
    <col min="6" max="6" width="13" customWidth="1"/>
    <col min="7" max="7" width="27.6640625" customWidth="1"/>
    <col min="8" max="8" width="9.5546875" customWidth="1"/>
    <col min="9" max="9" width="16.109375" customWidth="1"/>
    <col min="10" max="10" width="10" customWidth="1"/>
    <col min="11" max="12" width="10.6640625" customWidth="1"/>
    <col min="13" max="13" width="17.88671875" customWidth="1"/>
    <col min="15" max="15" width="14.5546875" customWidth="1"/>
  </cols>
  <sheetData>
    <row r="1" spans="1:16" ht="15" customHeight="1" x14ac:dyDescent="0.3">
      <c r="A1" s="20" t="s">
        <v>410</v>
      </c>
      <c r="B1" s="181" t="str">
        <f>'Formato Cronograma'!C15</f>
        <v>Pensamiento crítico para la toma de decisiones</v>
      </c>
      <c r="C1" s="182"/>
      <c r="D1" s="182"/>
    </row>
    <row r="2" spans="1:16" ht="15" customHeight="1" x14ac:dyDescent="0.3">
      <c r="A2" s="20" t="s">
        <v>411</v>
      </c>
      <c r="B2" s="21" t="s">
        <v>412</v>
      </c>
      <c r="C2" s="22" t="s">
        <v>413</v>
      </c>
      <c r="D2" s="23" t="s">
        <v>414</v>
      </c>
      <c r="E2" s="24"/>
      <c r="F2" s="25"/>
      <c r="G2" s="25"/>
      <c r="H2" s="25"/>
      <c r="I2" s="25"/>
      <c r="J2" s="25"/>
      <c r="K2" s="25"/>
      <c r="L2" s="25"/>
      <c r="M2" s="25"/>
      <c r="N2" s="24"/>
      <c r="O2" s="24"/>
      <c r="P2" s="24"/>
    </row>
    <row r="3" spans="1:16" ht="15" customHeight="1" x14ac:dyDescent="0.3">
      <c r="A3" s="26">
        <v>1</v>
      </c>
      <c r="B3" s="27">
        <f>VLOOKUP((MATCH(A3,'Formato Cronograma'!$N$15:$LJ$15,0)),Datos!A:D,4,FALSE)</f>
        <v>46098</v>
      </c>
      <c r="C3" s="26" t="s">
        <v>415</v>
      </c>
      <c r="D3" s="26" t="s">
        <v>421</v>
      </c>
      <c r="E3" s="24"/>
      <c r="F3" s="28"/>
      <c r="G3" s="28"/>
      <c r="H3" s="25"/>
      <c r="I3" s="28"/>
      <c r="J3" s="28"/>
      <c r="K3" s="28"/>
      <c r="L3" s="28"/>
      <c r="M3" s="28"/>
      <c r="N3" s="24"/>
      <c r="O3" s="24"/>
      <c r="P3" s="24"/>
    </row>
    <row r="4" spans="1:16" ht="15" customHeight="1" x14ac:dyDescent="0.3">
      <c r="A4" s="26">
        <v>2</v>
      </c>
      <c r="B4" s="27">
        <f>VLOOKUP((MATCH(A4,'Formato Cronograma'!$N$15:$LJ$15,0)),Datos!A:D,4,FALSE)</f>
        <v>46100</v>
      </c>
      <c r="C4" s="26" t="s">
        <v>417</v>
      </c>
      <c r="D4" s="26" t="s">
        <v>434</v>
      </c>
      <c r="E4" s="24"/>
      <c r="F4" s="29"/>
      <c r="G4" s="30"/>
      <c r="H4" s="29"/>
      <c r="I4" s="29"/>
      <c r="J4" s="29"/>
      <c r="K4" s="31"/>
      <c r="L4" s="31"/>
      <c r="M4" s="29"/>
      <c r="N4" s="24"/>
      <c r="O4" s="24"/>
      <c r="P4" s="24"/>
    </row>
    <row r="5" spans="1:16" ht="15" customHeight="1" x14ac:dyDescent="0.3">
      <c r="A5" s="26">
        <v>3</v>
      </c>
      <c r="B5" s="27">
        <f>VLOOKUP((MATCH(A5,'Formato Cronograma'!$N$15:$LJ$15,0)),Datos!A:D,4,FALSE)</f>
        <v>46105</v>
      </c>
      <c r="C5" s="26" t="s">
        <v>417</v>
      </c>
      <c r="D5" s="26" t="s">
        <v>434</v>
      </c>
      <c r="E5" s="24"/>
      <c r="F5" s="29"/>
      <c r="G5" s="30"/>
      <c r="H5" s="29"/>
      <c r="I5" s="29"/>
      <c r="J5" s="29"/>
      <c r="K5" s="31"/>
      <c r="L5" s="31"/>
      <c r="M5" s="29"/>
      <c r="N5" s="24"/>
      <c r="O5" s="24"/>
      <c r="P5" s="24"/>
    </row>
    <row r="6" spans="1:16" ht="15" customHeight="1" x14ac:dyDescent="0.3">
      <c r="A6" s="26">
        <v>4</v>
      </c>
      <c r="B6" s="27">
        <f>VLOOKUP((MATCH(A6,'Formato Cronograma'!$N$15:$LJ$15,0)),Datos!A:D,4,FALSE)</f>
        <v>46107</v>
      </c>
      <c r="C6" s="26" t="s">
        <v>417</v>
      </c>
      <c r="D6" s="26" t="s">
        <v>434</v>
      </c>
      <c r="E6" s="24"/>
      <c r="F6" s="29"/>
      <c r="G6" s="30"/>
      <c r="H6" s="29"/>
      <c r="I6" s="29"/>
      <c r="J6" s="29"/>
      <c r="K6" s="31"/>
      <c r="L6" s="31"/>
      <c r="M6" s="29"/>
      <c r="N6" s="24"/>
      <c r="O6" s="24"/>
      <c r="P6" s="24"/>
    </row>
    <row r="7" spans="1:16" ht="15" customHeight="1" x14ac:dyDescent="0.3">
      <c r="A7" s="26">
        <v>5</v>
      </c>
      <c r="B7" s="27">
        <f>VLOOKUP((MATCH(A7,'Formato Cronograma'!$N$15:$LJ$15,0)),Datos!A:D,4,FALSE)</f>
        <v>46119</v>
      </c>
      <c r="C7" s="26" t="s">
        <v>417</v>
      </c>
      <c r="D7" s="26" t="s">
        <v>434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</row>
    <row r="8" spans="1:16" ht="15" customHeight="1" x14ac:dyDescent="0.3">
      <c r="A8" s="26">
        <v>6</v>
      </c>
      <c r="B8" s="27">
        <f>VLOOKUP((MATCH(A8,'Formato Cronograma'!$N$15:$LJ$15,0)),Datos!A:D,4,FALSE)</f>
        <v>46121</v>
      </c>
      <c r="C8" s="26" t="s">
        <v>417</v>
      </c>
      <c r="D8" s="26" t="s">
        <v>434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spans="1:16" ht="15" customHeight="1" x14ac:dyDescent="0.3">
      <c r="A9" s="26">
        <v>7</v>
      </c>
      <c r="B9" s="27">
        <f>VLOOKUP((MATCH(A9,'Formato Cronograma'!$N$15:$LJ$15,0)),Datos!A:D,4,FALSE)</f>
        <v>46126</v>
      </c>
      <c r="C9" s="26" t="s">
        <v>417</v>
      </c>
      <c r="D9" s="26" t="s">
        <v>434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 ht="15" customHeight="1" x14ac:dyDescent="0.3">
      <c r="A10" s="26">
        <v>8</v>
      </c>
      <c r="B10" s="27">
        <f>VLOOKUP((MATCH(A10,'Formato Cronograma'!$N$15:$LJ$15,0)),Datos!A:D,4,FALSE)</f>
        <v>46128</v>
      </c>
      <c r="C10" s="26" t="s">
        <v>417</v>
      </c>
      <c r="D10" s="26" t="s">
        <v>434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6" ht="14.4" x14ac:dyDescent="0.3">
      <c r="A11" s="26">
        <v>9</v>
      </c>
      <c r="B11" s="27">
        <f>VLOOKUP((MATCH(A11,'Formato Cronograma'!$N$15:$LJ$15,0)),Datos!A:D,4,FALSE)</f>
        <v>46133</v>
      </c>
      <c r="C11" s="26" t="s">
        <v>417</v>
      </c>
      <c r="D11" s="26" t="s">
        <v>434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spans="1:16" ht="14.4" x14ac:dyDescent="0.3">
      <c r="A12" s="26">
        <v>10</v>
      </c>
      <c r="B12" s="27">
        <f>VLOOKUP((MATCH(A12,'Formato Cronograma'!$N$15:$LJ$15,0)),Datos!A:D,4,FALSE)</f>
        <v>46135</v>
      </c>
      <c r="C12" s="26" t="s">
        <v>417</v>
      </c>
      <c r="D12" s="26" t="s">
        <v>434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spans="1:16" ht="14.4" x14ac:dyDescent="0.3">
      <c r="A13" s="26">
        <v>11</v>
      </c>
      <c r="B13" s="27">
        <f>VLOOKUP((MATCH(A13,'Formato Cronograma'!$N$15:$LJ$15,0)),Datos!A:D,4,FALSE)</f>
        <v>46140</v>
      </c>
      <c r="C13" s="26" t="s">
        <v>417</v>
      </c>
      <c r="D13" s="26" t="s">
        <v>434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1:16" ht="14.4" x14ac:dyDescent="0.3">
      <c r="A14" s="26">
        <v>12</v>
      </c>
      <c r="B14" s="27">
        <f>VLOOKUP((MATCH(A14,'Formato Cronograma'!$N$15:$LJ$15,0)),Datos!A:D,4,FALSE)</f>
        <v>46142</v>
      </c>
      <c r="C14" s="26" t="s">
        <v>417</v>
      </c>
      <c r="D14" s="26" t="s">
        <v>434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</row>
    <row r="15" spans="1:16" ht="14.4" x14ac:dyDescent="0.3">
      <c r="A15" s="26">
        <v>13</v>
      </c>
      <c r="B15" s="27">
        <f>VLOOKUP((MATCH(A15,'Formato Cronograma'!$N$15:$LJ$15,0)),Datos!A:D,4,FALSE)</f>
        <v>46147</v>
      </c>
      <c r="C15" s="26" t="s">
        <v>417</v>
      </c>
      <c r="D15" s="26" t="s">
        <v>434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</row>
    <row r="16" spans="1:16" ht="14.4" x14ac:dyDescent="0.3">
      <c r="A16" s="26">
        <v>14</v>
      </c>
      <c r="B16" s="27">
        <f>VLOOKUP((MATCH(A16,'Formato Cronograma'!$N$15:$LJ$15,0)),Datos!A:D,4,FALSE)</f>
        <v>46149</v>
      </c>
      <c r="C16" s="26" t="s">
        <v>417</v>
      </c>
      <c r="D16" s="26" t="s">
        <v>434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6" ht="14.4" x14ac:dyDescent="0.3">
      <c r="A17" s="26">
        <v>15</v>
      </c>
      <c r="B17" s="27">
        <f>VLOOKUP((MATCH(A17,'Formato Cronograma'!$N$15:$LJ$15,0)),Datos!A:D,4,FALSE)</f>
        <v>46154</v>
      </c>
      <c r="C17" s="26" t="s">
        <v>415</v>
      </c>
      <c r="D17" s="26" t="s">
        <v>421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</row>
    <row r="18" spans="1:16" ht="14.4" x14ac:dyDescent="0.3">
      <c r="A18" s="24"/>
      <c r="B18" s="32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</row>
    <row r="19" spans="1:16" ht="14.4" x14ac:dyDescent="0.3">
      <c r="A19" s="24"/>
      <c r="B19" s="32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spans="1:16" ht="14.4" x14ac:dyDescent="0.3">
      <c r="A20" s="24"/>
      <c r="B20" s="32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 ht="15.75" customHeight="1" x14ac:dyDescent="0.3">
      <c r="A21" s="24"/>
      <c r="B21" s="32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spans="1:16" ht="15.75" customHeight="1" x14ac:dyDescent="0.3">
      <c r="A22" s="24"/>
      <c r="B22" s="32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</row>
    <row r="23" spans="1:16" ht="15.75" customHeight="1" x14ac:dyDescent="0.3">
      <c r="A23" s="24"/>
      <c r="B23" s="32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4" spans="1:16" ht="15.75" customHeight="1" x14ac:dyDescent="0.3">
      <c r="A24" s="24"/>
      <c r="B24" s="32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  <row r="25" spans="1:16" ht="15.75" customHeight="1" x14ac:dyDescent="0.3">
      <c r="A25" s="24"/>
      <c r="B25" s="32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16" ht="15.75" customHeight="1" x14ac:dyDescent="0.3">
      <c r="A26" s="24"/>
      <c r="B26" s="32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</row>
    <row r="27" spans="1:16" ht="15.75" customHeight="1" x14ac:dyDescent="0.3">
      <c r="A27" s="24"/>
      <c r="B27" s="32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</row>
    <row r="28" spans="1:16" ht="15.75" customHeight="1" x14ac:dyDescent="0.3">
      <c r="A28" s="24"/>
      <c r="B28" s="32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</row>
    <row r="29" spans="1:16" ht="15.75" customHeight="1" x14ac:dyDescent="0.3">
      <c r="A29" s="24"/>
      <c r="B29" s="32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</row>
    <row r="30" spans="1:16" ht="15.75" customHeight="1" x14ac:dyDescent="0.3">
      <c r="A30" s="24"/>
      <c r="B30" s="32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</row>
    <row r="31" spans="1:16" ht="15.75" customHeight="1" x14ac:dyDescent="0.3">
      <c r="A31" s="24"/>
      <c r="B31" s="32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</row>
    <row r="32" spans="1:16" ht="15.75" customHeight="1" x14ac:dyDescent="0.3">
      <c r="A32" s="24"/>
      <c r="B32" s="32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</row>
    <row r="33" spans="1:16" ht="15.75" customHeight="1" x14ac:dyDescent="0.3">
      <c r="A33" s="24"/>
      <c r="B33" s="32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</row>
    <row r="34" spans="1:16" ht="15.75" customHeight="1" x14ac:dyDescent="0.3">
      <c r="A34" s="24"/>
      <c r="B34" s="32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spans="1:16" ht="15.75" customHeight="1" x14ac:dyDescent="0.3">
      <c r="A35" s="24"/>
      <c r="B35" s="32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</row>
    <row r="36" spans="1:16" ht="15.75" customHeight="1" x14ac:dyDescent="0.3">
      <c r="A36" s="24"/>
      <c r="B36" s="32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</row>
    <row r="37" spans="1:16" ht="15.75" customHeight="1" x14ac:dyDescent="0.3">
      <c r="A37" s="24"/>
      <c r="B37" s="32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</row>
    <row r="38" spans="1:16" ht="15.75" customHeight="1" x14ac:dyDescent="0.3">
      <c r="A38" s="24"/>
      <c r="B38" s="32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</row>
    <row r="39" spans="1:16" ht="15.75" customHeight="1" x14ac:dyDescent="0.3">
      <c r="A39" s="24"/>
      <c r="B39" s="32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</row>
    <row r="40" spans="1:16" ht="15.75" customHeight="1" x14ac:dyDescent="0.3">
      <c r="A40" s="24"/>
      <c r="B40" s="32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</row>
    <row r="41" spans="1:16" ht="15.75" customHeight="1" x14ac:dyDescent="0.3">
      <c r="A41" s="24"/>
      <c r="B41" s="32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</row>
    <row r="42" spans="1:16" ht="15.75" customHeight="1" x14ac:dyDescent="0.3">
      <c r="A42" s="24"/>
      <c r="B42" s="32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</row>
    <row r="43" spans="1:16" ht="15.75" customHeight="1" x14ac:dyDescent="0.3">
      <c r="A43" s="24"/>
      <c r="B43" s="32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</row>
    <row r="44" spans="1:16" ht="15.75" customHeight="1" x14ac:dyDescent="0.3">
      <c r="A44" s="24"/>
      <c r="B44" s="32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</row>
    <row r="45" spans="1:16" ht="15.75" customHeight="1" x14ac:dyDescent="0.3">
      <c r="A45" s="24"/>
      <c r="B45" s="32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</row>
    <row r="46" spans="1:16" ht="15.75" customHeight="1" x14ac:dyDescent="0.3">
      <c r="A46" s="24"/>
      <c r="B46" s="32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</row>
    <row r="47" spans="1:16" ht="15.75" customHeight="1" x14ac:dyDescent="0.3">
      <c r="A47" s="24"/>
      <c r="B47" s="32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</row>
    <row r="48" spans="1:16" ht="15.75" customHeight="1" x14ac:dyDescent="0.3">
      <c r="A48" s="24"/>
      <c r="B48" s="32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</row>
    <row r="49" spans="1:16" ht="15.75" customHeight="1" x14ac:dyDescent="0.3">
      <c r="A49" s="24"/>
      <c r="B49" s="32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</row>
    <row r="50" spans="1:16" ht="15.75" customHeight="1" x14ac:dyDescent="0.3">
      <c r="A50" s="24"/>
      <c r="B50" s="32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</row>
    <row r="51" spans="1:16" ht="15.75" customHeight="1" x14ac:dyDescent="0.3">
      <c r="A51" s="24"/>
      <c r="B51" s="32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</row>
    <row r="52" spans="1:16" ht="15.75" customHeight="1" x14ac:dyDescent="0.3">
      <c r="A52" s="24"/>
      <c r="B52" s="32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</row>
    <row r="53" spans="1:16" ht="15.75" customHeight="1" x14ac:dyDescent="0.3">
      <c r="A53" s="24"/>
      <c r="B53" s="32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</row>
    <row r="54" spans="1:16" ht="15.75" customHeight="1" x14ac:dyDescent="0.3">
      <c r="A54" s="24"/>
      <c r="B54" s="32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1:16" ht="15.75" customHeight="1" x14ac:dyDescent="0.3">
      <c r="A55" s="24"/>
      <c r="B55" s="32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</row>
    <row r="56" spans="1:16" ht="15.75" customHeight="1" x14ac:dyDescent="0.3">
      <c r="A56" s="24"/>
      <c r="B56" s="32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</row>
    <row r="57" spans="1:16" ht="15.75" customHeight="1" x14ac:dyDescent="0.3">
      <c r="A57" s="24"/>
      <c r="B57" s="32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</row>
    <row r="58" spans="1:16" ht="15.75" customHeight="1" x14ac:dyDescent="0.3">
      <c r="A58" s="24"/>
      <c r="B58" s="32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</row>
    <row r="59" spans="1:16" ht="15.75" customHeight="1" x14ac:dyDescent="0.3">
      <c r="A59" s="24"/>
      <c r="B59" s="32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</row>
    <row r="60" spans="1:16" ht="15.75" customHeight="1" x14ac:dyDescent="0.3">
      <c r="A60" s="24"/>
      <c r="B60" s="32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</row>
    <row r="61" spans="1:16" ht="15.75" customHeight="1" x14ac:dyDescent="0.3">
      <c r="A61" s="24"/>
      <c r="B61" s="32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</row>
    <row r="62" spans="1:16" ht="15.75" customHeight="1" x14ac:dyDescent="0.3">
      <c r="A62" s="24"/>
      <c r="B62" s="32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</row>
    <row r="63" spans="1:16" ht="15.75" customHeight="1" x14ac:dyDescent="0.3">
      <c r="A63" s="24"/>
      <c r="B63" s="32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</row>
    <row r="64" spans="1:16" ht="15.75" customHeight="1" x14ac:dyDescent="0.3">
      <c r="A64" s="24"/>
      <c r="B64" s="32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</row>
    <row r="65" spans="1:16" ht="15.75" customHeight="1" x14ac:dyDescent="0.3">
      <c r="A65" s="24"/>
      <c r="B65" s="32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</row>
    <row r="66" spans="1:16" ht="15.75" customHeight="1" x14ac:dyDescent="0.3">
      <c r="A66" s="24"/>
      <c r="B66" s="32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</row>
    <row r="67" spans="1:16" ht="15.75" customHeight="1" x14ac:dyDescent="0.3">
      <c r="A67" s="24"/>
      <c r="B67" s="32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</row>
    <row r="68" spans="1:16" ht="15.75" customHeight="1" x14ac:dyDescent="0.3">
      <c r="A68" s="24"/>
      <c r="B68" s="32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</row>
    <row r="69" spans="1:16" ht="15.75" customHeight="1" x14ac:dyDescent="0.3">
      <c r="A69" s="24"/>
      <c r="B69" s="32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</row>
    <row r="70" spans="1:16" ht="15.75" customHeight="1" x14ac:dyDescent="0.3">
      <c r="A70" s="24"/>
      <c r="B70" s="32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</row>
    <row r="71" spans="1:16" ht="15.75" customHeight="1" x14ac:dyDescent="0.3">
      <c r="A71" s="24"/>
      <c r="B71" s="32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</row>
    <row r="72" spans="1:16" ht="15.75" customHeight="1" x14ac:dyDescent="0.3">
      <c r="A72" s="24"/>
      <c r="B72" s="32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</row>
    <row r="73" spans="1:16" ht="15.75" customHeight="1" x14ac:dyDescent="0.3">
      <c r="A73" s="24"/>
      <c r="B73" s="32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</row>
    <row r="74" spans="1:16" ht="15.75" customHeight="1" x14ac:dyDescent="0.3">
      <c r="A74" s="24"/>
      <c r="B74" s="32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</row>
    <row r="75" spans="1:16" ht="15.75" customHeight="1" x14ac:dyDescent="0.3">
      <c r="A75" s="24"/>
      <c r="B75" s="32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</row>
    <row r="76" spans="1:16" ht="15.75" customHeight="1" x14ac:dyDescent="0.3">
      <c r="A76" s="24"/>
      <c r="B76" s="32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</row>
    <row r="77" spans="1:16" ht="15.75" customHeight="1" x14ac:dyDescent="0.3">
      <c r="A77" s="24"/>
      <c r="B77" s="32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</row>
    <row r="78" spans="1:16" ht="15.75" customHeight="1" x14ac:dyDescent="0.3">
      <c r="A78" s="24"/>
      <c r="B78" s="32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</row>
    <row r="79" spans="1:16" ht="15.75" customHeight="1" x14ac:dyDescent="0.3">
      <c r="A79" s="24"/>
      <c r="B79" s="32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</row>
    <row r="80" spans="1:16" ht="15.75" customHeight="1" x14ac:dyDescent="0.3">
      <c r="A80" s="24"/>
      <c r="B80" s="32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</row>
    <row r="81" spans="1:16" ht="15.75" customHeight="1" x14ac:dyDescent="0.3">
      <c r="A81" s="24"/>
      <c r="B81" s="32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</row>
    <row r="82" spans="1:16" ht="15.75" customHeight="1" x14ac:dyDescent="0.3">
      <c r="A82" s="24"/>
      <c r="B82" s="32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</row>
    <row r="83" spans="1:16" ht="15.75" customHeight="1" x14ac:dyDescent="0.3">
      <c r="A83" s="24"/>
      <c r="B83" s="32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</row>
    <row r="84" spans="1:16" ht="15.75" customHeight="1" x14ac:dyDescent="0.3">
      <c r="A84" s="24"/>
      <c r="B84" s="32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</row>
    <row r="85" spans="1:16" ht="15.75" customHeight="1" x14ac:dyDescent="0.3">
      <c r="A85" s="24"/>
      <c r="B85" s="32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</row>
    <row r="86" spans="1:16" ht="15.75" customHeight="1" x14ac:dyDescent="0.3">
      <c r="A86" s="24"/>
      <c r="B86" s="32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</row>
    <row r="87" spans="1:16" ht="15.75" customHeight="1" x14ac:dyDescent="0.3">
      <c r="A87" s="24"/>
      <c r="B87" s="32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</row>
    <row r="88" spans="1:16" ht="15.75" customHeight="1" x14ac:dyDescent="0.3">
      <c r="A88" s="24"/>
      <c r="B88" s="32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</row>
    <row r="89" spans="1:16" ht="15.75" customHeight="1" x14ac:dyDescent="0.3">
      <c r="A89" s="24"/>
      <c r="B89" s="32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</row>
    <row r="90" spans="1:16" ht="15.75" customHeight="1" x14ac:dyDescent="0.3">
      <c r="A90" s="24"/>
      <c r="B90" s="32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</row>
    <row r="91" spans="1:16" ht="15.75" customHeight="1" x14ac:dyDescent="0.3">
      <c r="A91" s="24"/>
      <c r="B91" s="32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</row>
    <row r="92" spans="1:16" ht="15.75" customHeight="1" x14ac:dyDescent="0.3">
      <c r="A92" s="24"/>
      <c r="B92" s="32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</row>
    <row r="93" spans="1:16" ht="15.75" customHeight="1" x14ac:dyDescent="0.3">
      <c r="A93" s="24"/>
      <c r="B93" s="32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</row>
    <row r="94" spans="1:16" ht="15.75" customHeight="1" x14ac:dyDescent="0.3">
      <c r="A94" s="24"/>
      <c r="B94" s="32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</row>
    <row r="95" spans="1:16" ht="15.75" customHeight="1" x14ac:dyDescent="0.3">
      <c r="A95" s="24"/>
      <c r="B95" s="32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</row>
    <row r="96" spans="1:16" ht="15.75" customHeight="1" x14ac:dyDescent="0.3">
      <c r="A96" s="24"/>
      <c r="B96" s="32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</row>
    <row r="97" spans="1:16" ht="15.75" customHeight="1" x14ac:dyDescent="0.3">
      <c r="A97" s="24"/>
      <c r="B97" s="32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</row>
    <row r="98" spans="1:16" ht="15.75" customHeight="1" x14ac:dyDescent="0.3">
      <c r="A98" s="24"/>
      <c r="B98" s="32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</row>
    <row r="99" spans="1:16" ht="15.75" customHeight="1" x14ac:dyDescent="0.3">
      <c r="A99" s="24"/>
      <c r="B99" s="32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</row>
    <row r="100" spans="1:16" ht="15.75" customHeight="1" x14ac:dyDescent="0.3">
      <c r="A100" s="24"/>
      <c r="B100" s="32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</row>
    <row r="101" spans="1:16" ht="15.75" customHeight="1" x14ac:dyDescent="0.3">
      <c r="A101" s="24"/>
      <c r="B101" s="32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</row>
    <row r="102" spans="1:16" ht="15.75" customHeight="1" x14ac:dyDescent="0.3">
      <c r="A102" s="24"/>
      <c r="B102" s="32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</row>
    <row r="103" spans="1:16" ht="15.75" customHeight="1" x14ac:dyDescent="0.3">
      <c r="A103" s="24"/>
      <c r="B103" s="32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</row>
    <row r="104" spans="1:16" ht="15.75" customHeight="1" x14ac:dyDescent="0.3">
      <c r="A104" s="24"/>
      <c r="B104" s="32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</row>
    <row r="105" spans="1:16" ht="15.75" customHeight="1" x14ac:dyDescent="0.3">
      <c r="A105" s="24"/>
      <c r="B105" s="32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</row>
    <row r="106" spans="1:16" ht="15.75" customHeight="1" x14ac:dyDescent="0.3">
      <c r="A106" s="24"/>
      <c r="B106" s="32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</row>
    <row r="107" spans="1:16" ht="15.75" customHeight="1" x14ac:dyDescent="0.3">
      <c r="A107" s="24"/>
      <c r="B107" s="32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</row>
    <row r="108" spans="1:16" ht="15.75" customHeight="1" x14ac:dyDescent="0.3">
      <c r="A108" s="24"/>
      <c r="B108" s="32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</row>
    <row r="109" spans="1:16" ht="15.75" customHeight="1" x14ac:dyDescent="0.3">
      <c r="A109" s="24"/>
      <c r="B109" s="32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</row>
    <row r="110" spans="1:16" ht="15.75" customHeight="1" x14ac:dyDescent="0.3">
      <c r="A110" s="24"/>
      <c r="B110" s="32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</row>
    <row r="111" spans="1:16" ht="15.75" customHeight="1" x14ac:dyDescent="0.3">
      <c r="A111" s="24"/>
      <c r="B111" s="32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</row>
    <row r="112" spans="1:16" ht="15.75" customHeight="1" x14ac:dyDescent="0.3">
      <c r="A112" s="24"/>
      <c r="B112" s="32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</row>
    <row r="113" spans="1:16" ht="15.75" customHeight="1" x14ac:dyDescent="0.3">
      <c r="A113" s="24"/>
      <c r="B113" s="32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</row>
    <row r="114" spans="1:16" ht="15.75" customHeight="1" x14ac:dyDescent="0.3">
      <c r="A114" s="24"/>
      <c r="B114" s="32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</row>
    <row r="115" spans="1:16" ht="15.75" customHeight="1" x14ac:dyDescent="0.3">
      <c r="A115" s="24"/>
      <c r="B115" s="32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</row>
    <row r="116" spans="1:16" ht="15.75" customHeight="1" x14ac:dyDescent="0.3">
      <c r="A116" s="24"/>
      <c r="B116" s="32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</row>
    <row r="117" spans="1:16" ht="15.75" customHeight="1" x14ac:dyDescent="0.3">
      <c r="A117" s="24"/>
      <c r="B117" s="32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</row>
    <row r="118" spans="1:16" ht="15.75" customHeight="1" x14ac:dyDescent="0.3">
      <c r="A118" s="24"/>
      <c r="B118" s="32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</row>
    <row r="119" spans="1:16" ht="15.75" customHeight="1" x14ac:dyDescent="0.3">
      <c r="A119" s="24"/>
      <c r="B119" s="32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</row>
    <row r="120" spans="1:16" ht="15.75" customHeight="1" x14ac:dyDescent="0.3">
      <c r="A120" s="24"/>
      <c r="B120" s="32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</row>
    <row r="121" spans="1:16" ht="15.75" customHeight="1" x14ac:dyDescent="0.3">
      <c r="A121" s="24"/>
      <c r="B121" s="32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</row>
    <row r="122" spans="1:16" ht="15.75" customHeight="1" x14ac:dyDescent="0.3">
      <c r="A122" s="24"/>
      <c r="B122" s="32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</row>
    <row r="123" spans="1:16" ht="15.75" customHeight="1" x14ac:dyDescent="0.3">
      <c r="A123" s="24"/>
      <c r="B123" s="32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</row>
    <row r="124" spans="1:16" ht="15.75" customHeight="1" x14ac:dyDescent="0.3">
      <c r="A124" s="24"/>
      <c r="B124" s="32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</row>
    <row r="125" spans="1:16" ht="15.75" customHeight="1" x14ac:dyDescent="0.3">
      <c r="A125" s="24"/>
      <c r="B125" s="32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</row>
    <row r="126" spans="1:16" ht="15.75" customHeight="1" x14ac:dyDescent="0.3">
      <c r="A126" s="24"/>
      <c r="B126" s="32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</row>
    <row r="127" spans="1:16" ht="15.75" customHeight="1" x14ac:dyDescent="0.3">
      <c r="A127" s="24"/>
      <c r="B127" s="32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</row>
    <row r="128" spans="1:16" ht="15.75" customHeight="1" x14ac:dyDescent="0.3">
      <c r="A128" s="24"/>
      <c r="B128" s="32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</row>
    <row r="129" spans="1:16" ht="15.75" customHeight="1" x14ac:dyDescent="0.3">
      <c r="A129" s="24"/>
      <c r="B129" s="32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</row>
    <row r="130" spans="1:16" ht="15.75" customHeight="1" x14ac:dyDescent="0.3">
      <c r="A130" s="24"/>
      <c r="B130" s="32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</row>
    <row r="131" spans="1:16" ht="15.75" customHeight="1" x14ac:dyDescent="0.3">
      <c r="A131" s="24"/>
      <c r="B131" s="32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</row>
    <row r="132" spans="1:16" ht="15.75" customHeight="1" x14ac:dyDescent="0.3">
      <c r="A132" s="24"/>
      <c r="B132" s="32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</row>
    <row r="133" spans="1:16" ht="15.75" customHeight="1" x14ac:dyDescent="0.3">
      <c r="A133" s="24"/>
      <c r="B133" s="32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</row>
    <row r="134" spans="1:16" ht="15.75" customHeight="1" x14ac:dyDescent="0.3">
      <c r="A134" s="24"/>
      <c r="B134" s="32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</row>
    <row r="135" spans="1:16" ht="15.75" customHeight="1" x14ac:dyDescent="0.3">
      <c r="A135" s="24"/>
      <c r="B135" s="32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</row>
    <row r="136" spans="1:16" ht="15.75" customHeight="1" x14ac:dyDescent="0.3">
      <c r="A136" s="24"/>
      <c r="B136" s="32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</row>
    <row r="137" spans="1:16" ht="15.75" customHeight="1" x14ac:dyDescent="0.3">
      <c r="A137" s="24"/>
      <c r="B137" s="32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</row>
    <row r="138" spans="1:16" ht="15.75" customHeight="1" x14ac:dyDescent="0.3">
      <c r="A138" s="24"/>
      <c r="B138" s="32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</row>
    <row r="139" spans="1:16" ht="15.75" customHeight="1" x14ac:dyDescent="0.3">
      <c r="A139" s="24"/>
      <c r="B139" s="32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</row>
    <row r="140" spans="1:16" ht="15.75" customHeight="1" x14ac:dyDescent="0.3">
      <c r="A140" s="24"/>
      <c r="B140" s="32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</row>
    <row r="141" spans="1:16" ht="15.75" customHeight="1" x14ac:dyDescent="0.3">
      <c r="A141" s="24"/>
      <c r="B141" s="32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</row>
    <row r="142" spans="1:16" ht="15.75" customHeight="1" x14ac:dyDescent="0.3">
      <c r="A142" s="24"/>
      <c r="B142" s="32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</row>
    <row r="143" spans="1:16" ht="15.75" customHeight="1" x14ac:dyDescent="0.3">
      <c r="A143" s="24"/>
      <c r="B143" s="32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</row>
    <row r="144" spans="1:16" ht="15.75" customHeight="1" x14ac:dyDescent="0.3">
      <c r="A144" s="24"/>
      <c r="B144" s="32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</row>
    <row r="145" spans="1:16" ht="15.75" customHeight="1" x14ac:dyDescent="0.3">
      <c r="A145" s="24"/>
      <c r="B145" s="32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</row>
    <row r="146" spans="1:16" ht="15.75" customHeight="1" x14ac:dyDescent="0.3">
      <c r="A146" s="24"/>
      <c r="B146" s="32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</row>
    <row r="147" spans="1:16" ht="15.75" customHeight="1" x14ac:dyDescent="0.3">
      <c r="A147" s="24"/>
      <c r="B147" s="32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</row>
    <row r="148" spans="1:16" ht="15.75" customHeight="1" x14ac:dyDescent="0.3">
      <c r="A148" s="24"/>
      <c r="B148" s="32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</row>
    <row r="149" spans="1:16" ht="15.75" customHeight="1" x14ac:dyDescent="0.3">
      <c r="A149" s="24"/>
      <c r="B149" s="32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</row>
    <row r="150" spans="1:16" ht="15.75" customHeight="1" x14ac:dyDescent="0.3">
      <c r="A150" s="24"/>
      <c r="B150" s="32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</row>
    <row r="151" spans="1:16" ht="15.75" customHeight="1" x14ac:dyDescent="0.3">
      <c r="A151" s="24"/>
      <c r="B151" s="32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</row>
    <row r="152" spans="1:16" ht="15.75" customHeight="1" x14ac:dyDescent="0.3">
      <c r="A152" s="24"/>
      <c r="B152" s="32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</row>
    <row r="153" spans="1:16" ht="15.75" customHeight="1" x14ac:dyDescent="0.3">
      <c r="A153" s="24"/>
      <c r="B153" s="32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</row>
    <row r="154" spans="1:16" ht="15.75" customHeight="1" x14ac:dyDescent="0.3">
      <c r="A154" s="24"/>
      <c r="B154" s="32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</row>
    <row r="155" spans="1:16" ht="15.75" customHeight="1" x14ac:dyDescent="0.3">
      <c r="A155" s="24"/>
      <c r="B155" s="32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</row>
    <row r="156" spans="1:16" ht="15.75" customHeight="1" x14ac:dyDescent="0.3">
      <c r="A156" s="24"/>
      <c r="B156" s="32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</row>
    <row r="157" spans="1:16" ht="15.75" customHeight="1" x14ac:dyDescent="0.3">
      <c r="A157" s="24"/>
      <c r="B157" s="32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</row>
    <row r="158" spans="1:16" ht="15.75" customHeight="1" x14ac:dyDescent="0.3">
      <c r="A158" s="24"/>
      <c r="B158" s="32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</row>
    <row r="159" spans="1:16" ht="15.75" customHeight="1" x14ac:dyDescent="0.3">
      <c r="A159" s="24"/>
      <c r="B159" s="32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</row>
    <row r="160" spans="1:16" ht="15.75" customHeight="1" x14ac:dyDescent="0.3">
      <c r="A160" s="24"/>
      <c r="B160" s="32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</row>
    <row r="161" spans="1:16" ht="15.75" customHeight="1" x14ac:dyDescent="0.3">
      <c r="A161" s="24"/>
      <c r="B161" s="32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</row>
    <row r="162" spans="1:16" ht="15.75" customHeight="1" x14ac:dyDescent="0.3">
      <c r="A162" s="24"/>
      <c r="B162" s="32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</row>
    <row r="163" spans="1:16" ht="15.75" customHeight="1" x14ac:dyDescent="0.3">
      <c r="A163" s="24"/>
      <c r="B163" s="32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</row>
    <row r="164" spans="1:16" ht="15.75" customHeight="1" x14ac:dyDescent="0.3">
      <c r="A164" s="24"/>
      <c r="B164" s="32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</row>
    <row r="165" spans="1:16" ht="15.75" customHeight="1" x14ac:dyDescent="0.3">
      <c r="A165" s="24"/>
      <c r="B165" s="32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</row>
    <row r="166" spans="1:16" ht="15.75" customHeight="1" x14ac:dyDescent="0.3">
      <c r="A166" s="24"/>
      <c r="B166" s="32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</row>
    <row r="167" spans="1:16" ht="15.75" customHeight="1" x14ac:dyDescent="0.3">
      <c r="A167" s="24"/>
      <c r="B167" s="32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</row>
    <row r="168" spans="1:16" ht="15.75" customHeight="1" x14ac:dyDescent="0.3">
      <c r="A168" s="24"/>
      <c r="B168" s="32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</row>
    <row r="169" spans="1:16" ht="15.75" customHeight="1" x14ac:dyDescent="0.3">
      <c r="A169" s="24"/>
      <c r="B169" s="32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</row>
    <row r="170" spans="1:16" ht="15.75" customHeight="1" x14ac:dyDescent="0.3">
      <c r="A170" s="24"/>
      <c r="B170" s="32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</row>
    <row r="171" spans="1:16" ht="15.75" customHeight="1" x14ac:dyDescent="0.3">
      <c r="A171" s="24"/>
      <c r="B171" s="32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</row>
    <row r="172" spans="1:16" ht="15.75" customHeight="1" x14ac:dyDescent="0.3">
      <c r="A172" s="24"/>
      <c r="B172" s="32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</row>
    <row r="173" spans="1:16" ht="15.75" customHeight="1" x14ac:dyDescent="0.3">
      <c r="A173" s="24"/>
      <c r="B173" s="32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</row>
    <row r="174" spans="1:16" ht="15.75" customHeight="1" x14ac:dyDescent="0.3">
      <c r="A174" s="24"/>
      <c r="B174" s="32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</row>
    <row r="175" spans="1:16" ht="15.75" customHeight="1" x14ac:dyDescent="0.3">
      <c r="A175" s="24"/>
      <c r="B175" s="32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</row>
    <row r="176" spans="1:16" ht="15.75" customHeight="1" x14ac:dyDescent="0.3">
      <c r="A176" s="24"/>
      <c r="B176" s="32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</row>
    <row r="177" spans="1:16" ht="15.75" customHeight="1" x14ac:dyDescent="0.3">
      <c r="A177" s="24"/>
      <c r="B177" s="32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</row>
    <row r="178" spans="1:16" ht="15.75" customHeight="1" x14ac:dyDescent="0.3">
      <c r="A178" s="24"/>
      <c r="B178" s="32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</row>
    <row r="179" spans="1:16" ht="15.75" customHeight="1" x14ac:dyDescent="0.3">
      <c r="A179" s="24"/>
      <c r="B179" s="32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</row>
    <row r="180" spans="1:16" ht="15.75" customHeight="1" x14ac:dyDescent="0.3">
      <c r="A180" s="24"/>
      <c r="B180" s="32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</row>
    <row r="181" spans="1:16" ht="15.75" customHeight="1" x14ac:dyDescent="0.3">
      <c r="A181" s="24"/>
      <c r="B181" s="32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</row>
    <row r="182" spans="1:16" ht="15.75" customHeight="1" x14ac:dyDescent="0.3">
      <c r="A182" s="24"/>
      <c r="B182" s="32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</row>
    <row r="183" spans="1:16" ht="15.75" customHeight="1" x14ac:dyDescent="0.3">
      <c r="A183" s="24"/>
      <c r="B183" s="32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</row>
    <row r="184" spans="1:16" ht="15.75" customHeight="1" x14ac:dyDescent="0.3">
      <c r="A184" s="24"/>
      <c r="B184" s="32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</row>
    <row r="185" spans="1:16" ht="15.75" customHeight="1" x14ac:dyDescent="0.3">
      <c r="A185" s="24"/>
      <c r="B185" s="32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</row>
    <row r="186" spans="1:16" ht="15.75" customHeight="1" x14ac:dyDescent="0.3">
      <c r="A186" s="24"/>
      <c r="B186" s="32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</row>
    <row r="187" spans="1:16" ht="15.75" customHeight="1" x14ac:dyDescent="0.3">
      <c r="A187" s="24"/>
      <c r="B187" s="32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</row>
    <row r="188" spans="1:16" ht="15.75" customHeight="1" x14ac:dyDescent="0.3">
      <c r="A188" s="24"/>
      <c r="B188" s="32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</row>
    <row r="189" spans="1:16" ht="15.75" customHeight="1" x14ac:dyDescent="0.3">
      <c r="A189" s="24"/>
      <c r="B189" s="32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</row>
    <row r="190" spans="1:16" ht="15.75" customHeight="1" x14ac:dyDescent="0.3">
      <c r="A190" s="24"/>
      <c r="B190" s="32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</row>
    <row r="191" spans="1:16" ht="15.75" customHeight="1" x14ac:dyDescent="0.3">
      <c r="A191" s="24"/>
      <c r="B191" s="32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</row>
    <row r="192" spans="1:16" ht="15.75" customHeight="1" x14ac:dyDescent="0.3">
      <c r="A192" s="24"/>
      <c r="B192" s="32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</row>
    <row r="193" spans="1:16" ht="15.75" customHeight="1" x14ac:dyDescent="0.3">
      <c r="A193" s="24"/>
      <c r="B193" s="32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</row>
    <row r="194" spans="1:16" ht="15.75" customHeight="1" x14ac:dyDescent="0.3">
      <c r="A194" s="24"/>
      <c r="B194" s="32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</row>
    <row r="195" spans="1:16" ht="15.75" customHeight="1" x14ac:dyDescent="0.3">
      <c r="A195" s="24"/>
      <c r="B195" s="32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</row>
    <row r="196" spans="1:16" ht="15.75" customHeight="1" x14ac:dyDescent="0.3">
      <c r="A196" s="24"/>
      <c r="B196" s="32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</row>
    <row r="197" spans="1:16" ht="15.75" customHeight="1" x14ac:dyDescent="0.3">
      <c r="A197" s="24"/>
      <c r="B197" s="32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</row>
    <row r="198" spans="1:16" ht="15.75" customHeight="1" x14ac:dyDescent="0.3">
      <c r="A198" s="24"/>
      <c r="B198" s="32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</row>
    <row r="199" spans="1:16" ht="15.75" customHeight="1" x14ac:dyDescent="0.3">
      <c r="A199" s="24"/>
      <c r="B199" s="32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</row>
    <row r="200" spans="1:16" ht="15.75" customHeight="1" x14ac:dyDescent="0.3">
      <c r="A200" s="24"/>
      <c r="B200" s="32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</row>
    <row r="201" spans="1:16" ht="15.75" customHeight="1" x14ac:dyDescent="0.3">
      <c r="A201" s="24"/>
      <c r="B201" s="32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</row>
    <row r="202" spans="1:16" ht="15.75" customHeight="1" x14ac:dyDescent="0.3">
      <c r="A202" s="24"/>
      <c r="B202" s="32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</row>
    <row r="203" spans="1:16" ht="15.75" customHeight="1" x14ac:dyDescent="0.3">
      <c r="A203" s="24"/>
      <c r="B203" s="32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</row>
    <row r="204" spans="1:16" ht="15.75" customHeight="1" x14ac:dyDescent="0.3">
      <c r="A204" s="24"/>
      <c r="B204" s="32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</row>
    <row r="205" spans="1:16" ht="15.75" customHeight="1" x14ac:dyDescent="0.3">
      <c r="A205" s="24"/>
      <c r="B205" s="32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</row>
    <row r="206" spans="1:16" ht="15.75" customHeight="1" x14ac:dyDescent="0.3">
      <c r="A206" s="24"/>
      <c r="B206" s="32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</row>
    <row r="207" spans="1:16" ht="15.75" customHeight="1" x14ac:dyDescent="0.3">
      <c r="A207" s="24"/>
      <c r="B207" s="32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</row>
    <row r="208" spans="1:16" ht="15.75" customHeight="1" x14ac:dyDescent="0.3">
      <c r="A208" s="24"/>
      <c r="B208" s="32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</row>
    <row r="209" spans="1:16" ht="15.75" customHeight="1" x14ac:dyDescent="0.3">
      <c r="A209" s="24"/>
      <c r="B209" s="32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</row>
    <row r="210" spans="1:16" ht="15.75" customHeight="1" x14ac:dyDescent="0.3">
      <c r="A210" s="24"/>
      <c r="B210" s="32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</row>
    <row r="211" spans="1:16" ht="15.75" customHeight="1" x14ac:dyDescent="0.3">
      <c r="A211" s="24"/>
      <c r="B211" s="32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</row>
    <row r="212" spans="1:16" ht="15.75" customHeight="1" x14ac:dyDescent="0.3">
      <c r="A212" s="24"/>
      <c r="B212" s="32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</row>
    <row r="213" spans="1:16" ht="15.75" customHeight="1" x14ac:dyDescent="0.3">
      <c r="A213" s="24"/>
      <c r="B213" s="32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</row>
    <row r="214" spans="1:16" ht="15.75" customHeight="1" x14ac:dyDescent="0.3">
      <c r="A214" s="24"/>
      <c r="B214" s="32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</row>
    <row r="215" spans="1:16" ht="15.75" customHeight="1" x14ac:dyDescent="0.3">
      <c r="A215" s="24"/>
      <c r="B215" s="32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</row>
    <row r="216" spans="1:16" ht="15.75" customHeight="1" x14ac:dyDescent="0.3">
      <c r="A216" s="24"/>
      <c r="B216" s="32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</row>
    <row r="217" spans="1:16" ht="15.75" customHeight="1" x14ac:dyDescent="0.3">
      <c r="A217" s="24"/>
      <c r="B217" s="32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</row>
    <row r="218" spans="1:16" ht="15.75" customHeight="1" x14ac:dyDescent="0.3">
      <c r="A218" s="24"/>
      <c r="B218" s="32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</row>
    <row r="219" spans="1:16" ht="15.75" customHeight="1" x14ac:dyDescent="0.3">
      <c r="A219" s="24"/>
      <c r="B219" s="32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</row>
    <row r="220" spans="1:16" ht="15.75" customHeight="1" x14ac:dyDescent="0.3">
      <c r="A220" s="24"/>
      <c r="B220" s="32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</row>
    <row r="221" spans="1:16" ht="15.75" customHeight="1" x14ac:dyDescent="0.3">
      <c r="B221" s="33"/>
    </row>
    <row r="222" spans="1:16" ht="15.75" customHeight="1" x14ac:dyDescent="0.3">
      <c r="B222" s="33"/>
    </row>
    <row r="223" spans="1:16" ht="15.75" customHeight="1" x14ac:dyDescent="0.3">
      <c r="B223" s="33"/>
    </row>
    <row r="224" spans="1:16" ht="15.75" customHeight="1" x14ac:dyDescent="0.3">
      <c r="B224" s="33"/>
    </row>
    <row r="225" spans="2:2" ht="15.75" customHeight="1" x14ac:dyDescent="0.3">
      <c r="B225" s="33"/>
    </row>
    <row r="226" spans="2:2" ht="15.75" customHeight="1" x14ac:dyDescent="0.3">
      <c r="B226" s="33"/>
    </row>
    <row r="227" spans="2:2" ht="15.75" customHeight="1" x14ac:dyDescent="0.3">
      <c r="B227" s="33"/>
    </row>
    <row r="228" spans="2:2" ht="15.75" customHeight="1" x14ac:dyDescent="0.3">
      <c r="B228" s="33"/>
    </row>
    <row r="229" spans="2:2" ht="15.75" customHeight="1" x14ac:dyDescent="0.3">
      <c r="B229" s="33"/>
    </row>
    <row r="230" spans="2:2" ht="15.75" customHeight="1" x14ac:dyDescent="0.3">
      <c r="B230" s="33"/>
    </row>
    <row r="231" spans="2:2" ht="15.75" customHeight="1" x14ac:dyDescent="0.3">
      <c r="B231" s="33"/>
    </row>
    <row r="232" spans="2:2" ht="15.75" customHeight="1" x14ac:dyDescent="0.3">
      <c r="B232" s="33"/>
    </row>
    <row r="233" spans="2:2" ht="15.75" customHeight="1" x14ac:dyDescent="0.3">
      <c r="B233" s="33"/>
    </row>
    <row r="234" spans="2:2" ht="15.75" customHeight="1" x14ac:dyDescent="0.3">
      <c r="B234" s="33"/>
    </row>
    <row r="235" spans="2:2" ht="15.75" customHeight="1" x14ac:dyDescent="0.3">
      <c r="B235" s="33"/>
    </row>
    <row r="236" spans="2:2" ht="15.75" customHeight="1" x14ac:dyDescent="0.3">
      <c r="B236" s="33"/>
    </row>
    <row r="237" spans="2:2" ht="15.75" customHeight="1" x14ac:dyDescent="0.3">
      <c r="B237" s="33"/>
    </row>
    <row r="238" spans="2:2" ht="15.75" customHeight="1" x14ac:dyDescent="0.3">
      <c r="B238" s="33"/>
    </row>
    <row r="239" spans="2:2" ht="15.75" customHeight="1" x14ac:dyDescent="0.3">
      <c r="B239" s="33"/>
    </row>
    <row r="240" spans="2:2" ht="15.75" customHeight="1" x14ac:dyDescent="0.3">
      <c r="B240" s="33"/>
    </row>
    <row r="241" spans="2:2" ht="15.75" customHeight="1" x14ac:dyDescent="0.3">
      <c r="B241" s="33"/>
    </row>
    <row r="242" spans="2:2" ht="15.75" customHeight="1" x14ac:dyDescent="0.3">
      <c r="B242" s="33"/>
    </row>
    <row r="243" spans="2:2" ht="15.75" customHeight="1" x14ac:dyDescent="0.3">
      <c r="B243" s="33"/>
    </row>
    <row r="244" spans="2:2" ht="15.75" customHeight="1" x14ac:dyDescent="0.3">
      <c r="B244" s="33"/>
    </row>
    <row r="245" spans="2:2" ht="15.75" customHeight="1" x14ac:dyDescent="0.3">
      <c r="B245" s="33"/>
    </row>
    <row r="246" spans="2:2" ht="15.75" customHeight="1" x14ac:dyDescent="0.3">
      <c r="B246" s="33"/>
    </row>
    <row r="247" spans="2:2" ht="15.75" customHeight="1" x14ac:dyDescent="0.3">
      <c r="B247" s="33"/>
    </row>
    <row r="248" spans="2:2" ht="15.75" customHeight="1" x14ac:dyDescent="0.3">
      <c r="B248" s="33"/>
    </row>
    <row r="249" spans="2:2" ht="15.75" customHeight="1" x14ac:dyDescent="0.3">
      <c r="B249" s="33"/>
    </row>
    <row r="250" spans="2:2" ht="15.75" customHeight="1" x14ac:dyDescent="0.3">
      <c r="B250" s="33"/>
    </row>
    <row r="251" spans="2:2" ht="15.75" customHeight="1" x14ac:dyDescent="0.3">
      <c r="B251" s="33"/>
    </row>
    <row r="252" spans="2:2" ht="15.75" customHeight="1" x14ac:dyDescent="0.3">
      <c r="B252" s="33"/>
    </row>
    <row r="253" spans="2:2" ht="15.75" customHeight="1" x14ac:dyDescent="0.3">
      <c r="B253" s="33"/>
    </row>
    <row r="254" spans="2:2" ht="15.75" customHeight="1" x14ac:dyDescent="0.3">
      <c r="B254" s="33"/>
    </row>
    <row r="255" spans="2:2" ht="15.75" customHeight="1" x14ac:dyDescent="0.3">
      <c r="B255" s="33"/>
    </row>
    <row r="256" spans="2:2" ht="15.75" customHeight="1" x14ac:dyDescent="0.3">
      <c r="B256" s="33"/>
    </row>
    <row r="257" spans="2:2" ht="15.75" customHeight="1" x14ac:dyDescent="0.3">
      <c r="B257" s="33"/>
    </row>
    <row r="258" spans="2:2" ht="15.75" customHeight="1" x14ac:dyDescent="0.3">
      <c r="B258" s="33"/>
    </row>
    <row r="259" spans="2:2" ht="15.75" customHeight="1" x14ac:dyDescent="0.3">
      <c r="B259" s="33"/>
    </row>
    <row r="260" spans="2:2" ht="15.75" customHeight="1" x14ac:dyDescent="0.3">
      <c r="B260" s="33"/>
    </row>
    <row r="261" spans="2:2" ht="15.75" customHeight="1" x14ac:dyDescent="0.3">
      <c r="B261" s="33"/>
    </row>
    <row r="262" spans="2:2" ht="15.75" customHeight="1" x14ac:dyDescent="0.3">
      <c r="B262" s="33"/>
    </row>
    <row r="263" spans="2:2" ht="15.75" customHeight="1" x14ac:dyDescent="0.3">
      <c r="B263" s="33"/>
    </row>
    <row r="264" spans="2:2" ht="15.75" customHeight="1" x14ac:dyDescent="0.3">
      <c r="B264" s="33"/>
    </row>
    <row r="265" spans="2:2" ht="15.75" customHeight="1" x14ac:dyDescent="0.3">
      <c r="B265" s="33"/>
    </row>
    <row r="266" spans="2:2" ht="15.75" customHeight="1" x14ac:dyDescent="0.3">
      <c r="B266" s="33"/>
    </row>
    <row r="267" spans="2:2" ht="15.75" customHeight="1" x14ac:dyDescent="0.3">
      <c r="B267" s="33"/>
    </row>
    <row r="268" spans="2:2" ht="15.75" customHeight="1" x14ac:dyDescent="0.3">
      <c r="B268" s="33"/>
    </row>
    <row r="269" spans="2:2" ht="15.75" customHeight="1" x14ac:dyDescent="0.3">
      <c r="B269" s="33"/>
    </row>
    <row r="270" spans="2:2" ht="15.75" customHeight="1" x14ac:dyDescent="0.3">
      <c r="B270" s="33"/>
    </row>
    <row r="271" spans="2:2" ht="15.75" customHeight="1" x14ac:dyDescent="0.3">
      <c r="B271" s="33"/>
    </row>
    <row r="272" spans="2:2" ht="15.75" customHeight="1" x14ac:dyDescent="0.3">
      <c r="B272" s="33"/>
    </row>
    <row r="273" spans="2:2" ht="15.75" customHeight="1" x14ac:dyDescent="0.3">
      <c r="B273" s="33"/>
    </row>
    <row r="274" spans="2:2" ht="15.75" customHeight="1" x14ac:dyDescent="0.3">
      <c r="B274" s="33"/>
    </row>
    <row r="275" spans="2:2" ht="15.75" customHeight="1" x14ac:dyDescent="0.3">
      <c r="B275" s="33"/>
    </row>
    <row r="276" spans="2:2" ht="15.75" customHeight="1" x14ac:dyDescent="0.3">
      <c r="B276" s="33"/>
    </row>
    <row r="277" spans="2:2" ht="15.75" customHeight="1" x14ac:dyDescent="0.3">
      <c r="B277" s="33"/>
    </row>
    <row r="278" spans="2:2" ht="15.75" customHeight="1" x14ac:dyDescent="0.3">
      <c r="B278" s="33"/>
    </row>
    <row r="279" spans="2:2" ht="15.75" customHeight="1" x14ac:dyDescent="0.3">
      <c r="B279" s="33"/>
    </row>
    <row r="280" spans="2:2" ht="15.75" customHeight="1" x14ac:dyDescent="0.3">
      <c r="B280" s="33"/>
    </row>
    <row r="281" spans="2:2" ht="15.75" customHeight="1" x14ac:dyDescent="0.3">
      <c r="B281" s="33"/>
    </row>
    <row r="282" spans="2:2" ht="15.75" customHeight="1" x14ac:dyDescent="0.3">
      <c r="B282" s="33"/>
    </row>
    <row r="283" spans="2:2" ht="15.75" customHeight="1" x14ac:dyDescent="0.3">
      <c r="B283" s="33"/>
    </row>
    <row r="284" spans="2:2" ht="15.75" customHeight="1" x14ac:dyDescent="0.3">
      <c r="B284" s="33"/>
    </row>
    <row r="285" spans="2:2" ht="15.75" customHeight="1" x14ac:dyDescent="0.3">
      <c r="B285" s="33"/>
    </row>
    <row r="286" spans="2:2" ht="15.75" customHeight="1" x14ac:dyDescent="0.3">
      <c r="B286" s="33"/>
    </row>
    <row r="287" spans="2:2" ht="15.75" customHeight="1" x14ac:dyDescent="0.3">
      <c r="B287" s="33"/>
    </row>
    <row r="288" spans="2:2" ht="15.75" customHeight="1" x14ac:dyDescent="0.3">
      <c r="B288" s="33"/>
    </row>
    <row r="289" spans="2:2" ht="15.75" customHeight="1" x14ac:dyDescent="0.3">
      <c r="B289" s="33"/>
    </row>
    <row r="290" spans="2:2" ht="15.75" customHeight="1" x14ac:dyDescent="0.3">
      <c r="B290" s="33"/>
    </row>
    <row r="291" spans="2:2" ht="15.75" customHeight="1" x14ac:dyDescent="0.3">
      <c r="B291" s="33"/>
    </row>
    <row r="292" spans="2:2" ht="15.75" customHeight="1" x14ac:dyDescent="0.3">
      <c r="B292" s="33"/>
    </row>
    <row r="293" spans="2:2" ht="15.75" customHeight="1" x14ac:dyDescent="0.3">
      <c r="B293" s="33"/>
    </row>
    <row r="294" spans="2:2" ht="15.75" customHeight="1" x14ac:dyDescent="0.3">
      <c r="B294" s="33"/>
    </row>
    <row r="295" spans="2:2" ht="15.75" customHeight="1" x14ac:dyDescent="0.3">
      <c r="B295" s="33"/>
    </row>
    <row r="296" spans="2:2" ht="15.75" customHeight="1" x14ac:dyDescent="0.3">
      <c r="B296" s="33"/>
    </row>
    <row r="297" spans="2:2" ht="15.75" customHeight="1" x14ac:dyDescent="0.3">
      <c r="B297" s="33"/>
    </row>
    <row r="298" spans="2:2" ht="15.75" customHeight="1" x14ac:dyDescent="0.3">
      <c r="B298" s="33"/>
    </row>
    <row r="299" spans="2:2" ht="15.75" customHeight="1" x14ac:dyDescent="0.3">
      <c r="B299" s="33"/>
    </row>
    <row r="300" spans="2:2" ht="15.75" customHeight="1" x14ac:dyDescent="0.3">
      <c r="B300" s="33"/>
    </row>
    <row r="301" spans="2:2" ht="15.75" customHeight="1" x14ac:dyDescent="0.3">
      <c r="B301" s="33"/>
    </row>
    <row r="302" spans="2:2" ht="15.75" customHeight="1" x14ac:dyDescent="0.3">
      <c r="B302" s="33"/>
    </row>
    <row r="303" spans="2:2" ht="15.75" customHeight="1" x14ac:dyDescent="0.3">
      <c r="B303" s="33"/>
    </row>
    <row r="304" spans="2:2" ht="15.75" customHeight="1" x14ac:dyDescent="0.3">
      <c r="B304" s="33"/>
    </row>
    <row r="305" spans="2:2" ht="15.75" customHeight="1" x14ac:dyDescent="0.3">
      <c r="B305" s="33"/>
    </row>
    <row r="306" spans="2:2" ht="15.75" customHeight="1" x14ac:dyDescent="0.3">
      <c r="B306" s="33"/>
    </row>
    <row r="307" spans="2:2" ht="15.75" customHeight="1" x14ac:dyDescent="0.3">
      <c r="B307" s="33"/>
    </row>
    <row r="308" spans="2:2" ht="15.75" customHeight="1" x14ac:dyDescent="0.3">
      <c r="B308" s="33"/>
    </row>
    <row r="309" spans="2:2" ht="15.75" customHeight="1" x14ac:dyDescent="0.3">
      <c r="B309" s="33"/>
    </row>
    <row r="310" spans="2:2" ht="15.75" customHeight="1" x14ac:dyDescent="0.3">
      <c r="B310" s="33"/>
    </row>
    <row r="311" spans="2:2" ht="15.75" customHeight="1" x14ac:dyDescent="0.3">
      <c r="B311" s="33"/>
    </row>
    <row r="312" spans="2:2" ht="15.75" customHeight="1" x14ac:dyDescent="0.3">
      <c r="B312" s="33"/>
    </row>
    <row r="313" spans="2:2" ht="15.75" customHeight="1" x14ac:dyDescent="0.3">
      <c r="B313" s="33"/>
    </row>
    <row r="314" spans="2:2" ht="15.75" customHeight="1" x14ac:dyDescent="0.3">
      <c r="B314" s="33"/>
    </row>
    <row r="315" spans="2:2" ht="15.75" customHeight="1" x14ac:dyDescent="0.3">
      <c r="B315" s="33"/>
    </row>
    <row r="316" spans="2:2" ht="15.75" customHeight="1" x14ac:dyDescent="0.3">
      <c r="B316" s="33"/>
    </row>
    <row r="317" spans="2:2" ht="15.75" customHeight="1" x14ac:dyDescent="0.3">
      <c r="B317" s="33"/>
    </row>
    <row r="318" spans="2:2" ht="15.75" customHeight="1" x14ac:dyDescent="0.3">
      <c r="B318" s="33"/>
    </row>
    <row r="319" spans="2:2" ht="15.75" customHeight="1" x14ac:dyDescent="0.3">
      <c r="B319" s="33"/>
    </row>
    <row r="320" spans="2:2" ht="15.75" customHeight="1" x14ac:dyDescent="0.3">
      <c r="B320" s="33"/>
    </row>
    <row r="321" spans="2:2" ht="15.75" customHeight="1" x14ac:dyDescent="0.3">
      <c r="B321" s="33"/>
    </row>
    <row r="322" spans="2:2" ht="15.75" customHeight="1" x14ac:dyDescent="0.3">
      <c r="B322" s="33"/>
    </row>
    <row r="323" spans="2:2" ht="15.75" customHeight="1" x14ac:dyDescent="0.3">
      <c r="B323" s="33"/>
    </row>
    <row r="324" spans="2:2" ht="15.75" customHeight="1" x14ac:dyDescent="0.3">
      <c r="B324" s="33"/>
    </row>
    <row r="325" spans="2:2" ht="15.75" customHeight="1" x14ac:dyDescent="0.3">
      <c r="B325" s="33"/>
    </row>
    <row r="326" spans="2:2" ht="15.75" customHeight="1" x14ac:dyDescent="0.3">
      <c r="B326" s="33"/>
    </row>
    <row r="327" spans="2:2" ht="15.75" customHeight="1" x14ac:dyDescent="0.3">
      <c r="B327" s="33"/>
    </row>
    <row r="328" spans="2:2" ht="15.75" customHeight="1" x14ac:dyDescent="0.3">
      <c r="B328" s="33"/>
    </row>
    <row r="329" spans="2:2" ht="15.75" customHeight="1" x14ac:dyDescent="0.3">
      <c r="B329" s="33"/>
    </row>
    <row r="330" spans="2:2" ht="15.75" customHeight="1" x14ac:dyDescent="0.3">
      <c r="B330" s="33"/>
    </row>
    <row r="331" spans="2:2" ht="15.75" customHeight="1" x14ac:dyDescent="0.3">
      <c r="B331" s="33"/>
    </row>
    <row r="332" spans="2:2" ht="15.75" customHeight="1" x14ac:dyDescent="0.3">
      <c r="B332" s="33"/>
    </row>
    <row r="333" spans="2:2" ht="15.75" customHeight="1" x14ac:dyDescent="0.3">
      <c r="B333" s="33"/>
    </row>
    <row r="334" spans="2:2" ht="15.75" customHeight="1" x14ac:dyDescent="0.3">
      <c r="B334" s="33"/>
    </row>
    <row r="335" spans="2:2" ht="15.75" customHeight="1" x14ac:dyDescent="0.3">
      <c r="B335" s="33"/>
    </row>
    <row r="336" spans="2:2" ht="15.75" customHeight="1" x14ac:dyDescent="0.3">
      <c r="B336" s="33"/>
    </row>
    <row r="337" spans="2:2" ht="15.75" customHeight="1" x14ac:dyDescent="0.3">
      <c r="B337" s="33"/>
    </row>
    <row r="338" spans="2:2" ht="15.75" customHeight="1" x14ac:dyDescent="0.3">
      <c r="B338" s="33"/>
    </row>
    <row r="339" spans="2:2" ht="15.75" customHeight="1" x14ac:dyDescent="0.3">
      <c r="B339" s="33"/>
    </row>
    <row r="340" spans="2:2" ht="15.75" customHeight="1" x14ac:dyDescent="0.3">
      <c r="B340" s="33"/>
    </row>
    <row r="341" spans="2:2" ht="15.75" customHeight="1" x14ac:dyDescent="0.3">
      <c r="B341" s="33"/>
    </row>
    <row r="342" spans="2:2" ht="15.75" customHeight="1" x14ac:dyDescent="0.3">
      <c r="B342" s="33"/>
    </row>
    <row r="343" spans="2:2" ht="15.75" customHeight="1" x14ac:dyDescent="0.3">
      <c r="B343" s="33"/>
    </row>
    <row r="344" spans="2:2" ht="15.75" customHeight="1" x14ac:dyDescent="0.3">
      <c r="B344" s="33"/>
    </row>
    <row r="345" spans="2:2" ht="15.75" customHeight="1" x14ac:dyDescent="0.3">
      <c r="B345" s="33"/>
    </row>
    <row r="346" spans="2:2" ht="15.75" customHeight="1" x14ac:dyDescent="0.3">
      <c r="B346" s="33"/>
    </row>
    <row r="347" spans="2:2" ht="15.75" customHeight="1" x14ac:dyDescent="0.3">
      <c r="B347" s="33"/>
    </row>
    <row r="348" spans="2:2" ht="15.75" customHeight="1" x14ac:dyDescent="0.3">
      <c r="B348" s="33"/>
    </row>
    <row r="349" spans="2:2" ht="15.75" customHeight="1" x14ac:dyDescent="0.3">
      <c r="B349" s="33"/>
    </row>
    <row r="350" spans="2:2" ht="15.75" customHeight="1" x14ac:dyDescent="0.3">
      <c r="B350" s="33"/>
    </row>
    <row r="351" spans="2:2" ht="15.75" customHeight="1" x14ac:dyDescent="0.3">
      <c r="B351" s="33"/>
    </row>
    <row r="352" spans="2:2" ht="15.75" customHeight="1" x14ac:dyDescent="0.3">
      <c r="B352" s="33"/>
    </row>
    <row r="353" spans="2:2" ht="15.75" customHeight="1" x14ac:dyDescent="0.3">
      <c r="B353" s="33"/>
    </row>
    <row r="354" spans="2:2" ht="15.75" customHeight="1" x14ac:dyDescent="0.3">
      <c r="B354" s="33"/>
    </row>
    <row r="355" spans="2:2" ht="15.75" customHeight="1" x14ac:dyDescent="0.3">
      <c r="B355" s="33"/>
    </row>
    <row r="356" spans="2:2" ht="15.75" customHeight="1" x14ac:dyDescent="0.3">
      <c r="B356" s="33"/>
    </row>
    <row r="357" spans="2:2" ht="15.75" customHeight="1" x14ac:dyDescent="0.3">
      <c r="B357" s="33"/>
    </row>
    <row r="358" spans="2:2" ht="15.75" customHeight="1" x14ac:dyDescent="0.3">
      <c r="B358" s="33"/>
    </row>
    <row r="359" spans="2:2" ht="15.75" customHeight="1" x14ac:dyDescent="0.3">
      <c r="B359" s="33"/>
    </row>
    <row r="360" spans="2:2" ht="15.75" customHeight="1" x14ac:dyDescent="0.3">
      <c r="B360" s="33"/>
    </row>
    <row r="361" spans="2:2" ht="15.75" customHeight="1" x14ac:dyDescent="0.3">
      <c r="B361" s="33"/>
    </row>
    <row r="362" spans="2:2" ht="15.75" customHeight="1" x14ac:dyDescent="0.3">
      <c r="B362" s="33"/>
    </row>
    <row r="363" spans="2:2" ht="15.75" customHeight="1" x14ac:dyDescent="0.3">
      <c r="B363" s="33"/>
    </row>
    <row r="364" spans="2:2" ht="15.75" customHeight="1" x14ac:dyDescent="0.3">
      <c r="B364" s="33"/>
    </row>
    <row r="365" spans="2:2" ht="15.75" customHeight="1" x14ac:dyDescent="0.3">
      <c r="B365" s="33"/>
    </row>
    <row r="366" spans="2:2" ht="15.75" customHeight="1" x14ac:dyDescent="0.3">
      <c r="B366" s="33"/>
    </row>
    <row r="367" spans="2:2" ht="15.75" customHeight="1" x14ac:dyDescent="0.3">
      <c r="B367" s="33"/>
    </row>
    <row r="368" spans="2:2" ht="15.75" customHeight="1" x14ac:dyDescent="0.3">
      <c r="B368" s="33"/>
    </row>
    <row r="369" spans="2:2" ht="15.75" customHeight="1" x14ac:dyDescent="0.3">
      <c r="B369" s="33"/>
    </row>
    <row r="370" spans="2:2" ht="15.75" customHeight="1" x14ac:dyDescent="0.3">
      <c r="B370" s="33"/>
    </row>
    <row r="371" spans="2:2" ht="15.75" customHeight="1" x14ac:dyDescent="0.3">
      <c r="B371" s="33"/>
    </row>
    <row r="372" spans="2:2" ht="15.75" customHeight="1" x14ac:dyDescent="0.3">
      <c r="B372" s="33"/>
    </row>
    <row r="373" spans="2:2" ht="15.75" customHeight="1" x14ac:dyDescent="0.3">
      <c r="B373" s="33"/>
    </row>
    <row r="374" spans="2:2" ht="15.75" customHeight="1" x14ac:dyDescent="0.3">
      <c r="B374" s="33"/>
    </row>
    <row r="375" spans="2:2" ht="15.75" customHeight="1" x14ac:dyDescent="0.3">
      <c r="B375" s="33"/>
    </row>
    <row r="376" spans="2:2" ht="15.75" customHeight="1" x14ac:dyDescent="0.3">
      <c r="B376" s="33"/>
    </row>
    <row r="377" spans="2:2" ht="15.75" customHeight="1" x14ac:dyDescent="0.3">
      <c r="B377" s="33"/>
    </row>
    <row r="378" spans="2:2" ht="15.75" customHeight="1" x14ac:dyDescent="0.3">
      <c r="B378" s="33"/>
    </row>
    <row r="379" spans="2:2" ht="15.75" customHeight="1" x14ac:dyDescent="0.3">
      <c r="B379" s="33"/>
    </row>
    <row r="380" spans="2:2" ht="15.75" customHeight="1" x14ac:dyDescent="0.3">
      <c r="B380" s="33"/>
    </row>
    <row r="381" spans="2:2" ht="15.75" customHeight="1" x14ac:dyDescent="0.3">
      <c r="B381" s="33"/>
    </row>
    <row r="382" spans="2:2" ht="15.75" customHeight="1" x14ac:dyDescent="0.3">
      <c r="B382" s="33"/>
    </row>
    <row r="383" spans="2:2" ht="15.75" customHeight="1" x14ac:dyDescent="0.3">
      <c r="B383" s="33"/>
    </row>
    <row r="384" spans="2:2" ht="15.75" customHeight="1" x14ac:dyDescent="0.3">
      <c r="B384" s="33"/>
    </row>
    <row r="385" spans="2:2" ht="15.75" customHeight="1" x14ac:dyDescent="0.3">
      <c r="B385" s="33"/>
    </row>
    <row r="386" spans="2:2" ht="15.75" customHeight="1" x14ac:dyDescent="0.3">
      <c r="B386" s="33"/>
    </row>
    <row r="387" spans="2:2" ht="15.75" customHeight="1" x14ac:dyDescent="0.3">
      <c r="B387" s="33"/>
    </row>
    <row r="388" spans="2:2" ht="15.75" customHeight="1" x14ac:dyDescent="0.3">
      <c r="B388" s="33"/>
    </row>
    <row r="389" spans="2:2" ht="15.75" customHeight="1" x14ac:dyDescent="0.3">
      <c r="B389" s="33"/>
    </row>
    <row r="390" spans="2:2" ht="15.75" customHeight="1" x14ac:dyDescent="0.3">
      <c r="B390" s="33"/>
    </row>
    <row r="391" spans="2:2" ht="15.75" customHeight="1" x14ac:dyDescent="0.3">
      <c r="B391" s="33"/>
    </row>
    <row r="392" spans="2:2" ht="15.75" customHeight="1" x14ac:dyDescent="0.3">
      <c r="B392" s="33"/>
    </row>
    <row r="393" spans="2:2" ht="15.75" customHeight="1" x14ac:dyDescent="0.3">
      <c r="B393" s="33"/>
    </row>
    <row r="394" spans="2:2" ht="15.75" customHeight="1" x14ac:dyDescent="0.3">
      <c r="B394" s="33"/>
    </row>
    <row r="395" spans="2:2" ht="15.75" customHeight="1" x14ac:dyDescent="0.3">
      <c r="B395" s="33"/>
    </row>
    <row r="396" spans="2:2" ht="15.75" customHeight="1" x14ac:dyDescent="0.3">
      <c r="B396" s="33"/>
    </row>
    <row r="397" spans="2:2" ht="15.75" customHeight="1" x14ac:dyDescent="0.3">
      <c r="B397" s="33"/>
    </row>
    <row r="398" spans="2:2" ht="15.75" customHeight="1" x14ac:dyDescent="0.3">
      <c r="B398" s="33"/>
    </row>
    <row r="399" spans="2:2" ht="15.75" customHeight="1" x14ac:dyDescent="0.3">
      <c r="B399" s="33"/>
    </row>
    <row r="400" spans="2:2" ht="15.75" customHeight="1" x14ac:dyDescent="0.3">
      <c r="B400" s="33"/>
    </row>
    <row r="401" spans="2:2" ht="15.75" customHeight="1" x14ac:dyDescent="0.3">
      <c r="B401" s="33"/>
    </row>
    <row r="402" spans="2:2" ht="15.75" customHeight="1" x14ac:dyDescent="0.3">
      <c r="B402" s="33"/>
    </row>
    <row r="403" spans="2:2" ht="15.75" customHeight="1" x14ac:dyDescent="0.3">
      <c r="B403" s="33"/>
    </row>
    <row r="404" spans="2:2" ht="15.75" customHeight="1" x14ac:dyDescent="0.3">
      <c r="B404" s="33"/>
    </row>
    <row r="405" spans="2:2" ht="15.75" customHeight="1" x14ac:dyDescent="0.3">
      <c r="B405" s="33"/>
    </row>
    <row r="406" spans="2:2" ht="15.75" customHeight="1" x14ac:dyDescent="0.3">
      <c r="B406" s="33"/>
    </row>
    <row r="407" spans="2:2" ht="15.75" customHeight="1" x14ac:dyDescent="0.3">
      <c r="B407" s="33"/>
    </row>
    <row r="408" spans="2:2" ht="15.75" customHeight="1" x14ac:dyDescent="0.3">
      <c r="B408" s="33"/>
    </row>
    <row r="409" spans="2:2" ht="15.75" customHeight="1" x14ac:dyDescent="0.3">
      <c r="B409" s="33"/>
    </row>
    <row r="410" spans="2:2" ht="15.75" customHeight="1" x14ac:dyDescent="0.3">
      <c r="B410" s="33"/>
    </row>
    <row r="411" spans="2:2" ht="15.75" customHeight="1" x14ac:dyDescent="0.3">
      <c r="B411" s="33"/>
    </row>
    <row r="412" spans="2:2" ht="15.75" customHeight="1" x14ac:dyDescent="0.3">
      <c r="B412" s="33"/>
    </row>
    <row r="413" spans="2:2" ht="15.75" customHeight="1" x14ac:dyDescent="0.3">
      <c r="B413" s="33"/>
    </row>
    <row r="414" spans="2:2" ht="15.75" customHeight="1" x14ac:dyDescent="0.3">
      <c r="B414" s="33"/>
    </row>
    <row r="415" spans="2:2" ht="15.75" customHeight="1" x14ac:dyDescent="0.3">
      <c r="B415" s="33"/>
    </row>
    <row r="416" spans="2:2" ht="15.75" customHeight="1" x14ac:dyDescent="0.3">
      <c r="B416" s="33"/>
    </row>
    <row r="417" spans="2:2" ht="15.75" customHeight="1" x14ac:dyDescent="0.3">
      <c r="B417" s="33"/>
    </row>
    <row r="418" spans="2:2" ht="15.75" customHeight="1" x14ac:dyDescent="0.3">
      <c r="B418" s="33"/>
    </row>
    <row r="419" spans="2:2" ht="15.75" customHeight="1" x14ac:dyDescent="0.3">
      <c r="B419" s="33"/>
    </row>
    <row r="420" spans="2:2" ht="15.75" customHeight="1" x14ac:dyDescent="0.3">
      <c r="B420" s="33"/>
    </row>
    <row r="421" spans="2:2" ht="15.75" customHeight="1" x14ac:dyDescent="0.3">
      <c r="B421" s="33"/>
    </row>
    <row r="422" spans="2:2" ht="15.75" customHeight="1" x14ac:dyDescent="0.3">
      <c r="B422" s="33"/>
    </row>
    <row r="423" spans="2:2" ht="15.75" customHeight="1" x14ac:dyDescent="0.3">
      <c r="B423" s="33"/>
    </row>
    <row r="424" spans="2:2" ht="15.75" customHeight="1" x14ac:dyDescent="0.3">
      <c r="B424" s="33"/>
    </row>
    <row r="425" spans="2:2" ht="15.75" customHeight="1" x14ac:dyDescent="0.3">
      <c r="B425" s="33"/>
    </row>
    <row r="426" spans="2:2" ht="15.75" customHeight="1" x14ac:dyDescent="0.3">
      <c r="B426" s="33"/>
    </row>
    <row r="427" spans="2:2" ht="15.75" customHeight="1" x14ac:dyDescent="0.3">
      <c r="B427" s="33"/>
    </row>
    <row r="428" spans="2:2" ht="15.75" customHeight="1" x14ac:dyDescent="0.3">
      <c r="B428" s="33"/>
    </row>
    <row r="429" spans="2:2" ht="15.75" customHeight="1" x14ac:dyDescent="0.3">
      <c r="B429" s="33"/>
    </row>
    <row r="430" spans="2:2" ht="15.75" customHeight="1" x14ac:dyDescent="0.3">
      <c r="B430" s="33"/>
    </row>
    <row r="431" spans="2:2" ht="15.75" customHeight="1" x14ac:dyDescent="0.3">
      <c r="B431" s="33"/>
    </row>
    <row r="432" spans="2:2" ht="15.75" customHeight="1" x14ac:dyDescent="0.3">
      <c r="B432" s="33"/>
    </row>
    <row r="433" spans="2:2" ht="15.75" customHeight="1" x14ac:dyDescent="0.3">
      <c r="B433" s="33"/>
    </row>
    <row r="434" spans="2:2" ht="15.75" customHeight="1" x14ac:dyDescent="0.3">
      <c r="B434" s="33"/>
    </row>
    <row r="435" spans="2:2" ht="15.75" customHeight="1" x14ac:dyDescent="0.3">
      <c r="B435" s="33"/>
    </row>
    <row r="436" spans="2:2" ht="15.75" customHeight="1" x14ac:dyDescent="0.3">
      <c r="B436" s="33"/>
    </row>
    <row r="437" spans="2:2" ht="15.75" customHeight="1" x14ac:dyDescent="0.3">
      <c r="B437" s="33"/>
    </row>
    <row r="438" spans="2:2" ht="15.75" customHeight="1" x14ac:dyDescent="0.3">
      <c r="B438" s="33"/>
    </row>
    <row r="439" spans="2:2" ht="15.75" customHeight="1" x14ac:dyDescent="0.3">
      <c r="B439" s="33"/>
    </row>
    <row r="440" spans="2:2" ht="15.75" customHeight="1" x14ac:dyDescent="0.3">
      <c r="B440" s="33"/>
    </row>
    <row r="441" spans="2:2" ht="15.75" customHeight="1" x14ac:dyDescent="0.3">
      <c r="B441" s="33"/>
    </row>
    <row r="442" spans="2:2" ht="15.75" customHeight="1" x14ac:dyDescent="0.3">
      <c r="B442" s="33"/>
    </row>
    <row r="443" spans="2:2" ht="15.75" customHeight="1" x14ac:dyDescent="0.3">
      <c r="B443" s="33"/>
    </row>
    <row r="444" spans="2:2" ht="15.75" customHeight="1" x14ac:dyDescent="0.3">
      <c r="B444" s="33"/>
    </row>
    <row r="445" spans="2:2" ht="15.75" customHeight="1" x14ac:dyDescent="0.3">
      <c r="B445" s="33"/>
    </row>
    <row r="446" spans="2:2" ht="15.75" customHeight="1" x14ac:dyDescent="0.3">
      <c r="B446" s="33"/>
    </row>
    <row r="447" spans="2:2" ht="15.75" customHeight="1" x14ac:dyDescent="0.3">
      <c r="B447" s="33"/>
    </row>
    <row r="448" spans="2:2" ht="15.75" customHeight="1" x14ac:dyDescent="0.3">
      <c r="B448" s="33"/>
    </row>
    <row r="449" spans="2:2" ht="15.75" customHeight="1" x14ac:dyDescent="0.3">
      <c r="B449" s="33"/>
    </row>
    <row r="450" spans="2:2" ht="15.75" customHeight="1" x14ac:dyDescent="0.3">
      <c r="B450" s="33"/>
    </row>
    <row r="451" spans="2:2" ht="15.75" customHeight="1" x14ac:dyDescent="0.3">
      <c r="B451" s="33"/>
    </row>
    <row r="452" spans="2:2" ht="15.75" customHeight="1" x14ac:dyDescent="0.3">
      <c r="B452" s="33"/>
    </row>
    <row r="453" spans="2:2" ht="15.75" customHeight="1" x14ac:dyDescent="0.3">
      <c r="B453" s="33"/>
    </row>
    <row r="454" spans="2:2" ht="15.75" customHeight="1" x14ac:dyDescent="0.3">
      <c r="B454" s="33"/>
    </row>
    <row r="455" spans="2:2" ht="15.75" customHeight="1" x14ac:dyDescent="0.3">
      <c r="B455" s="33"/>
    </row>
    <row r="456" spans="2:2" ht="15.75" customHeight="1" x14ac:dyDescent="0.3">
      <c r="B456" s="33"/>
    </row>
    <row r="457" spans="2:2" ht="15.75" customHeight="1" x14ac:dyDescent="0.3">
      <c r="B457" s="33"/>
    </row>
    <row r="458" spans="2:2" ht="15.75" customHeight="1" x14ac:dyDescent="0.3">
      <c r="B458" s="33"/>
    </row>
    <row r="459" spans="2:2" ht="15.75" customHeight="1" x14ac:dyDescent="0.3">
      <c r="B459" s="33"/>
    </row>
    <row r="460" spans="2:2" ht="15.75" customHeight="1" x14ac:dyDescent="0.3">
      <c r="B460" s="33"/>
    </row>
    <row r="461" spans="2:2" ht="15.75" customHeight="1" x14ac:dyDescent="0.3">
      <c r="B461" s="33"/>
    </row>
    <row r="462" spans="2:2" ht="15.75" customHeight="1" x14ac:dyDescent="0.3">
      <c r="B462" s="33"/>
    </row>
    <row r="463" spans="2:2" ht="15.75" customHeight="1" x14ac:dyDescent="0.3">
      <c r="B463" s="33"/>
    </row>
    <row r="464" spans="2:2" ht="15.75" customHeight="1" x14ac:dyDescent="0.3">
      <c r="B464" s="33"/>
    </row>
    <row r="465" spans="2:2" ht="15.75" customHeight="1" x14ac:dyDescent="0.3">
      <c r="B465" s="33"/>
    </row>
    <row r="466" spans="2:2" ht="15.75" customHeight="1" x14ac:dyDescent="0.3">
      <c r="B466" s="33"/>
    </row>
    <row r="467" spans="2:2" ht="15.75" customHeight="1" x14ac:dyDescent="0.3">
      <c r="B467" s="33"/>
    </row>
    <row r="468" spans="2:2" ht="15.75" customHeight="1" x14ac:dyDescent="0.3">
      <c r="B468" s="33"/>
    </row>
    <row r="469" spans="2:2" ht="15.75" customHeight="1" x14ac:dyDescent="0.3">
      <c r="B469" s="33"/>
    </row>
    <row r="470" spans="2:2" ht="15.75" customHeight="1" x14ac:dyDescent="0.3">
      <c r="B470" s="33"/>
    </row>
    <row r="471" spans="2:2" ht="15.75" customHeight="1" x14ac:dyDescent="0.3">
      <c r="B471" s="33"/>
    </row>
    <row r="472" spans="2:2" ht="15.75" customHeight="1" x14ac:dyDescent="0.3">
      <c r="B472" s="33"/>
    </row>
    <row r="473" spans="2:2" ht="15.75" customHeight="1" x14ac:dyDescent="0.3">
      <c r="B473" s="33"/>
    </row>
    <row r="474" spans="2:2" ht="15.75" customHeight="1" x14ac:dyDescent="0.3">
      <c r="B474" s="33"/>
    </row>
    <row r="475" spans="2:2" ht="15.75" customHeight="1" x14ac:dyDescent="0.3">
      <c r="B475" s="33"/>
    </row>
    <row r="476" spans="2:2" ht="15.75" customHeight="1" x14ac:dyDescent="0.3">
      <c r="B476" s="33"/>
    </row>
    <row r="477" spans="2:2" ht="15.75" customHeight="1" x14ac:dyDescent="0.3">
      <c r="B477" s="33"/>
    </row>
    <row r="478" spans="2:2" ht="15.75" customHeight="1" x14ac:dyDescent="0.3">
      <c r="B478" s="33"/>
    </row>
    <row r="479" spans="2:2" ht="15.75" customHeight="1" x14ac:dyDescent="0.3">
      <c r="B479" s="33"/>
    </row>
    <row r="480" spans="2:2" ht="15.75" customHeight="1" x14ac:dyDescent="0.3">
      <c r="B480" s="33"/>
    </row>
    <row r="481" spans="2:2" ht="15.75" customHeight="1" x14ac:dyDescent="0.3">
      <c r="B481" s="33"/>
    </row>
    <row r="482" spans="2:2" ht="15.75" customHeight="1" x14ac:dyDescent="0.3">
      <c r="B482" s="33"/>
    </row>
    <row r="483" spans="2:2" ht="15.75" customHeight="1" x14ac:dyDescent="0.3">
      <c r="B483" s="33"/>
    </row>
    <row r="484" spans="2:2" ht="15.75" customHeight="1" x14ac:dyDescent="0.3">
      <c r="B484" s="33"/>
    </row>
    <row r="485" spans="2:2" ht="15.75" customHeight="1" x14ac:dyDescent="0.3">
      <c r="B485" s="33"/>
    </row>
    <row r="486" spans="2:2" ht="15.75" customHeight="1" x14ac:dyDescent="0.3">
      <c r="B486" s="33"/>
    </row>
    <row r="487" spans="2:2" ht="15.75" customHeight="1" x14ac:dyDescent="0.3">
      <c r="B487" s="33"/>
    </row>
    <row r="488" spans="2:2" ht="15.75" customHeight="1" x14ac:dyDescent="0.3">
      <c r="B488" s="33"/>
    </row>
    <row r="489" spans="2:2" ht="15.75" customHeight="1" x14ac:dyDescent="0.3">
      <c r="B489" s="33"/>
    </row>
    <row r="490" spans="2:2" ht="15.75" customHeight="1" x14ac:dyDescent="0.3">
      <c r="B490" s="33"/>
    </row>
    <row r="491" spans="2:2" ht="15.75" customHeight="1" x14ac:dyDescent="0.3">
      <c r="B491" s="33"/>
    </row>
    <row r="492" spans="2:2" ht="15.75" customHeight="1" x14ac:dyDescent="0.3">
      <c r="B492" s="33"/>
    </row>
    <row r="493" spans="2:2" ht="15.75" customHeight="1" x14ac:dyDescent="0.3">
      <c r="B493" s="33"/>
    </row>
    <row r="494" spans="2:2" ht="15.75" customHeight="1" x14ac:dyDescent="0.3">
      <c r="B494" s="33"/>
    </row>
    <row r="495" spans="2:2" ht="15.75" customHeight="1" x14ac:dyDescent="0.3">
      <c r="B495" s="33"/>
    </row>
    <row r="496" spans="2:2" ht="15.75" customHeight="1" x14ac:dyDescent="0.3">
      <c r="B496" s="33"/>
    </row>
    <row r="497" spans="2:2" ht="15.75" customHeight="1" x14ac:dyDescent="0.3">
      <c r="B497" s="33"/>
    </row>
    <row r="498" spans="2:2" ht="15.75" customHeight="1" x14ac:dyDescent="0.3">
      <c r="B498" s="33"/>
    </row>
    <row r="499" spans="2:2" ht="15.75" customHeight="1" x14ac:dyDescent="0.3">
      <c r="B499" s="33"/>
    </row>
    <row r="500" spans="2:2" ht="15.75" customHeight="1" x14ac:dyDescent="0.3">
      <c r="B500" s="33"/>
    </row>
    <row r="501" spans="2:2" ht="15.75" customHeight="1" x14ac:dyDescent="0.3">
      <c r="B501" s="33"/>
    </row>
    <row r="502" spans="2:2" ht="15.75" customHeight="1" x14ac:dyDescent="0.3">
      <c r="B502" s="33"/>
    </row>
    <row r="503" spans="2:2" ht="15.75" customHeight="1" x14ac:dyDescent="0.3">
      <c r="B503" s="33"/>
    </row>
    <row r="504" spans="2:2" ht="15.75" customHeight="1" x14ac:dyDescent="0.3">
      <c r="B504" s="33"/>
    </row>
    <row r="505" spans="2:2" ht="15.75" customHeight="1" x14ac:dyDescent="0.3">
      <c r="B505" s="33"/>
    </row>
    <row r="506" spans="2:2" ht="15.75" customHeight="1" x14ac:dyDescent="0.3">
      <c r="B506" s="33"/>
    </row>
    <row r="507" spans="2:2" ht="15.75" customHeight="1" x14ac:dyDescent="0.3">
      <c r="B507" s="33"/>
    </row>
    <row r="508" spans="2:2" ht="15.75" customHeight="1" x14ac:dyDescent="0.3">
      <c r="B508" s="33"/>
    </row>
    <row r="509" spans="2:2" ht="15.75" customHeight="1" x14ac:dyDescent="0.3">
      <c r="B509" s="33"/>
    </row>
    <row r="510" spans="2:2" ht="15.75" customHeight="1" x14ac:dyDescent="0.3">
      <c r="B510" s="33"/>
    </row>
    <row r="511" spans="2:2" ht="15.75" customHeight="1" x14ac:dyDescent="0.3">
      <c r="B511" s="33"/>
    </row>
    <row r="512" spans="2:2" ht="15.75" customHeight="1" x14ac:dyDescent="0.3">
      <c r="B512" s="33"/>
    </row>
    <row r="513" spans="2:2" ht="15.75" customHeight="1" x14ac:dyDescent="0.3">
      <c r="B513" s="33"/>
    </row>
    <row r="514" spans="2:2" ht="15.75" customHeight="1" x14ac:dyDescent="0.3">
      <c r="B514" s="33"/>
    </row>
    <row r="515" spans="2:2" ht="15.75" customHeight="1" x14ac:dyDescent="0.3">
      <c r="B515" s="33"/>
    </row>
    <row r="516" spans="2:2" ht="15.75" customHeight="1" x14ac:dyDescent="0.3">
      <c r="B516" s="33"/>
    </row>
    <row r="517" spans="2:2" ht="15.75" customHeight="1" x14ac:dyDescent="0.3">
      <c r="B517" s="33"/>
    </row>
    <row r="518" spans="2:2" ht="15.75" customHeight="1" x14ac:dyDescent="0.3">
      <c r="B518" s="33"/>
    </row>
    <row r="519" spans="2:2" ht="15.75" customHeight="1" x14ac:dyDescent="0.3">
      <c r="B519" s="33"/>
    </row>
    <row r="520" spans="2:2" ht="15.75" customHeight="1" x14ac:dyDescent="0.3">
      <c r="B520" s="33"/>
    </row>
    <row r="521" spans="2:2" ht="15.75" customHeight="1" x14ac:dyDescent="0.3">
      <c r="B521" s="33"/>
    </row>
    <row r="522" spans="2:2" ht="15.75" customHeight="1" x14ac:dyDescent="0.3">
      <c r="B522" s="33"/>
    </row>
    <row r="523" spans="2:2" ht="15.75" customHeight="1" x14ac:dyDescent="0.3">
      <c r="B523" s="33"/>
    </row>
    <row r="524" spans="2:2" ht="15.75" customHeight="1" x14ac:dyDescent="0.3">
      <c r="B524" s="33"/>
    </row>
    <row r="525" spans="2:2" ht="15.75" customHeight="1" x14ac:dyDescent="0.3">
      <c r="B525" s="33"/>
    </row>
    <row r="526" spans="2:2" ht="15.75" customHeight="1" x14ac:dyDescent="0.3">
      <c r="B526" s="33"/>
    </row>
    <row r="527" spans="2:2" ht="15.75" customHeight="1" x14ac:dyDescent="0.3">
      <c r="B527" s="33"/>
    </row>
    <row r="528" spans="2:2" ht="15.75" customHeight="1" x14ac:dyDescent="0.3">
      <c r="B528" s="33"/>
    </row>
    <row r="529" spans="2:2" ht="15.75" customHeight="1" x14ac:dyDescent="0.3">
      <c r="B529" s="33"/>
    </row>
    <row r="530" spans="2:2" ht="15.75" customHeight="1" x14ac:dyDescent="0.3">
      <c r="B530" s="33"/>
    </row>
    <row r="531" spans="2:2" ht="15.75" customHeight="1" x14ac:dyDescent="0.3">
      <c r="B531" s="33"/>
    </row>
    <row r="532" spans="2:2" ht="15.75" customHeight="1" x14ac:dyDescent="0.3">
      <c r="B532" s="33"/>
    </row>
    <row r="533" spans="2:2" ht="15.75" customHeight="1" x14ac:dyDescent="0.3">
      <c r="B533" s="33"/>
    </row>
    <row r="534" spans="2:2" ht="15.75" customHeight="1" x14ac:dyDescent="0.3">
      <c r="B534" s="33"/>
    </row>
    <row r="535" spans="2:2" ht="15.75" customHeight="1" x14ac:dyDescent="0.3">
      <c r="B535" s="33"/>
    </row>
    <row r="536" spans="2:2" ht="15.75" customHeight="1" x14ac:dyDescent="0.3">
      <c r="B536" s="33"/>
    </row>
    <row r="537" spans="2:2" ht="15.75" customHeight="1" x14ac:dyDescent="0.3">
      <c r="B537" s="33"/>
    </row>
    <row r="538" spans="2:2" ht="15.75" customHeight="1" x14ac:dyDescent="0.3">
      <c r="B538" s="33"/>
    </row>
    <row r="539" spans="2:2" ht="15.75" customHeight="1" x14ac:dyDescent="0.3">
      <c r="B539" s="33"/>
    </row>
    <row r="540" spans="2:2" ht="15.75" customHeight="1" x14ac:dyDescent="0.3">
      <c r="B540" s="33"/>
    </row>
    <row r="541" spans="2:2" ht="15.75" customHeight="1" x14ac:dyDescent="0.3">
      <c r="B541" s="33"/>
    </row>
    <row r="542" spans="2:2" ht="15.75" customHeight="1" x14ac:dyDescent="0.3">
      <c r="B542" s="33"/>
    </row>
    <row r="543" spans="2:2" ht="15.75" customHeight="1" x14ac:dyDescent="0.3">
      <c r="B543" s="33"/>
    </row>
    <row r="544" spans="2:2" ht="15.75" customHeight="1" x14ac:dyDescent="0.3">
      <c r="B544" s="33"/>
    </row>
    <row r="545" spans="2:2" ht="15.75" customHeight="1" x14ac:dyDescent="0.3">
      <c r="B545" s="33"/>
    </row>
    <row r="546" spans="2:2" ht="15.75" customHeight="1" x14ac:dyDescent="0.3">
      <c r="B546" s="33"/>
    </row>
    <row r="547" spans="2:2" ht="15.75" customHeight="1" x14ac:dyDescent="0.3">
      <c r="B547" s="33"/>
    </row>
    <row r="548" spans="2:2" ht="15.75" customHeight="1" x14ac:dyDescent="0.3">
      <c r="B548" s="33"/>
    </row>
    <row r="549" spans="2:2" ht="15.75" customHeight="1" x14ac:dyDescent="0.3">
      <c r="B549" s="33"/>
    </row>
    <row r="550" spans="2:2" ht="15.75" customHeight="1" x14ac:dyDescent="0.3">
      <c r="B550" s="33"/>
    </row>
    <row r="551" spans="2:2" ht="15.75" customHeight="1" x14ac:dyDescent="0.3">
      <c r="B551" s="33"/>
    </row>
    <row r="552" spans="2:2" ht="15.75" customHeight="1" x14ac:dyDescent="0.3">
      <c r="B552" s="33"/>
    </row>
    <row r="553" spans="2:2" ht="15.75" customHeight="1" x14ac:dyDescent="0.3">
      <c r="B553" s="33"/>
    </row>
    <row r="554" spans="2:2" ht="15.75" customHeight="1" x14ac:dyDescent="0.3">
      <c r="B554" s="33"/>
    </row>
    <row r="555" spans="2:2" ht="15.75" customHeight="1" x14ac:dyDescent="0.3">
      <c r="B555" s="33"/>
    </row>
    <row r="556" spans="2:2" ht="15.75" customHeight="1" x14ac:dyDescent="0.3">
      <c r="B556" s="33"/>
    </row>
    <row r="557" spans="2:2" ht="15.75" customHeight="1" x14ac:dyDescent="0.3">
      <c r="B557" s="33"/>
    </row>
    <row r="558" spans="2:2" ht="15.75" customHeight="1" x14ac:dyDescent="0.3">
      <c r="B558" s="33"/>
    </row>
    <row r="559" spans="2:2" ht="15.75" customHeight="1" x14ac:dyDescent="0.3">
      <c r="B559" s="33"/>
    </row>
    <row r="560" spans="2:2" ht="15.75" customHeight="1" x14ac:dyDescent="0.3">
      <c r="B560" s="33"/>
    </row>
    <row r="561" spans="2:2" ht="15.75" customHeight="1" x14ac:dyDescent="0.3">
      <c r="B561" s="33"/>
    </row>
    <row r="562" spans="2:2" ht="15.75" customHeight="1" x14ac:dyDescent="0.3">
      <c r="B562" s="33"/>
    </row>
    <row r="563" spans="2:2" ht="15.75" customHeight="1" x14ac:dyDescent="0.3">
      <c r="B563" s="33"/>
    </row>
    <row r="564" spans="2:2" ht="15.75" customHeight="1" x14ac:dyDescent="0.3">
      <c r="B564" s="33"/>
    </row>
    <row r="565" spans="2:2" ht="15.75" customHeight="1" x14ac:dyDescent="0.3">
      <c r="B565" s="33"/>
    </row>
    <row r="566" spans="2:2" ht="15.75" customHeight="1" x14ac:dyDescent="0.3">
      <c r="B566" s="33"/>
    </row>
    <row r="567" spans="2:2" ht="15.75" customHeight="1" x14ac:dyDescent="0.3">
      <c r="B567" s="33"/>
    </row>
    <row r="568" spans="2:2" ht="15.75" customHeight="1" x14ac:dyDescent="0.3">
      <c r="B568" s="33"/>
    </row>
    <row r="569" spans="2:2" ht="15.75" customHeight="1" x14ac:dyDescent="0.3">
      <c r="B569" s="33"/>
    </row>
    <row r="570" spans="2:2" ht="15.75" customHeight="1" x14ac:dyDescent="0.3">
      <c r="B570" s="33"/>
    </row>
    <row r="571" spans="2:2" ht="15.75" customHeight="1" x14ac:dyDescent="0.3">
      <c r="B571" s="33"/>
    </row>
    <row r="572" spans="2:2" ht="15.75" customHeight="1" x14ac:dyDescent="0.3">
      <c r="B572" s="33"/>
    </row>
    <row r="573" spans="2:2" ht="15.75" customHeight="1" x14ac:dyDescent="0.3">
      <c r="B573" s="33"/>
    </row>
    <row r="574" spans="2:2" ht="15.75" customHeight="1" x14ac:dyDescent="0.3">
      <c r="B574" s="33"/>
    </row>
    <row r="575" spans="2:2" ht="15.75" customHeight="1" x14ac:dyDescent="0.3">
      <c r="B575" s="33"/>
    </row>
    <row r="576" spans="2:2" ht="15.75" customHeight="1" x14ac:dyDescent="0.3">
      <c r="B576" s="33"/>
    </row>
    <row r="577" spans="2:2" ht="15.75" customHeight="1" x14ac:dyDescent="0.3">
      <c r="B577" s="33"/>
    </row>
    <row r="578" spans="2:2" ht="15.75" customHeight="1" x14ac:dyDescent="0.3">
      <c r="B578" s="33"/>
    </row>
    <row r="579" spans="2:2" ht="15.75" customHeight="1" x14ac:dyDescent="0.3">
      <c r="B579" s="33"/>
    </row>
    <row r="580" spans="2:2" ht="15.75" customHeight="1" x14ac:dyDescent="0.3">
      <c r="B580" s="33"/>
    </row>
    <row r="581" spans="2:2" ht="15.75" customHeight="1" x14ac:dyDescent="0.3">
      <c r="B581" s="33"/>
    </row>
    <row r="582" spans="2:2" ht="15.75" customHeight="1" x14ac:dyDescent="0.3">
      <c r="B582" s="33"/>
    </row>
    <row r="583" spans="2:2" ht="15.75" customHeight="1" x14ac:dyDescent="0.3">
      <c r="B583" s="33"/>
    </row>
    <row r="584" spans="2:2" ht="15.75" customHeight="1" x14ac:dyDescent="0.3">
      <c r="B584" s="33"/>
    </row>
    <row r="585" spans="2:2" ht="15.75" customHeight="1" x14ac:dyDescent="0.3">
      <c r="B585" s="33"/>
    </row>
    <row r="586" spans="2:2" ht="15.75" customHeight="1" x14ac:dyDescent="0.3">
      <c r="B586" s="33"/>
    </row>
    <row r="587" spans="2:2" ht="15.75" customHeight="1" x14ac:dyDescent="0.3">
      <c r="B587" s="33"/>
    </row>
    <row r="588" spans="2:2" ht="15.75" customHeight="1" x14ac:dyDescent="0.3">
      <c r="B588" s="33"/>
    </row>
    <row r="589" spans="2:2" ht="15.75" customHeight="1" x14ac:dyDescent="0.3">
      <c r="B589" s="33"/>
    </row>
    <row r="590" spans="2:2" ht="15.75" customHeight="1" x14ac:dyDescent="0.3">
      <c r="B590" s="33"/>
    </row>
    <row r="591" spans="2:2" ht="15.75" customHeight="1" x14ac:dyDescent="0.3">
      <c r="B591" s="33"/>
    </row>
    <row r="592" spans="2:2" ht="15.75" customHeight="1" x14ac:dyDescent="0.3">
      <c r="B592" s="33"/>
    </row>
    <row r="593" spans="2:2" ht="15.75" customHeight="1" x14ac:dyDescent="0.3">
      <c r="B593" s="33"/>
    </row>
    <row r="594" spans="2:2" ht="15.75" customHeight="1" x14ac:dyDescent="0.3">
      <c r="B594" s="33"/>
    </row>
    <row r="595" spans="2:2" ht="15.75" customHeight="1" x14ac:dyDescent="0.3">
      <c r="B595" s="33"/>
    </row>
    <row r="596" spans="2:2" ht="15.75" customHeight="1" x14ac:dyDescent="0.3">
      <c r="B596" s="33"/>
    </row>
    <row r="597" spans="2:2" ht="15.75" customHeight="1" x14ac:dyDescent="0.3">
      <c r="B597" s="33"/>
    </row>
    <row r="598" spans="2:2" ht="15.75" customHeight="1" x14ac:dyDescent="0.3">
      <c r="B598" s="33"/>
    </row>
    <row r="599" spans="2:2" ht="15.75" customHeight="1" x14ac:dyDescent="0.3">
      <c r="B599" s="33"/>
    </row>
    <row r="600" spans="2:2" ht="15.75" customHeight="1" x14ac:dyDescent="0.3">
      <c r="B600" s="33"/>
    </row>
    <row r="601" spans="2:2" ht="15.75" customHeight="1" x14ac:dyDescent="0.3">
      <c r="B601" s="33"/>
    </row>
    <row r="602" spans="2:2" ht="15.75" customHeight="1" x14ac:dyDescent="0.3">
      <c r="B602" s="33"/>
    </row>
    <row r="603" spans="2:2" ht="15.75" customHeight="1" x14ac:dyDescent="0.3">
      <c r="B603" s="33"/>
    </row>
    <row r="604" spans="2:2" ht="15.75" customHeight="1" x14ac:dyDescent="0.3">
      <c r="B604" s="33"/>
    </row>
    <row r="605" spans="2:2" ht="15.75" customHeight="1" x14ac:dyDescent="0.3">
      <c r="B605" s="33"/>
    </row>
    <row r="606" spans="2:2" ht="15.75" customHeight="1" x14ac:dyDescent="0.3">
      <c r="B606" s="33"/>
    </row>
    <row r="607" spans="2:2" ht="15.75" customHeight="1" x14ac:dyDescent="0.3">
      <c r="B607" s="33"/>
    </row>
    <row r="608" spans="2:2" ht="15.75" customHeight="1" x14ac:dyDescent="0.3">
      <c r="B608" s="33"/>
    </row>
    <row r="609" spans="2:2" ht="15.75" customHeight="1" x14ac:dyDescent="0.3">
      <c r="B609" s="33"/>
    </row>
    <row r="610" spans="2:2" ht="15.75" customHeight="1" x14ac:dyDescent="0.3">
      <c r="B610" s="33"/>
    </row>
    <row r="611" spans="2:2" ht="15.75" customHeight="1" x14ac:dyDescent="0.3">
      <c r="B611" s="33"/>
    </row>
    <row r="612" spans="2:2" ht="15.75" customHeight="1" x14ac:dyDescent="0.3">
      <c r="B612" s="33"/>
    </row>
    <row r="613" spans="2:2" ht="15.75" customHeight="1" x14ac:dyDescent="0.3">
      <c r="B613" s="33"/>
    </row>
    <row r="614" spans="2:2" ht="15.75" customHeight="1" x14ac:dyDescent="0.3">
      <c r="B614" s="33"/>
    </row>
    <row r="615" spans="2:2" ht="15.75" customHeight="1" x14ac:dyDescent="0.3">
      <c r="B615" s="33"/>
    </row>
    <row r="616" spans="2:2" ht="15.75" customHeight="1" x14ac:dyDescent="0.3">
      <c r="B616" s="33"/>
    </row>
    <row r="617" spans="2:2" ht="15.75" customHeight="1" x14ac:dyDescent="0.3">
      <c r="B617" s="33"/>
    </row>
    <row r="618" spans="2:2" ht="15.75" customHeight="1" x14ac:dyDescent="0.3">
      <c r="B618" s="33"/>
    </row>
    <row r="619" spans="2:2" ht="15.75" customHeight="1" x14ac:dyDescent="0.3">
      <c r="B619" s="33"/>
    </row>
    <row r="620" spans="2:2" ht="15.75" customHeight="1" x14ac:dyDescent="0.3">
      <c r="B620" s="33"/>
    </row>
    <row r="621" spans="2:2" ht="15.75" customHeight="1" x14ac:dyDescent="0.3">
      <c r="B621" s="33"/>
    </row>
    <row r="622" spans="2:2" ht="15.75" customHeight="1" x14ac:dyDescent="0.3">
      <c r="B622" s="33"/>
    </row>
    <row r="623" spans="2:2" ht="15.75" customHeight="1" x14ac:dyDescent="0.3">
      <c r="B623" s="33"/>
    </row>
    <row r="624" spans="2:2" ht="15.75" customHeight="1" x14ac:dyDescent="0.3">
      <c r="B624" s="33"/>
    </row>
    <row r="625" spans="2:2" ht="15.75" customHeight="1" x14ac:dyDescent="0.3">
      <c r="B625" s="33"/>
    </row>
    <row r="626" spans="2:2" ht="15.75" customHeight="1" x14ac:dyDescent="0.3">
      <c r="B626" s="33"/>
    </row>
    <row r="627" spans="2:2" ht="15.75" customHeight="1" x14ac:dyDescent="0.3">
      <c r="B627" s="33"/>
    </row>
    <row r="628" spans="2:2" ht="15.75" customHeight="1" x14ac:dyDescent="0.3">
      <c r="B628" s="33"/>
    </row>
    <row r="629" spans="2:2" ht="15.75" customHeight="1" x14ac:dyDescent="0.3">
      <c r="B629" s="33"/>
    </row>
    <row r="630" spans="2:2" ht="15.75" customHeight="1" x14ac:dyDescent="0.3">
      <c r="B630" s="33"/>
    </row>
    <row r="631" spans="2:2" ht="15.75" customHeight="1" x14ac:dyDescent="0.3">
      <c r="B631" s="33"/>
    </row>
    <row r="632" spans="2:2" ht="15.75" customHeight="1" x14ac:dyDescent="0.3">
      <c r="B632" s="33"/>
    </row>
    <row r="633" spans="2:2" ht="15.75" customHeight="1" x14ac:dyDescent="0.3">
      <c r="B633" s="33"/>
    </row>
    <row r="634" spans="2:2" ht="15.75" customHeight="1" x14ac:dyDescent="0.3">
      <c r="B634" s="33"/>
    </row>
    <row r="635" spans="2:2" ht="15.75" customHeight="1" x14ac:dyDescent="0.3">
      <c r="B635" s="33"/>
    </row>
    <row r="636" spans="2:2" ht="15.75" customHeight="1" x14ac:dyDescent="0.3">
      <c r="B636" s="33"/>
    </row>
    <row r="637" spans="2:2" ht="15.75" customHeight="1" x14ac:dyDescent="0.3">
      <c r="B637" s="33"/>
    </row>
    <row r="638" spans="2:2" ht="15.75" customHeight="1" x14ac:dyDescent="0.3">
      <c r="B638" s="33"/>
    </row>
    <row r="639" spans="2:2" ht="15.75" customHeight="1" x14ac:dyDescent="0.3">
      <c r="B639" s="33"/>
    </row>
    <row r="640" spans="2:2" ht="15.75" customHeight="1" x14ac:dyDescent="0.3">
      <c r="B640" s="33"/>
    </row>
    <row r="641" spans="2:2" ht="15.75" customHeight="1" x14ac:dyDescent="0.3">
      <c r="B641" s="33"/>
    </row>
    <row r="642" spans="2:2" ht="15.75" customHeight="1" x14ac:dyDescent="0.3">
      <c r="B642" s="33"/>
    </row>
    <row r="643" spans="2:2" ht="15.75" customHeight="1" x14ac:dyDescent="0.3">
      <c r="B643" s="33"/>
    </row>
    <row r="644" spans="2:2" ht="15.75" customHeight="1" x14ac:dyDescent="0.3">
      <c r="B644" s="33"/>
    </row>
    <row r="645" spans="2:2" ht="15.75" customHeight="1" x14ac:dyDescent="0.3">
      <c r="B645" s="33"/>
    </row>
    <row r="646" spans="2:2" ht="15.75" customHeight="1" x14ac:dyDescent="0.3">
      <c r="B646" s="33"/>
    </row>
    <row r="647" spans="2:2" ht="15.75" customHeight="1" x14ac:dyDescent="0.3">
      <c r="B647" s="33"/>
    </row>
    <row r="648" spans="2:2" ht="15.75" customHeight="1" x14ac:dyDescent="0.3">
      <c r="B648" s="33"/>
    </row>
    <row r="649" spans="2:2" ht="15.75" customHeight="1" x14ac:dyDescent="0.3">
      <c r="B649" s="33"/>
    </row>
    <row r="650" spans="2:2" ht="15.75" customHeight="1" x14ac:dyDescent="0.3">
      <c r="B650" s="33"/>
    </row>
    <row r="651" spans="2:2" ht="15.75" customHeight="1" x14ac:dyDescent="0.3">
      <c r="B651" s="33"/>
    </row>
    <row r="652" spans="2:2" ht="15.75" customHeight="1" x14ac:dyDescent="0.3">
      <c r="B652" s="33"/>
    </row>
    <row r="653" spans="2:2" ht="15.75" customHeight="1" x14ac:dyDescent="0.3">
      <c r="B653" s="33"/>
    </row>
    <row r="654" spans="2:2" ht="15.75" customHeight="1" x14ac:dyDescent="0.3">
      <c r="B654" s="33"/>
    </row>
    <row r="655" spans="2:2" ht="15.75" customHeight="1" x14ac:dyDescent="0.3">
      <c r="B655" s="33"/>
    </row>
    <row r="656" spans="2:2" ht="15.75" customHeight="1" x14ac:dyDescent="0.3">
      <c r="B656" s="33"/>
    </row>
    <row r="657" spans="2:2" ht="15.75" customHeight="1" x14ac:dyDescent="0.3">
      <c r="B657" s="33"/>
    </row>
    <row r="658" spans="2:2" ht="15.75" customHeight="1" x14ac:dyDescent="0.3">
      <c r="B658" s="33"/>
    </row>
    <row r="659" spans="2:2" ht="15.75" customHeight="1" x14ac:dyDescent="0.3">
      <c r="B659" s="33"/>
    </row>
    <row r="660" spans="2:2" ht="15.75" customHeight="1" x14ac:dyDescent="0.3">
      <c r="B660" s="33"/>
    </row>
    <row r="661" spans="2:2" ht="15.75" customHeight="1" x14ac:dyDescent="0.3">
      <c r="B661" s="33"/>
    </row>
    <row r="662" spans="2:2" ht="15.75" customHeight="1" x14ac:dyDescent="0.3">
      <c r="B662" s="33"/>
    </row>
    <row r="663" spans="2:2" ht="15.75" customHeight="1" x14ac:dyDescent="0.3">
      <c r="B663" s="33"/>
    </row>
    <row r="664" spans="2:2" ht="15.75" customHeight="1" x14ac:dyDescent="0.3">
      <c r="B664" s="33"/>
    </row>
    <row r="665" spans="2:2" ht="15.75" customHeight="1" x14ac:dyDescent="0.3">
      <c r="B665" s="33"/>
    </row>
    <row r="666" spans="2:2" ht="15.75" customHeight="1" x14ac:dyDescent="0.3">
      <c r="B666" s="33"/>
    </row>
    <row r="667" spans="2:2" ht="15.75" customHeight="1" x14ac:dyDescent="0.3">
      <c r="B667" s="33"/>
    </row>
    <row r="668" spans="2:2" ht="15.75" customHeight="1" x14ac:dyDescent="0.3">
      <c r="B668" s="33"/>
    </row>
    <row r="669" spans="2:2" ht="15.75" customHeight="1" x14ac:dyDescent="0.3">
      <c r="B669" s="33"/>
    </row>
    <row r="670" spans="2:2" ht="15.75" customHeight="1" x14ac:dyDescent="0.3">
      <c r="B670" s="33"/>
    </row>
    <row r="671" spans="2:2" ht="15.75" customHeight="1" x14ac:dyDescent="0.3">
      <c r="B671" s="33"/>
    </row>
    <row r="672" spans="2:2" ht="15.75" customHeight="1" x14ac:dyDescent="0.3">
      <c r="B672" s="33"/>
    </row>
    <row r="673" spans="2:2" ht="15.75" customHeight="1" x14ac:dyDescent="0.3">
      <c r="B673" s="33"/>
    </row>
    <row r="674" spans="2:2" ht="15.75" customHeight="1" x14ac:dyDescent="0.3">
      <c r="B674" s="33"/>
    </row>
    <row r="675" spans="2:2" ht="15.75" customHeight="1" x14ac:dyDescent="0.3">
      <c r="B675" s="33"/>
    </row>
    <row r="676" spans="2:2" ht="15.75" customHeight="1" x14ac:dyDescent="0.3">
      <c r="B676" s="33"/>
    </row>
    <row r="677" spans="2:2" ht="15.75" customHeight="1" x14ac:dyDescent="0.3">
      <c r="B677" s="33"/>
    </row>
    <row r="678" spans="2:2" ht="15.75" customHeight="1" x14ac:dyDescent="0.3">
      <c r="B678" s="33"/>
    </row>
    <row r="679" spans="2:2" ht="15.75" customHeight="1" x14ac:dyDescent="0.3">
      <c r="B679" s="33"/>
    </row>
    <row r="680" spans="2:2" ht="15.75" customHeight="1" x14ac:dyDescent="0.3">
      <c r="B680" s="33"/>
    </row>
    <row r="681" spans="2:2" ht="15.75" customHeight="1" x14ac:dyDescent="0.3">
      <c r="B681" s="33"/>
    </row>
    <row r="682" spans="2:2" ht="15.75" customHeight="1" x14ac:dyDescent="0.3">
      <c r="B682" s="33"/>
    </row>
    <row r="683" spans="2:2" ht="15.75" customHeight="1" x14ac:dyDescent="0.3">
      <c r="B683" s="33"/>
    </row>
    <row r="684" spans="2:2" ht="15.75" customHeight="1" x14ac:dyDescent="0.3">
      <c r="B684" s="33"/>
    </row>
    <row r="685" spans="2:2" ht="15.75" customHeight="1" x14ac:dyDescent="0.3">
      <c r="B685" s="33"/>
    </row>
    <row r="686" spans="2:2" ht="15.75" customHeight="1" x14ac:dyDescent="0.3">
      <c r="B686" s="33"/>
    </row>
    <row r="687" spans="2:2" ht="15.75" customHeight="1" x14ac:dyDescent="0.3">
      <c r="B687" s="33"/>
    </row>
    <row r="688" spans="2:2" ht="15.75" customHeight="1" x14ac:dyDescent="0.3">
      <c r="B688" s="33"/>
    </row>
    <row r="689" spans="2:2" ht="15.75" customHeight="1" x14ac:dyDescent="0.3">
      <c r="B689" s="33"/>
    </row>
    <row r="690" spans="2:2" ht="15.75" customHeight="1" x14ac:dyDescent="0.3">
      <c r="B690" s="33"/>
    </row>
    <row r="691" spans="2:2" ht="15.75" customHeight="1" x14ac:dyDescent="0.3">
      <c r="B691" s="33"/>
    </row>
    <row r="692" spans="2:2" ht="15.75" customHeight="1" x14ac:dyDescent="0.3">
      <c r="B692" s="33"/>
    </row>
    <row r="693" spans="2:2" ht="15.75" customHeight="1" x14ac:dyDescent="0.3">
      <c r="B693" s="33"/>
    </row>
    <row r="694" spans="2:2" ht="15.75" customHeight="1" x14ac:dyDescent="0.3">
      <c r="B694" s="33"/>
    </row>
    <row r="695" spans="2:2" ht="15.75" customHeight="1" x14ac:dyDescent="0.3">
      <c r="B695" s="33"/>
    </row>
    <row r="696" spans="2:2" ht="15.75" customHeight="1" x14ac:dyDescent="0.3">
      <c r="B696" s="33"/>
    </row>
    <row r="697" spans="2:2" ht="15.75" customHeight="1" x14ac:dyDescent="0.3">
      <c r="B697" s="33"/>
    </row>
    <row r="698" spans="2:2" ht="15.75" customHeight="1" x14ac:dyDescent="0.3">
      <c r="B698" s="33"/>
    </row>
    <row r="699" spans="2:2" ht="15.75" customHeight="1" x14ac:dyDescent="0.3">
      <c r="B699" s="33"/>
    </row>
    <row r="700" spans="2:2" ht="15.75" customHeight="1" x14ac:dyDescent="0.3">
      <c r="B700" s="33"/>
    </row>
    <row r="701" spans="2:2" ht="15.75" customHeight="1" x14ac:dyDescent="0.3">
      <c r="B701" s="33"/>
    </row>
    <row r="702" spans="2:2" ht="15.75" customHeight="1" x14ac:dyDescent="0.3">
      <c r="B702" s="33"/>
    </row>
    <row r="703" spans="2:2" ht="15.75" customHeight="1" x14ac:dyDescent="0.3">
      <c r="B703" s="33"/>
    </row>
    <row r="704" spans="2:2" ht="15.75" customHeight="1" x14ac:dyDescent="0.3">
      <c r="B704" s="33"/>
    </row>
    <row r="705" spans="2:2" ht="15.75" customHeight="1" x14ac:dyDescent="0.3">
      <c r="B705" s="33"/>
    </row>
    <row r="706" spans="2:2" ht="15.75" customHeight="1" x14ac:dyDescent="0.3">
      <c r="B706" s="33"/>
    </row>
    <row r="707" spans="2:2" ht="15.75" customHeight="1" x14ac:dyDescent="0.3">
      <c r="B707" s="33"/>
    </row>
    <row r="708" spans="2:2" ht="15.75" customHeight="1" x14ac:dyDescent="0.3">
      <c r="B708" s="33"/>
    </row>
    <row r="709" spans="2:2" ht="15.75" customHeight="1" x14ac:dyDescent="0.3">
      <c r="B709" s="33"/>
    </row>
    <row r="710" spans="2:2" ht="15.75" customHeight="1" x14ac:dyDescent="0.3">
      <c r="B710" s="33"/>
    </row>
    <row r="711" spans="2:2" ht="15.75" customHeight="1" x14ac:dyDescent="0.3">
      <c r="B711" s="33"/>
    </row>
    <row r="712" spans="2:2" ht="15.75" customHeight="1" x14ac:dyDescent="0.3">
      <c r="B712" s="33"/>
    </row>
    <row r="713" spans="2:2" ht="15.75" customHeight="1" x14ac:dyDescent="0.3">
      <c r="B713" s="33"/>
    </row>
    <row r="714" spans="2:2" ht="15.75" customHeight="1" x14ac:dyDescent="0.3">
      <c r="B714" s="33"/>
    </row>
    <row r="715" spans="2:2" ht="15.75" customHeight="1" x14ac:dyDescent="0.3">
      <c r="B715" s="33"/>
    </row>
    <row r="716" spans="2:2" ht="15.75" customHeight="1" x14ac:dyDescent="0.3">
      <c r="B716" s="33"/>
    </row>
    <row r="717" spans="2:2" ht="15.75" customHeight="1" x14ac:dyDescent="0.3">
      <c r="B717" s="33"/>
    </row>
    <row r="718" spans="2:2" ht="15.75" customHeight="1" x14ac:dyDescent="0.3">
      <c r="B718" s="33"/>
    </row>
    <row r="719" spans="2:2" ht="15.75" customHeight="1" x14ac:dyDescent="0.3">
      <c r="B719" s="33"/>
    </row>
    <row r="720" spans="2:2" ht="15.75" customHeight="1" x14ac:dyDescent="0.3">
      <c r="B720" s="33"/>
    </row>
    <row r="721" spans="2:2" ht="15.75" customHeight="1" x14ac:dyDescent="0.3">
      <c r="B721" s="33"/>
    </row>
    <row r="722" spans="2:2" ht="15.75" customHeight="1" x14ac:dyDescent="0.3">
      <c r="B722" s="33"/>
    </row>
    <row r="723" spans="2:2" ht="15.75" customHeight="1" x14ac:dyDescent="0.3">
      <c r="B723" s="33"/>
    </row>
    <row r="724" spans="2:2" ht="15.75" customHeight="1" x14ac:dyDescent="0.3">
      <c r="B724" s="33"/>
    </row>
    <row r="725" spans="2:2" ht="15.75" customHeight="1" x14ac:dyDescent="0.3">
      <c r="B725" s="33"/>
    </row>
    <row r="726" spans="2:2" ht="15.75" customHeight="1" x14ac:dyDescent="0.3">
      <c r="B726" s="33"/>
    </row>
    <row r="727" spans="2:2" ht="15.75" customHeight="1" x14ac:dyDescent="0.3">
      <c r="B727" s="33"/>
    </row>
    <row r="728" spans="2:2" ht="15.75" customHeight="1" x14ac:dyDescent="0.3">
      <c r="B728" s="33"/>
    </row>
    <row r="729" spans="2:2" ht="15.75" customHeight="1" x14ac:dyDescent="0.3">
      <c r="B729" s="33"/>
    </row>
    <row r="730" spans="2:2" ht="15.75" customHeight="1" x14ac:dyDescent="0.3">
      <c r="B730" s="33"/>
    </row>
    <row r="731" spans="2:2" ht="15.75" customHeight="1" x14ac:dyDescent="0.3">
      <c r="B731" s="33"/>
    </row>
    <row r="732" spans="2:2" ht="15.75" customHeight="1" x14ac:dyDescent="0.3">
      <c r="B732" s="33"/>
    </row>
    <row r="733" spans="2:2" ht="15.75" customHeight="1" x14ac:dyDescent="0.3">
      <c r="B733" s="33"/>
    </row>
    <row r="734" spans="2:2" ht="15.75" customHeight="1" x14ac:dyDescent="0.3">
      <c r="B734" s="33"/>
    </row>
    <row r="735" spans="2:2" ht="15.75" customHeight="1" x14ac:dyDescent="0.3">
      <c r="B735" s="33"/>
    </row>
    <row r="736" spans="2:2" ht="15.75" customHeight="1" x14ac:dyDescent="0.3">
      <c r="B736" s="33"/>
    </row>
    <row r="737" spans="2:2" ht="15.75" customHeight="1" x14ac:dyDescent="0.3">
      <c r="B737" s="33"/>
    </row>
    <row r="738" spans="2:2" ht="15.75" customHeight="1" x14ac:dyDescent="0.3">
      <c r="B738" s="33"/>
    </row>
    <row r="739" spans="2:2" ht="15.75" customHeight="1" x14ac:dyDescent="0.3">
      <c r="B739" s="33"/>
    </row>
    <row r="740" spans="2:2" ht="15.75" customHeight="1" x14ac:dyDescent="0.3">
      <c r="B740" s="33"/>
    </row>
    <row r="741" spans="2:2" ht="15.75" customHeight="1" x14ac:dyDescent="0.3">
      <c r="B741" s="33"/>
    </row>
    <row r="742" spans="2:2" ht="15.75" customHeight="1" x14ac:dyDescent="0.3">
      <c r="B742" s="33"/>
    </row>
    <row r="743" spans="2:2" ht="15.75" customHeight="1" x14ac:dyDescent="0.3">
      <c r="B743" s="33"/>
    </row>
    <row r="744" spans="2:2" ht="15.75" customHeight="1" x14ac:dyDescent="0.3">
      <c r="B744" s="33"/>
    </row>
    <row r="745" spans="2:2" ht="15.75" customHeight="1" x14ac:dyDescent="0.3">
      <c r="B745" s="33"/>
    </row>
    <row r="746" spans="2:2" ht="15.75" customHeight="1" x14ac:dyDescent="0.3">
      <c r="B746" s="33"/>
    </row>
    <row r="747" spans="2:2" ht="15.75" customHeight="1" x14ac:dyDescent="0.3">
      <c r="B747" s="33"/>
    </row>
    <row r="748" spans="2:2" ht="15.75" customHeight="1" x14ac:dyDescent="0.3">
      <c r="B748" s="33"/>
    </row>
    <row r="749" spans="2:2" ht="15.75" customHeight="1" x14ac:dyDescent="0.3">
      <c r="B749" s="33"/>
    </row>
    <row r="750" spans="2:2" ht="15.75" customHeight="1" x14ac:dyDescent="0.3">
      <c r="B750" s="33"/>
    </row>
    <row r="751" spans="2:2" ht="15.75" customHeight="1" x14ac:dyDescent="0.3">
      <c r="B751" s="33"/>
    </row>
    <row r="752" spans="2:2" ht="15.75" customHeight="1" x14ac:dyDescent="0.3">
      <c r="B752" s="33"/>
    </row>
    <row r="753" spans="2:2" ht="15.75" customHeight="1" x14ac:dyDescent="0.3">
      <c r="B753" s="33"/>
    </row>
    <row r="754" spans="2:2" ht="15.75" customHeight="1" x14ac:dyDescent="0.3">
      <c r="B754" s="33"/>
    </row>
    <row r="755" spans="2:2" ht="15.75" customHeight="1" x14ac:dyDescent="0.3">
      <c r="B755" s="33"/>
    </row>
    <row r="756" spans="2:2" ht="15.75" customHeight="1" x14ac:dyDescent="0.3">
      <c r="B756" s="33"/>
    </row>
    <row r="757" spans="2:2" ht="15.75" customHeight="1" x14ac:dyDescent="0.3">
      <c r="B757" s="33"/>
    </row>
    <row r="758" spans="2:2" ht="15.75" customHeight="1" x14ac:dyDescent="0.3">
      <c r="B758" s="33"/>
    </row>
    <row r="759" spans="2:2" ht="15.75" customHeight="1" x14ac:dyDescent="0.3">
      <c r="B759" s="33"/>
    </row>
    <row r="760" spans="2:2" ht="15.75" customHeight="1" x14ac:dyDescent="0.3">
      <c r="B760" s="33"/>
    </row>
    <row r="761" spans="2:2" ht="15.75" customHeight="1" x14ac:dyDescent="0.3">
      <c r="B761" s="33"/>
    </row>
    <row r="762" spans="2:2" ht="15.75" customHeight="1" x14ac:dyDescent="0.3">
      <c r="B762" s="33"/>
    </row>
    <row r="763" spans="2:2" ht="15.75" customHeight="1" x14ac:dyDescent="0.3">
      <c r="B763" s="33"/>
    </row>
    <row r="764" spans="2:2" ht="15.75" customHeight="1" x14ac:dyDescent="0.3">
      <c r="B764" s="33"/>
    </row>
    <row r="765" spans="2:2" ht="15.75" customHeight="1" x14ac:dyDescent="0.3">
      <c r="B765" s="33"/>
    </row>
    <row r="766" spans="2:2" ht="15.75" customHeight="1" x14ac:dyDescent="0.3">
      <c r="B766" s="33"/>
    </row>
    <row r="767" spans="2:2" ht="15.75" customHeight="1" x14ac:dyDescent="0.3">
      <c r="B767" s="33"/>
    </row>
    <row r="768" spans="2:2" ht="15.75" customHeight="1" x14ac:dyDescent="0.3">
      <c r="B768" s="33"/>
    </row>
    <row r="769" spans="2:2" ht="15.75" customHeight="1" x14ac:dyDescent="0.3">
      <c r="B769" s="33"/>
    </row>
    <row r="770" spans="2:2" ht="15.75" customHeight="1" x14ac:dyDescent="0.3">
      <c r="B770" s="33"/>
    </row>
    <row r="771" spans="2:2" ht="15.75" customHeight="1" x14ac:dyDescent="0.3">
      <c r="B771" s="33"/>
    </row>
    <row r="772" spans="2:2" ht="15.75" customHeight="1" x14ac:dyDescent="0.3">
      <c r="B772" s="33"/>
    </row>
    <row r="773" spans="2:2" ht="15.75" customHeight="1" x14ac:dyDescent="0.3">
      <c r="B773" s="33"/>
    </row>
    <row r="774" spans="2:2" ht="15.75" customHeight="1" x14ac:dyDescent="0.3">
      <c r="B774" s="33"/>
    </row>
    <row r="775" spans="2:2" ht="15.75" customHeight="1" x14ac:dyDescent="0.3">
      <c r="B775" s="33"/>
    </row>
    <row r="776" spans="2:2" ht="15.75" customHeight="1" x14ac:dyDescent="0.3">
      <c r="B776" s="33"/>
    </row>
    <row r="777" spans="2:2" ht="15.75" customHeight="1" x14ac:dyDescent="0.3">
      <c r="B777" s="33"/>
    </row>
    <row r="778" spans="2:2" ht="15.75" customHeight="1" x14ac:dyDescent="0.3">
      <c r="B778" s="33"/>
    </row>
    <row r="779" spans="2:2" ht="15.75" customHeight="1" x14ac:dyDescent="0.3">
      <c r="B779" s="33"/>
    </row>
    <row r="780" spans="2:2" ht="15.75" customHeight="1" x14ac:dyDescent="0.3">
      <c r="B780" s="33"/>
    </row>
    <row r="781" spans="2:2" ht="15.75" customHeight="1" x14ac:dyDescent="0.3">
      <c r="B781" s="33"/>
    </row>
    <row r="782" spans="2:2" ht="15.75" customHeight="1" x14ac:dyDescent="0.3">
      <c r="B782" s="33"/>
    </row>
    <row r="783" spans="2:2" ht="15.75" customHeight="1" x14ac:dyDescent="0.3">
      <c r="B783" s="33"/>
    </row>
    <row r="784" spans="2:2" ht="15.75" customHeight="1" x14ac:dyDescent="0.3">
      <c r="B784" s="33"/>
    </row>
    <row r="785" spans="2:2" ht="15.75" customHeight="1" x14ac:dyDescent="0.3">
      <c r="B785" s="33"/>
    </row>
    <row r="786" spans="2:2" ht="15.75" customHeight="1" x14ac:dyDescent="0.3">
      <c r="B786" s="33"/>
    </row>
    <row r="787" spans="2:2" ht="15.75" customHeight="1" x14ac:dyDescent="0.3">
      <c r="B787" s="33"/>
    </row>
    <row r="788" spans="2:2" ht="15.75" customHeight="1" x14ac:dyDescent="0.3">
      <c r="B788" s="33"/>
    </row>
    <row r="789" spans="2:2" ht="15.75" customHeight="1" x14ac:dyDescent="0.3">
      <c r="B789" s="33"/>
    </row>
    <row r="790" spans="2:2" ht="15.75" customHeight="1" x14ac:dyDescent="0.3">
      <c r="B790" s="33"/>
    </row>
    <row r="791" spans="2:2" ht="15.75" customHeight="1" x14ac:dyDescent="0.3">
      <c r="B791" s="33"/>
    </row>
    <row r="792" spans="2:2" ht="15.75" customHeight="1" x14ac:dyDescent="0.3">
      <c r="B792" s="33"/>
    </row>
    <row r="793" spans="2:2" ht="15.75" customHeight="1" x14ac:dyDescent="0.3">
      <c r="B793" s="33"/>
    </row>
    <row r="794" spans="2:2" ht="15.75" customHeight="1" x14ac:dyDescent="0.3">
      <c r="B794" s="33"/>
    </row>
    <row r="795" spans="2:2" ht="15.75" customHeight="1" x14ac:dyDescent="0.3">
      <c r="B795" s="33"/>
    </row>
    <row r="796" spans="2:2" ht="15.75" customHeight="1" x14ac:dyDescent="0.3">
      <c r="B796" s="33"/>
    </row>
    <row r="797" spans="2:2" ht="15.75" customHeight="1" x14ac:dyDescent="0.3">
      <c r="B797" s="33"/>
    </row>
    <row r="798" spans="2:2" ht="15.75" customHeight="1" x14ac:dyDescent="0.3">
      <c r="B798" s="33"/>
    </row>
    <row r="799" spans="2:2" ht="15.75" customHeight="1" x14ac:dyDescent="0.3">
      <c r="B799" s="33"/>
    </row>
    <row r="800" spans="2:2" ht="15.75" customHeight="1" x14ac:dyDescent="0.3">
      <c r="B800" s="33"/>
    </row>
    <row r="801" spans="2:2" ht="15.75" customHeight="1" x14ac:dyDescent="0.3">
      <c r="B801" s="33"/>
    </row>
    <row r="802" spans="2:2" ht="15.75" customHeight="1" x14ac:dyDescent="0.3">
      <c r="B802" s="33"/>
    </row>
    <row r="803" spans="2:2" ht="15.75" customHeight="1" x14ac:dyDescent="0.3">
      <c r="B803" s="33"/>
    </row>
    <row r="804" spans="2:2" ht="15.75" customHeight="1" x14ac:dyDescent="0.3">
      <c r="B804" s="33"/>
    </row>
    <row r="805" spans="2:2" ht="15.75" customHeight="1" x14ac:dyDescent="0.3">
      <c r="B805" s="33"/>
    </row>
    <row r="806" spans="2:2" ht="15.75" customHeight="1" x14ac:dyDescent="0.3">
      <c r="B806" s="33"/>
    </row>
    <row r="807" spans="2:2" ht="15.75" customHeight="1" x14ac:dyDescent="0.3">
      <c r="B807" s="33"/>
    </row>
    <row r="808" spans="2:2" ht="15.75" customHeight="1" x14ac:dyDescent="0.3">
      <c r="B808" s="33"/>
    </row>
    <row r="809" spans="2:2" ht="15.75" customHeight="1" x14ac:dyDescent="0.3">
      <c r="B809" s="33"/>
    </row>
    <row r="810" spans="2:2" ht="15.75" customHeight="1" x14ac:dyDescent="0.3">
      <c r="B810" s="33"/>
    </row>
    <row r="811" spans="2:2" ht="15.75" customHeight="1" x14ac:dyDescent="0.3">
      <c r="B811" s="33"/>
    </row>
    <row r="812" spans="2:2" ht="15.75" customHeight="1" x14ac:dyDescent="0.3">
      <c r="B812" s="33"/>
    </row>
    <row r="813" spans="2:2" ht="15.75" customHeight="1" x14ac:dyDescent="0.3">
      <c r="B813" s="33"/>
    </row>
    <row r="814" spans="2:2" ht="15.75" customHeight="1" x14ac:dyDescent="0.3">
      <c r="B814" s="33"/>
    </row>
    <row r="815" spans="2:2" ht="15.75" customHeight="1" x14ac:dyDescent="0.3">
      <c r="B815" s="33"/>
    </row>
    <row r="816" spans="2:2" ht="15.75" customHeight="1" x14ac:dyDescent="0.3">
      <c r="B816" s="33"/>
    </row>
    <row r="817" spans="2:2" ht="15.75" customHeight="1" x14ac:dyDescent="0.3">
      <c r="B817" s="33"/>
    </row>
    <row r="818" spans="2:2" ht="15.75" customHeight="1" x14ac:dyDescent="0.3">
      <c r="B818" s="33"/>
    </row>
    <row r="819" spans="2:2" ht="15.75" customHeight="1" x14ac:dyDescent="0.3">
      <c r="B819" s="33"/>
    </row>
    <row r="820" spans="2:2" ht="15.75" customHeight="1" x14ac:dyDescent="0.3">
      <c r="B820" s="33"/>
    </row>
    <row r="821" spans="2:2" ht="15.75" customHeight="1" x14ac:dyDescent="0.3">
      <c r="B821" s="33"/>
    </row>
    <row r="822" spans="2:2" ht="15.75" customHeight="1" x14ac:dyDescent="0.3">
      <c r="B822" s="33"/>
    </row>
    <row r="823" spans="2:2" ht="15.75" customHeight="1" x14ac:dyDescent="0.3">
      <c r="B823" s="33"/>
    </row>
    <row r="824" spans="2:2" ht="15.75" customHeight="1" x14ac:dyDescent="0.3">
      <c r="B824" s="33"/>
    </row>
    <row r="825" spans="2:2" ht="15.75" customHeight="1" x14ac:dyDescent="0.3">
      <c r="B825" s="33"/>
    </row>
    <row r="826" spans="2:2" ht="15.75" customHeight="1" x14ac:dyDescent="0.3">
      <c r="B826" s="33"/>
    </row>
    <row r="827" spans="2:2" ht="15.75" customHeight="1" x14ac:dyDescent="0.3">
      <c r="B827" s="33"/>
    </row>
    <row r="828" spans="2:2" ht="15.75" customHeight="1" x14ac:dyDescent="0.3">
      <c r="B828" s="33"/>
    </row>
    <row r="829" spans="2:2" ht="15.75" customHeight="1" x14ac:dyDescent="0.3">
      <c r="B829" s="33"/>
    </row>
    <row r="830" spans="2:2" ht="15.75" customHeight="1" x14ac:dyDescent="0.3">
      <c r="B830" s="33"/>
    </row>
    <row r="831" spans="2:2" ht="15.75" customHeight="1" x14ac:dyDescent="0.3">
      <c r="B831" s="33"/>
    </row>
    <row r="832" spans="2:2" ht="15.75" customHeight="1" x14ac:dyDescent="0.3">
      <c r="B832" s="33"/>
    </row>
    <row r="833" spans="2:2" ht="15.75" customHeight="1" x14ac:dyDescent="0.3">
      <c r="B833" s="33"/>
    </row>
    <row r="834" spans="2:2" ht="15.75" customHeight="1" x14ac:dyDescent="0.3">
      <c r="B834" s="33"/>
    </row>
    <row r="835" spans="2:2" ht="15.75" customHeight="1" x14ac:dyDescent="0.3">
      <c r="B835" s="33"/>
    </row>
    <row r="836" spans="2:2" ht="15.75" customHeight="1" x14ac:dyDescent="0.3">
      <c r="B836" s="33"/>
    </row>
    <row r="837" spans="2:2" ht="15.75" customHeight="1" x14ac:dyDescent="0.3">
      <c r="B837" s="33"/>
    </row>
    <row r="838" spans="2:2" ht="15.75" customHeight="1" x14ac:dyDescent="0.3">
      <c r="B838" s="33"/>
    </row>
    <row r="839" spans="2:2" ht="15.75" customHeight="1" x14ac:dyDescent="0.3">
      <c r="B839" s="33"/>
    </row>
    <row r="840" spans="2:2" ht="15.75" customHeight="1" x14ac:dyDescent="0.3">
      <c r="B840" s="33"/>
    </row>
    <row r="841" spans="2:2" ht="15.75" customHeight="1" x14ac:dyDescent="0.3">
      <c r="B841" s="33"/>
    </row>
    <row r="842" spans="2:2" ht="15.75" customHeight="1" x14ac:dyDescent="0.3">
      <c r="B842" s="33"/>
    </row>
    <row r="843" spans="2:2" ht="15.75" customHeight="1" x14ac:dyDescent="0.3">
      <c r="B843" s="33"/>
    </row>
    <row r="844" spans="2:2" ht="15.75" customHeight="1" x14ac:dyDescent="0.3">
      <c r="B844" s="33"/>
    </row>
    <row r="845" spans="2:2" ht="15.75" customHeight="1" x14ac:dyDescent="0.3">
      <c r="B845" s="33"/>
    </row>
    <row r="846" spans="2:2" ht="15.75" customHeight="1" x14ac:dyDescent="0.3">
      <c r="B846" s="33"/>
    </row>
    <row r="847" spans="2:2" ht="15.75" customHeight="1" x14ac:dyDescent="0.3">
      <c r="B847" s="33"/>
    </row>
    <row r="848" spans="2:2" ht="15.75" customHeight="1" x14ac:dyDescent="0.3">
      <c r="B848" s="33"/>
    </row>
    <row r="849" spans="2:2" ht="15.75" customHeight="1" x14ac:dyDescent="0.3">
      <c r="B849" s="33"/>
    </row>
    <row r="850" spans="2:2" ht="15.75" customHeight="1" x14ac:dyDescent="0.3">
      <c r="B850" s="33"/>
    </row>
    <row r="851" spans="2:2" ht="15.75" customHeight="1" x14ac:dyDescent="0.3">
      <c r="B851" s="33"/>
    </row>
    <row r="852" spans="2:2" ht="15.75" customHeight="1" x14ac:dyDescent="0.3">
      <c r="B852" s="33"/>
    </row>
    <row r="853" spans="2:2" ht="15.75" customHeight="1" x14ac:dyDescent="0.3">
      <c r="B853" s="33"/>
    </row>
    <row r="854" spans="2:2" ht="15.75" customHeight="1" x14ac:dyDescent="0.3">
      <c r="B854" s="33"/>
    </row>
    <row r="855" spans="2:2" ht="15.75" customHeight="1" x14ac:dyDescent="0.3">
      <c r="B855" s="33"/>
    </row>
    <row r="856" spans="2:2" ht="15.75" customHeight="1" x14ac:dyDescent="0.3">
      <c r="B856" s="33"/>
    </row>
    <row r="857" spans="2:2" ht="15.75" customHeight="1" x14ac:dyDescent="0.3">
      <c r="B857" s="33"/>
    </row>
    <row r="858" spans="2:2" ht="15.75" customHeight="1" x14ac:dyDescent="0.3">
      <c r="B858" s="33"/>
    </row>
    <row r="859" spans="2:2" ht="15.75" customHeight="1" x14ac:dyDescent="0.3">
      <c r="B859" s="33"/>
    </row>
    <row r="860" spans="2:2" ht="15.75" customHeight="1" x14ac:dyDescent="0.3">
      <c r="B860" s="33"/>
    </row>
    <row r="861" spans="2:2" ht="15.75" customHeight="1" x14ac:dyDescent="0.3">
      <c r="B861" s="33"/>
    </row>
    <row r="862" spans="2:2" ht="15.75" customHeight="1" x14ac:dyDescent="0.3">
      <c r="B862" s="33"/>
    </row>
    <row r="863" spans="2:2" ht="15.75" customHeight="1" x14ac:dyDescent="0.3">
      <c r="B863" s="33"/>
    </row>
    <row r="864" spans="2:2" ht="15.75" customHeight="1" x14ac:dyDescent="0.3">
      <c r="B864" s="33"/>
    </row>
    <row r="865" spans="2:2" ht="15.75" customHeight="1" x14ac:dyDescent="0.3">
      <c r="B865" s="33"/>
    </row>
    <row r="866" spans="2:2" ht="15.75" customHeight="1" x14ac:dyDescent="0.3">
      <c r="B866" s="33"/>
    </row>
    <row r="867" spans="2:2" ht="15.75" customHeight="1" x14ac:dyDescent="0.3">
      <c r="B867" s="33"/>
    </row>
    <row r="868" spans="2:2" ht="15.75" customHeight="1" x14ac:dyDescent="0.3">
      <c r="B868" s="33"/>
    </row>
    <row r="869" spans="2:2" ht="15.75" customHeight="1" x14ac:dyDescent="0.3">
      <c r="B869" s="33"/>
    </row>
    <row r="870" spans="2:2" ht="15.75" customHeight="1" x14ac:dyDescent="0.3">
      <c r="B870" s="33"/>
    </row>
    <row r="871" spans="2:2" ht="15.75" customHeight="1" x14ac:dyDescent="0.3">
      <c r="B871" s="33"/>
    </row>
    <row r="872" spans="2:2" ht="15.75" customHeight="1" x14ac:dyDescent="0.3">
      <c r="B872" s="33"/>
    </row>
    <row r="873" spans="2:2" ht="15.75" customHeight="1" x14ac:dyDescent="0.3">
      <c r="B873" s="33"/>
    </row>
    <row r="874" spans="2:2" ht="15.75" customHeight="1" x14ac:dyDescent="0.3">
      <c r="B874" s="33"/>
    </row>
    <row r="875" spans="2:2" ht="15.75" customHeight="1" x14ac:dyDescent="0.3">
      <c r="B875" s="33"/>
    </row>
    <row r="876" spans="2:2" ht="15.75" customHeight="1" x14ac:dyDescent="0.3">
      <c r="B876" s="33"/>
    </row>
    <row r="877" spans="2:2" ht="15.75" customHeight="1" x14ac:dyDescent="0.3">
      <c r="B877" s="33"/>
    </row>
    <row r="878" spans="2:2" ht="15.75" customHeight="1" x14ac:dyDescent="0.3">
      <c r="B878" s="33"/>
    </row>
    <row r="879" spans="2:2" ht="15.75" customHeight="1" x14ac:dyDescent="0.3">
      <c r="B879" s="33"/>
    </row>
    <row r="880" spans="2:2" ht="15.75" customHeight="1" x14ac:dyDescent="0.3">
      <c r="B880" s="33"/>
    </row>
    <row r="881" spans="2:2" ht="15.75" customHeight="1" x14ac:dyDescent="0.3">
      <c r="B881" s="33"/>
    </row>
    <row r="882" spans="2:2" ht="15.75" customHeight="1" x14ac:dyDescent="0.3">
      <c r="B882" s="33"/>
    </row>
    <row r="883" spans="2:2" ht="15.75" customHeight="1" x14ac:dyDescent="0.3">
      <c r="B883" s="33"/>
    </row>
    <row r="884" spans="2:2" ht="15.75" customHeight="1" x14ac:dyDescent="0.3">
      <c r="B884" s="33"/>
    </row>
    <row r="885" spans="2:2" ht="15.75" customHeight="1" x14ac:dyDescent="0.3">
      <c r="B885" s="33"/>
    </row>
    <row r="886" spans="2:2" ht="15.75" customHeight="1" x14ac:dyDescent="0.3">
      <c r="B886" s="33"/>
    </row>
    <row r="887" spans="2:2" ht="15.75" customHeight="1" x14ac:dyDescent="0.3">
      <c r="B887" s="33"/>
    </row>
    <row r="888" spans="2:2" ht="15.75" customHeight="1" x14ac:dyDescent="0.3">
      <c r="B888" s="33"/>
    </row>
    <row r="889" spans="2:2" ht="15.75" customHeight="1" x14ac:dyDescent="0.3">
      <c r="B889" s="33"/>
    </row>
    <row r="890" spans="2:2" ht="15.75" customHeight="1" x14ac:dyDescent="0.3">
      <c r="B890" s="33"/>
    </row>
    <row r="891" spans="2:2" ht="15.75" customHeight="1" x14ac:dyDescent="0.3">
      <c r="B891" s="33"/>
    </row>
    <row r="892" spans="2:2" ht="15.75" customHeight="1" x14ac:dyDescent="0.3">
      <c r="B892" s="33"/>
    </row>
    <row r="893" spans="2:2" ht="15.75" customHeight="1" x14ac:dyDescent="0.3">
      <c r="B893" s="33"/>
    </row>
    <row r="894" spans="2:2" ht="15.75" customHeight="1" x14ac:dyDescent="0.3">
      <c r="B894" s="33"/>
    </row>
    <row r="895" spans="2:2" ht="15.75" customHeight="1" x14ac:dyDescent="0.3">
      <c r="B895" s="33"/>
    </row>
    <row r="896" spans="2:2" ht="15.75" customHeight="1" x14ac:dyDescent="0.3">
      <c r="B896" s="33"/>
    </row>
    <row r="897" spans="2:2" ht="15.75" customHeight="1" x14ac:dyDescent="0.3">
      <c r="B897" s="33"/>
    </row>
    <row r="898" spans="2:2" ht="15.75" customHeight="1" x14ac:dyDescent="0.3">
      <c r="B898" s="33"/>
    </row>
    <row r="899" spans="2:2" ht="15.75" customHeight="1" x14ac:dyDescent="0.3">
      <c r="B899" s="33"/>
    </row>
    <row r="900" spans="2:2" ht="15.75" customHeight="1" x14ac:dyDescent="0.3">
      <c r="B900" s="33"/>
    </row>
    <row r="901" spans="2:2" ht="15.75" customHeight="1" x14ac:dyDescent="0.3">
      <c r="B901" s="33"/>
    </row>
    <row r="902" spans="2:2" ht="15.75" customHeight="1" x14ac:dyDescent="0.3">
      <c r="B902" s="33"/>
    </row>
    <row r="903" spans="2:2" ht="15.75" customHeight="1" x14ac:dyDescent="0.3">
      <c r="B903" s="33"/>
    </row>
    <row r="904" spans="2:2" ht="15.75" customHeight="1" x14ac:dyDescent="0.3">
      <c r="B904" s="33"/>
    </row>
    <row r="905" spans="2:2" ht="15.75" customHeight="1" x14ac:dyDescent="0.3">
      <c r="B905" s="33"/>
    </row>
    <row r="906" spans="2:2" ht="15.75" customHeight="1" x14ac:dyDescent="0.3">
      <c r="B906" s="33"/>
    </row>
    <row r="907" spans="2:2" ht="15.75" customHeight="1" x14ac:dyDescent="0.3">
      <c r="B907" s="33"/>
    </row>
    <row r="908" spans="2:2" ht="15.75" customHeight="1" x14ac:dyDescent="0.3">
      <c r="B908" s="33"/>
    </row>
    <row r="909" spans="2:2" ht="15.75" customHeight="1" x14ac:dyDescent="0.3">
      <c r="B909" s="33"/>
    </row>
    <row r="910" spans="2:2" ht="15.75" customHeight="1" x14ac:dyDescent="0.3">
      <c r="B910" s="33"/>
    </row>
    <row r="911" spans="2:2" ht="15.75" customHeight="1" x14ac:dyDescent="0.3">
      <c r="B911" s="33"/>
    </row>
    <row r="912" spans="2:2" ht="15.75" customHeight="1" x14ac:dyDescent="0.3">
      <c r="B912" s="33"/>
    </row>
    <row r="913" spans="2:2" ht="15.75" customHeight="1" x14ac:dyDescent="0.3">
      <c r="B913" s="33"/>
    </row>
    <row r="914" spans="2:2" ht="15.75" customHeight="1" x14ac:dyDescent="0.3">
      <c r="B914" s="33"/>
    </row>
    <row r="915" spans="2:2" ht="15.75" customHeight="1" x14ac:dyDescent="0.3">
      <c r="B915" s="33"/>
    </row>
    <row r="916" spans="2:2" ht="15.75" customHeight="1" x14ac:dyDescent="0.3">
      <c r="B916" s="33"/>
    </row>
    <row r="917" spans="2:2" ht="15.75" customHeight="1" x14ac:dyDescent="0.3">
      <c r="B917" s="33"/>
    </row>
    <row r="918" spans="2:2" ht="15.75" customHeight="1" x14ac:dyDescent="0.3">
      <c r="B918" s="33"/>
    </row>
    <row r="919" spans="2:2" ht="15.75" customHeight="1" x14ac:dyDescent="0.3">
      <c r="B919" s="33"/>
    </row>
    <row r="920" spans="2:2" ht="15.75" customHeight="1" x14ac:dyDescent="0.3">
      <c r="B920" s="33"/>
    </row>
    <row r="921" spans="2:2" ht="15.75" customHeight="1" x14ac:dyDescent="0.3">
      <c r="B921" s="33"/>
    </row>
    <row r="922" spans="2:2" ht="15.75" customHeight="1" x14ac:dyDescent="0.3">
      <c r="B922" s="33"/>
    </row>
    <row r="923" spans="2:2" ht="15.75" customHeight="1" x14ac:dyDescent="0.3">
      <c r="B923" s="33"/>
    </row>
    <row r="924" spans="2:2" ht="15.75" customHeight="1" x14ac:dyDescent="0.3">
      <c r="B924" s="33"/>
    </row>
    <row r="925" spans="2:2" ht="15.75" customHeight="1" x14ac:dyDescent="0.3">
      <c r="B925" s="33"/>
    </row>
    <row r="926" spans="2:2" ht="15.75" customHeight="1" x14ac:dyDescent="0.3">
      <c r="B926" s="33"/>
    </row>
    <row r="927" spans="2:2" ht="15.75" customHeight="1" x14ac:dyDescent="0.3">
      <c r="B927" s="33"/>
    </row>
    <row r="928" spans="2:2" ht="15.75" customHeight="1" x14ac:dyDescent="0.3">
      <c r="B928" s="33"/>
    </row>
    <row r="929" spans="2:2" ht="15.75" customHeight="1" x14ac:dyDescent="0.3">
      <c r="B929" s="33"/>
    </row>
    <row r="930" spans="2:2" ht="15.75" customHeight="1" x14ac:dyDescent="0.3">
      <c r="B930" s="33"/>
    </row>
    <row r="931" spans="2:2" ht="15.75" customHeight="1" x14ac:dyDescent="0.3">
      <c r="B931" s="33"/>
    </row>
    <row r="932" spans="2:2" ht="15.75" customHeight="1" x14ac:dyDescent="0.3">
      <c r="B932" s="33"/>
    </row>
    <row r="933" spans="2:2" ht="15.75" customHeight="1" x14ac:dyDescent="0.3">
      <c r="B933" s="33"/>
    </row>
    <row r="934" spans="2:2" ht="15.75" customHeight="1" x14ac:dyDescent="0.3">
      <c r="B934" s="33"/>
    </row>
    <row r="935" spans="2:2" ht="15.75" customHeight="1" x14ac:dyDescent="0.3">
      <c r="B935" s="33"/>
    </row>
    <row r="936" spans="2:2" ht="15.75" customHeight="1" x14ac:dyDescent="0.3">
      <c r="B936" s="33"/>
    </row>
    <row r="937" spans="2:2" ht="15.75" customHeight="1" x14ac:dyDescent="0.3">
      <c r="B937" s="33"/>
    </row>
    <row r="938" spans="2:2" ht="15.75" customHeight="1" x14ac:dyDescent="0.3">
      <c r="B938" s="33"/>
    </row>
    <row r="939" spans="2:2" ht="15.75" customHeight="1" x14ac:dyDescent="0.3">
      <c r="B939" s="33"/>
    </row>
    <row r="940" spans="2:2" ht="15.75" customHeight="1" x14ac:dyDescent="0.3">
      <c r="B940" s="33"/>
    </row>
    <row r="941" spans="2:2" ht="15.75" customHeight="1" x14ac:dyDescent="0.3">
      <c r="B941" s="33"/>
    </row>
    <row r="942" spans="2:2" ht="15.75" customHeight="1" x14ac:dyDescent="0.3">
      <c r="B942" s="33"/>
    </row>
    <row r="943" spans="2:2" ht="15.75" customHeight="1" x14ac:dyDescent="0.3">
      <c r="B943" s="33"/>
    </row>
    <row r="944" spans="2:2" ht="15.75" customHeight="1" x14ac:dyDescent="0.3">
      <c r="B944" s="33"/>
    </row>
    <row r="945" spans="2:2" ht="15.75" customHeight="1" x14ac:dyDescent="0.3">
      <c r="B945" s="33"/>
    </row>
    <row r="946" spans="2:2" ht="15.75" customHeight="1" x14ac:dyDescent="0.3">
      <c r="B946" s="33"/>
    </row>
    <row r="947" spans="2:2" ht="15.75" customHeight="1" x14ac:dyDescent="0.3">
      <c r="B947" s="33"/>
    </row>
    <row r="948" spans="2:2" ht="15.75" customHeight="1" x14ac:dyDescent="0.3">
      <c r="B948" s="33"/>
    </row>
    <row r="949" spans="2:2" ht="15.75" customHeight="1" x14ac:dyDescent="0.3">
      <c r="B949" s="33"/>
    </row>
    <row r="950" spans="2:2" ht="15.75" customHeight="1" x14ac:dyDescent="0.3">
      <c r="B950" s="33"/>
    </row>
    <row r="951" spans="2:2" ht="15.75" customHeight="1" x14ac:dyDescent="0.3">
      <c r="B951" s="33"/>
    </row>
    <row r="952" spans="2:2" ht="15.75" customHeight="1" x14ac:dyDescent="0.3">
      <c r="B952" s="33"/>
    </row>
    <row r="953" spans="2:2" ht="15.75" customHeight="1" x14ac:dyDescent="0.3">
      <c r="B953" s="33"/>
    </row>
    <row r="954" spans="2:2" ht="15.75" customHeight="1" x14ac:dyDescent="0.3">
      <c r="B954" s="33"/>
    </row>
    <row r="955" spans="2:2" ht="15.75" customHeight="1" x14ac:dyDescent="0.3">
      <c r="B955" s="33"/>
    </row>
    <row r="956" spans="2:2" ht="15.75" customHeight="1" x14ac:dyDescent="0.3">
      <c r="B956" s="33"/>
    </row>
    <row r="957" spans="2:2" ht="15.75" customHeight="1" x14ac:dyDescent="0.3">
      <c r="B957" s="33"/>
    </row>
    <row r="958" spans="2:2" ht="15.75" customHeight="1" x14ac:dyDescent="0.3">
      <c r="B958" s="33"/>
    </row>
    <row r="959" spans="2:2" ht="15.75" customHeight="1" x14ac:dyDescent="0.3">
      <c r="B959" s="33"/>
    </row>
    <row r="960" spans="2:2" ht="15.75" customHeight="1" x14ac:dyDescent="0.3">
      <c r="B960" s="33"/>
    </row>
    <row r="961" spans="2:2" ht="15.75" customHeight="1" x14ac:dyDescent="0.3">
      <c r="B961" s="33"/>
    </row>
    <row r="962" spans="2:2" ht="15.75" customHeight="1" x14ac:dyDescent="0.3">
      <c r="B962" s="33"/>
    </row>
    <row r="963" spans="2:2" ht="15.75" customHeight="1" x14ac:dyDescent="0.3">
      <c r="B963" s="33"/>
    </row>
    <row r="964" spans="2:2" ht="15.75" customHeight="1" x14ac:dyDescent="0.3">
      <c r="B964" s="33"/>
    </row>
    <row r="965" spans="2:2" ht="15.75" customHeight="1" x14ac:dyDescent="0.3">
      <c r="B965" s="33"/>
    </row>
    <row r="966" spans="2:2" ht="15.75" customHeight="1" x14ac:dyDescent="0.3">
      <c r="B966" s="33"/>
    </row>
    <row r="967" spans="2:2" ht="15.75" customHeight="1" x14ac:dyDescent="0.3">
      <c r="B967" s="33"/>
    </row>
    <row r="968" spans="2:2" ht="15.75" customHeight="1" x14ac:dyDescent="0.3">
      <c r="B968" s="33"/>
    </row>
    <row r="969" spans="2:2" ht="15.75" customHeight="1" x14ac:dyDescent="0.3">
      <c r="B969" s="33"/>
    </row>
    <row r="970" spans="2:2" ht="15.75" customHeight="1" x14ac:dyDescent="0.3">
      <c r="B970" s="33"/>
    </row>
    <row r="971" spans="2:2" ht="15.75" customHeight="1" x14ac:dyDescent="0.3">
      <c r="B971" s="33"/>
    </row>
    <row r="972" spans="2:2" ht="15.75" customHeight="1" x14ac:dyDescent="0.3">
      <c r="B972" s="33"/>
    </row>
    <row r="973" spans="2:2" ht="15.75" customHeight="1" x14ac:dyDescent="0.3">
      <c r="B973" s="33"/>
    </row>
    <row r="974" spans="2:2" ht="15.75" customHeight="1" x14ac:dyDescent="0.3">
      <c r="B974" s="33"/>
    </row>
    <row r="975" spans="2:2" ht="15.75" customHeight="1" x14ac:dyDescent="0.3">
      <c r="B975" s="33"/>
    </row>
    <row r="976" spans="2:2" ht="15.75" customHeight="1" x14ac:dyDescent="0.3">
      <c r="B976" s="33"/>
    </row>
    <row r="977" spans="2:2" ht="15.75" customHeight="1" x14ac:dyDescent="0.3">
      <c r="B977" s="33"/>
    </row>
    <row r="978" spans="2:2" ht="15.75" customHeight="1" x14ac:dyDescent="0.3">
      <c r="B978" s="33"/>
    </row>
    <row r="979" spans="2:2" ht="15.75" customHeight="1" x14ac:dyDescent="0.3">
      <c r="B979" s="33"/>
    </row>
    <row r="980" spans="2:2" ht="15.75" customHeight="1" x14ac:dyDescent="0.3">
      <c r="B980" s="33"/>
    </row>
    <row r="981" spans="2:2" ht="15.75" customHeight="1" x14ac:dyDescent="0.3">
      <c r="B981" s="33"/>
    </row>
    <row r="982" spans="2:2" ht="15.75" customHeight="1" x14ac:dyDescent="0.3">
      <c r="B982" s="33"/>
    </row>
    <row r="983" spans="2:2" ht="15.75" customHeight="1" x14ac:dyDescent="0.3">
      <c r="B983" s="33"/>
    </row>
    <row r="984" spans="2:2" ht="15.75" customHeight="1" x14ac:dyDescent="0.3">
      <c r="B984" s="33"/>
    </row>
    <row r="985" spans="2:2" ht="15.75" customHeight="1" x14ac:dyDescent="0.3">
      <c r="B985" s="33"/>
    </row>
    <row r="986" spans="2:2" ht="15.75" customHeight="1" x14ac:dyDescent="0.3">
      <c r="B986" s="33"/>
    </row>
    <row r="987" spans="2:2" ht="15.75" customHeight="1" x14ac:dyDescent="0.3">
      <c r="B987" s="33"/>
    </row>
    <row r="988" spans="2:2" ht="15.75" customHeight="1" x14ac:dyDescent="0.3">
      <c r="B988" s="33"/>
    </row>
    <row r="989" spans="2:2" ht="15.75" customHeight="1" x14ac:dyDescent="0.3">
      <c r="B989" s="33"/>
    </row>
    <row r="990" spans="2:2" ht="15.75" customHeight="1" x14ac:dyDescent="0.3">
      <c r="B990" s="33"/>
    </row>
    <row r="991" spans="2:2" ht="15.75" customHeight="1" x14ac:dyDescent="0.3">
      <c r="B991" s="33"/>
    </row>
    <row r="992" spans="2:2" ht="15.75" customHeight="1" x14ac:dyDescent="0.3">
      <c r="B992" s="33"/>
    </row>
    <row r="993" spans="2:2" ht="15.75" customHeight="1" x14ac:dyDescent="0.3">
      <c r="B993" s="33"/>
    </row>
    <row r="994" spans="2:2" ht="15.75" customHeight="1" x14ac:dyDescent="0.3">
      <c r="B994" s="33"/>
    </row>
    <row r="995" spans="2:2" ht="15.75" customHeight="1" x14ac:dyDescent="0.3">
      <c r="B995" s="33"/>
    </row>
    <row r="996" spans="2:2" ht="15.75" customHeight="1" x14ac:dyDescent="0.3">
      <c r="B996" s="33"/>
    </row>
    <row r="997" spans="2:2" ht="15.75" customHeight="1" x14ac:dyDescent="0.3">
      <c r="B997" s="33"/>
    </row>
    <row r="998" spans="2:2" ht="15.75" customHeight="1" x14ac:dyDescent="0.3">
      <c r="B998" s="33"/>
    </row>
    <row r="999" spans="2:2" ht="15.75" customHeight="1" x14ac:dyDescent="0.3">
      <c r="B999" s="33"/>
    </row>
    <row r="1000" spans="2:2" ht="15.75" customHeight="1" x14ac:dyDescent="0.3">
      <c r="B1000" s="33"/>
    </row>
  </sheetData>
  <autoFilter ref="A2:P17" xr:uid="{00000000-0009-0000-0000-00000C000000}"/>
  <mergeCells count="1">
    <mergeCell ref="B1:D1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Z1000"/>
  <sheetViews>
    <sheetView workbookViewId="0"/>
  </sheetViews>
  <sheetFormatPr baseColWidth="10" defaultColWidth="14.44140625" defaultRowHeight="15" customHeight="1" x14ac:dyDescent="0.3"/>
  <cols>
    <col min="1" max="3" width="11.44140625" style="42" customWidth="1"/>
    <col min="4" max="4" width="34" style="43" customWidth="1"/>
    <col min="5" max="26" width="11.44140625" style="42" customWidth="1"/>
  </cols>
  <sheetData>
    <row r="1" spans="1:4" ht="14.4" x14ac:dyDescent="0.3">
      <c r="A1" s="40">
        <v>1</v>
      </c>
      <c r="B1" s="2" t="s">
        <v>13</v>
      </c>
      <c r="C1" s="6">
        <v>1</v>
      </c>
      <c r="D1" s="41">
        <v>46023</v>
      </c>
    </row>
    <row r="2" spans="1:4" ht="14.4" x14ac:dyDescent="0.3">
      <c r="A2" s="40">
        <v>2</v>
      </c>
      <c r="B2" s="2" t="s">
        <v>14</v>
      </c>
      <c r="C2" s="5">
        <v>2</v>
      </c>
      <c r="D2" s="41">
        <v>46024</v>
      </c>
    </row>
    <row r="3" spans="1:4" ht="14.4" x14ac:dyDescent="0.3">
      <c r="A3" s="40">
        <v>3</v>
      </c>
      <c r="B3" s="2" t="s">
        <v>15</v>
      </c>
      <c r="C3" s="5">
        <v>3</v>
      </c>
      <c r="D3" s="41">
        <v>46025</v>
      </c>
    </row>
    <row r="4" spans="1:4" ht="14.4" x14ac:dyDescent="0.3">
      <c r="A4" s="40">
        <v>4</v>
      </c>
      <c r="B4" s="2" t="s">
        <v>16</v>
      </c>
      <c r="C4" s="5">
        <v>5</v>
      </c>
      <c r="D4" s="41">
        <v>46027</v>
      </c>
    </row>
    <row r="5" spans="1:4" ht="14.4" x14ac:dyDescent="0.3">
      <c r="A5" s="40">
        <v>5</v>
      </c>
      <c r="B5" s="2" t="s">
        <v>17</v>
      </c>
      <c r="C5" s="5">
        <v>6</v>
      </c>
      <c r="D5" s="41">
        <v>46028</v>
      </c>
    </row>
    <row r="6" spans="1:4" ht="14.4" x14ac:dyDescent="0.3">
      <c r="A6" s="40">
        <v>6</v>
      </c>
      <c r="B6" s="2" t="s">
        <v>18</v>
      </c>
      <c r="C6" s="5">
        <v>7</v>
      </c>
      <c r="D6" s="41">
        <v>46029</v>
      </c>
    </row>
    <row r="7" spans="1:4" ht="14.4" x14ac:dyDescent="0.3">
      <c r="A7" s="40">
        <v>7</v>
      </c>
      <c r="B7" s="2" t="s">
        <v>13</v>
      </c>
      <c r="C7" s="5">
        <v>8</v>
      </c>
      <c r="D7" s="41">
        <v>46030</v>
      </c>
    </row>
    <row r="8" spans="1:4" ht="14.4" x14ac:dyDescent="0.3">
      <c r="A8" s="40">
        <v>8</v>
      </c>
      <c r="B8" s="2" t="s">
        <v>14</v>
      </c>
      <c r="C8" s="5">
        <v>9</v>
      </c>
      <c r="D8" s="41">
        <v>46031</v>
      </c>
    </row>
    <row r="9" spans="1:4" ht="14.4" x14ac:dyDescent="0.3">
      <c r="A9" s="40">
        <v>9</v>
      </c>
      <c r="B9" s="2" t="s">
        <v>15</v>
      </c>
      <c r="C9" s="5">
        <v>10</v>
      </c>
      <c r="D9" s="41">
        <v>46032</v>
      </c>
    </row>
    <row r="10" spans="1:4" ht="14.4" x14ac:dyDescent="0.3">
      <c r="A10" s="40">
        <v>10</v>
      </c>
      <c r="B10" s="2" t="s">
        <v>16</v>
      </c>
      <c r="C10" s="6">
        <v>12</v>
      </c>
      <c r="D10" s="41">
        <v>46034</v>
      </c>
    </row>
    <row r="11" spans="1:4" ht="14.4" x14ac:dyDescent="0.3">
      <c r="A11" s="40">
        <v>11</v>
      </c>
      <c r="B11" s="2" t="s">
        <v>17</v>
      </c>
      <c r="C11" s="5">
        <v>13</v>
      </c>
      <c r="D11" s="41">
        <v>46035</v>
      </c>
    </row>
    <row r="12" spans="1:4" ht="14.4" x14ac:dyDescent="0.3">
      <c r="A12" s="40">
        <v>12</v>
      </c>
      <c r="B12" s="2" t="s">
        <v>18</v>
      </c>
      <c r="C12" s="5">
        <v>14</v>
      </c>
      <c r="D12" s="41">
        <v>46036</v>
      </c>
    </row>
    <row r="13" spans="1:4" ht="14.4" x14ac:dyDescent="0.3">
      <c r="A13" s="40">
        <v>13</v>
      </c>
      <c r="B13" s="2" t="s">
        <v>13</v>
      </c>
      <c r="C13" s="5">
        <v>15</v>
      </c>
      <c r="D13" s="41">
        <v>46037</v>
      </c>
    </row>
    <row r="14" spans="1:4" ht="14.4" x14ac:dyDescent="0.3">
      <c r="A14" s="40">
        <v>14</v>
      </c>
      <c r="B14" s="2" t="s">
        <v>14</v>
      </c>
      <c r="C14" s="5">
        <v>16</v>
      </c>
      <c r="D14" s="41">
        <v>46038</v>
      </c>
    </row>
    <row r="15" spans="1:4" ht="14.4" x14ac:dyDescent="0.3">
      <c r="A15" s="40">
        <v>15</v>
      </c>
      <c r="B15" s="2" t="s">
        <v>15</v>
      </c>
      <c r="C15" s="5">
        <v>17</v>
      </c>
      <c r="D15" s="41">
        <v>46039</v>
      </c>
    </row>
    <row r="16" spans="1:4" ht="14.4" x14ac:dyDescent="0.3">
      <c r="A16" s="40">
        <v>16</v>
      </c>
      <c r="B16" s="2" t="s">
        <v>16</v>
      </c>
      <c r="C16" s="5">
        <v>19</v>
      </c>
      <c r="D16" s="41">
        <v>46041</v>
      </c>
    </row>
    <row r="17" spans="1:4" ht="14.4" x14ac:dyDescent="0.3">
      <c r="A17" s="40">
        <v>17</v>
      </c>
      <c r="B17" s="2" t="s">
        <v>17</v>
      </c>
      <c r="C17" s="5">
        <v>20</v>
      </c>
      <c r="D17" s="41">
        <v>46042</v>
      </c>
    </row>
    <row r="18" spans="1:4" ht="14.4" x14ac:dyDescent="0.3">
      <c r="A18" s="40">
        <v>18</v>
      </c>
      <c r="B18" s="2" t="s">
        <v>18</v>
      </c>
      <c r="C18" s="5">
        <v>21</v>
      </c>
      <c r="D18" s="41">
        <v>46043</v>
      </c>
    </row>
    <row r="19" spans="1:4" ht="14.4" x14ac:dyDescent="0.3">
      <c r="A19" s="40">
        <v>19</v>
      </c>
      <c r="B19" s="2" t="s">
        <v>13</v>
      </c>
      <c r="C19" s="5">
        <v>22</v>
      </c>
      <c r="D19" s="41">
        <v>46044</v>
      </c>
    </row>
    <row r="20" spans="1:4" ht="14.4" x14ac:dyDescent="0.3">
      <c r="A20" s="40">
        <v>20</v>
      </c>
      <c r="B20" s="2" t="s">
        <v>14</v>
      </c>
      <c r="C20" s="5">
        <v>23</v>
      </c>
      <c r="D20" s="41">
        <v>46045</v>
      </c>
    </row>
    <row r="21" spans="1:4" ht="15.75" customHeight="1" x14ac:dyDescent="0.3">
      <c r="A21" s="40">
        <v>21</v>
      </c>
      <c r="B21" s="2" t="s">
        <v>15</v>
      </c>
      <c r="C21" s="5">
        <v>24</v>
      </c>
      <c r="D21" s="41">
        <v>46046</v>
      </c>
    </row>
    <row r="22" spans="1:4" ht="15.75" customHeight="1" x14ac:dyDescent="0.3">
      <c r="A22" s="40">
        <v>22</v>
      </c>
      <c r="B22" s="2" t="s">
        <v>16</v>
      </c>
      <c r="C22" s="5">
        <v>26</v>
      </c>
      <c r="D22" s="41">
        <v>46048</v>
      </c>
    </row>
    <row r="23" spans="1:4" ht="15.75" customHeight="1" x14ac:dyDescent="0.3">
      <c r="A23" s="40">
        <v>23</v>
      </c>
      <c r="B23" s="2" t="s">
        <v>17</v>
      </c>
      <c r="C23" s="5">
        <v>27</v>
      </c>
      <c r="D23" s="41">
        <v>46049</v>
      </c>
    </row>
    <row r="24" spans="1:4" ht="15.75" customHeight="1" x14ac:dyDescent="0.3">
      <c r="A24" s="40">
        <v>24</v>
      </c>
      <c r="B24" s="2" t="s">
        <v>18</v>
      </c>
      <c r="C24" s="5">
        <v>28</v>
      </c>
      <c r="D24" s="41">
        <v>46050</v>
      </c>
    </row>
    <row r="25" spans="1:4" ht="15.75" customHeight="1" x14ac:dyDescent="0.3">
      <c r="A25" s="40">
        <v>25</v>
      </c>
      <c r="B25" s="2" t="s">
        <v>13</v>
      </c>
      <c r="C25" s="5">
        <v>29</v>
      </c>
      <c r="D25" s="41">
        <v>46051</v>
      </c>
    </row>
    <row r="26" spans="1:4" ht="15.75" customHeight="1" x14ac:dyDescent="0.3">
      <c r="A26" s="40">
        <v>26</v>
      </c>
      <c r="B26" s="2" t="s">
        <v>14</v>
      </c>
      <c r="C26" s="5">
        <v>30</v>
      </c>
      <c r="D26" s="41">
        <v>46052</v>
      </c>
    </row>
    <row r="27" spans="1:4" ht="15.75" customHeight="1" x14ac:dyDescent="0.3">
      <c r="A27" s="40">
        <v>27</v>
      </c>
      <c r="B27" s="2" t="s">
        <v>15</v>
      </c>
      <c r="C27" s="5">
        <v>31</v>
      </c>
      <c r="D27" s="41">
        <v>46053</v>
      </c>
    </row>
    <row r="28" spans="1:4" ht="15.75" customHeight="1" x14ac:dyDescent="0.3">
      <c r="A28" s="40">
        <v>28</v>
      </c>
      <c r="B28" s="2" t="s">
        <v>16</v>
      </c>
      <c r="C28" s="5">
        <v>2</v>
      </c>
      <c r="D28" s="41">
        <v>46055</v>
      </c>
    </row>
    <row r="29" spans="1:4" ht="15.75" customHeight="1" x14ac:dyDescent="0.3">
      <c r="A29" s="40">
        <v>29</v>
      </c>
      <c r="B29" s="2" t="s">
        <v>17</v>
      </c>
      <c r="C29" s="5">
        <v>3</v>
      </c>
      <c r="D29" s="41">
        <v>46056</v>
      </c>
    </row>
    <row r="30" spans="1:4" ht="15.75" customHeight="1" x14ac:dyDescent="0.3">
      <c r="A30" s="40">
        <v>30</v>
      </c>
      <c r="B30" s="2" t="s">
        <v>18</v>
      </c>
      <c r="C30" s="5">
        <v>4</v>
      </c>
      <c r="D30" s="41">
        <v>46057</v>
      </c>
    </row>
    <row r="31" spans="1:4" ht="15.75" customHeight="1" x14ac:dyDescent="0.3">
      <c r="A31" s="40">
        <v>31</v>
      </c>
      <c r="B31" s="2" t="s">
        <v>13</v>
      </c>
      <c r="C31" s="5">
        <v>5</v>
      </c>
      <c r="D31" s="41">
        <v>46058</v>
      </c>
    </row>
    <row r="32" spans="1:4" ht="15.75" customHeight="1" x14ac:dyDescent="0.3">
      <c r="A32" s="40">
        <v>32</v>
      </c>
      <c r="B32" s="2" t="s">
        <v>14</v>
      </c>
      <c r="C32" s="5">
        <v>6</v>
      </c>
      <c r="D32" s="41">
        <v>46059</v>
      </c>
    </row>
    <row r="33" spans="1:4" ht="15.75" customHeight="1" x14ac:dyDescent="0.3">
      <c r="A33" s="40">
        <v>33</v>
      </c>
      <c r="B33" s="2" t="s">
        <v>15</v>
      </c>
      <c r="C33" s="5">
        <v>7</v>
      </c>
      <c r="D33" s="41">
        <v>46060</v>
      </c>
    </row>
    <row r="34" spans="1:4" ht="15.75" customHeight="1" x14ac:dyDescent="0.3">
      <c r="A34" s="40">
        <v>34</v>
      </c>
      <c r="B34" s="2" t="s">
        <v>16</v>
      </c>
      <c r="C34" s="5">
        <v>9</v>
      </c>
      <c r="D34" s="41">
        <v>46062</v>
      </c>
    </row>
    <row r="35" spans="1:4" ht="15.75" customHeight="1" x14ac:dyDescent="0.3">
      <c r="A35" s="40">
        <v>35</v>
      </c>
      <c r="B35" s="2" t="s">
        <v>17</v>
      </c>
      <c r="C35" s="5">
        <v>10</v>
      </c>
      <c r="D35" s="41">
        <v>46063</v>
      </c>
    </row>
    <row r="36" spans="1:4" ht="15.75" customHeight="1" x14ac:dyDescent="0.3">
      <c r="A36" s="40">
        <v>36</v>
      </c>
      <c r="B36" s="2" t="s">
        <v>18</v>
      </c>
      <c r="C36" s="5">
        <v>11</v>
      </c>
      <c r="D36" s="41">
        <v>46064</v>
      </c>
    </row>
    <row r="37" spans="1:4" ht="15.75" customHeight="1" x14ac:dyDescent="0.3">
      <c r="A37" s="40">
        <v>37</v>
      </c>
      <c r="B37" s="2" t="s">
        <v>13</v>
      </c>
      <c r="C37" s="5">
        <v>12</v>
      </c>
      <c r="D37" s="41">
        <v>46065</v>
      </c>
    </row>
    <row r="38" spans="1:4" ht="15.75" customHeight="1" x14ac:dyDescent="0.3">
      <c r="A38" s="40">
        <v>38</v>
      </c>
      <c r="B38" s="2" t="s">
        <v>14</v>
      </c>
      <c r="C38" s="5">
        <v>13</v>
      </c>
      <c r="D38" s="41">
        <v>46066</v>
      </c>
    </row>
    <row r="39" spans="1:4" ht="15.75" customHeight="1" x14ac:dyDescent="0.3">
      <c r="A39" s="40">
        <v>39</v>
      </c>
      <c r="B39" s="2" t="s">
        <v>15</v>
      </c>
      <c r="C39" s="5">
        <v>14</v>
      </c>
      <c r="D39" s="41">
        <v>46067</v>
      </c>
    </row>
    <row r="40" spans="1:4" ht="15.75" customHeight="1" x14ac:dyDescent="0.3">
      <c r="A40" s="40">
        <v>40</v>
      </c>
      <c r="B40" s="2" t="s">
        <v>16</v>
      </c>
      <c r="C40" s="5">
        <v>16</v>
      </c>
      <c r="D40" s="41">
        <v>46069</v>
      </c>
    </row>
    <row r="41" spans="1:4" ht="15.75" customHeight="1" x14ac:dyDescent="0.3">
      <c r="A41" s="40">
        <v>41</v>
      </c>
      <c r="B41" s="2" t="s">
        <v>17</v>
      </c>
      <c r="C41" s="5">
        <v>17</v>
      </c>
      <c r="D41" s="41">
        <v>46070</v>
      </c>
    </row>
    <row r="42" spans="1:4" ht="15.75" customHeight="1" x14ac:dyDescent="0.3">
      <c r="A42" s="40">
        <v>42</v>
      </c>
      <c r="B42" s="2" t="s">
        <v>18</v>
      </c>
      <c r="C42" s="5">
        <v>18</v>
      </c>
      <c r="D42" s="41">
        <v>46071</v>
      </c>
    </row>
    <row r="43" spans="1:4" ht="15.75" customHeight="1" x14ac:dyDescent="0.3">
      <c r="A43" s="40">
        <v>43</v>
      </c>
      <c r="B43" s="2" t="s">
        <v>13</v>
      </c>
      <c r="C43" s="5">
        <v>19</v>
      </c>
      <c r="D43" s="41">
        <v>46072</v>
      </c>
    </row>
    <row r="44" spans="1:4" ht="15.75" customHeight="1" x14ac:dyDescent="0.3">
      <c r="A44" s="40">
        <v>44</v>
      </c>
      <c r="B44" s="2" t="s">
        <v>14</v>
      </c>
      <c r="C44" s="5">
        <v>20</v>
      </c>
      <c r="D44" s="41">
        <v>46073</v>
      </c>
    </row>
    <row r="45" spans="1:4" ht="15.75" customHeight="1" x14ac:dyDescent="0.3">
      <c r="A45" s="40">
        <v>45</v>
      </c>
      <c r="B45" s="2" t="s">
        <v>15</v>
      </c>
      <c r="C45" s="5">
        <v>21</v>
      </c>
      <c r="D45" s="41">
        <v>46074</v>
      </c>
    </row>
    <row r="46" spans="1:4" ht="15.75" customHeight="1" x14ac:dyDescent="0.3">
      <c r="A46" s="40">
        <v>46</v>
      </c>
      <c r="B46" s="2" t="s">
        <v>16</v>
      </c>
      <c r="C46" s="5">
        <v>23</v>
      </c>
      <c r="D46" s="41">
        <v>46076</v>
      </c>
    </row>
    <row r="47" spans="1:4" ht="15.75" customHeight="1" x14ac:dyDescent="0.3">
      <c r="A47" s="40">
        <v>47</v>
      </c>
      <c r="B47" s="2" t="s">
        <v>17</v>
      </c>
      <c r="C47" s="5">
        <v>24</v>
      </c>
      <c r="D47" s="41">
        <v>46077</v>
      </c>
    </row>
    <row r="48" spans="1:4" ht="15.75" customHeight="1" x14ac:dyDescent="0.3">
      <c r="A48" s="40">
        <v>48</v>
      </c>
      <c r="B48" s="2" t="s">
        <v>18</v>
      </c>
      <c r="C48" s="5">
        <v>25</v>
      </c>
      <c r="D48" s="41">
        <v>46078</v>
      </c>
    </row>
    <row r="49" spans="1:4" ht="15.75" customHeight="1" x14ac:dyDescent="0.3">
      <c r="A49" s="40">
        <v>49</v>
      </c>
      <c r="B49" s="2" t="s">
        <v>13</v>
      </c>
      <c r="C49" s="5">
        <v>26</v>
      </c>
      <c r="D49" s="41">
        <v>46079</v>
      </c>
    </row>
    <row r="50" spans="1:4" ht="15.75" customHeight="1" x14ac:dyDescent="0.3">
      <c r="A50" s="40">
        <v>50</v>
      </c>
      <c r="B50" s="2" t="s">
        <v>14</v>
      </c>
      <c r="C50" s="5">
        <v>27</v>
      </c>
      <c r="D50" s="41">
        <v>46080</v>
      </c>
    </row>
    <row r="51" spans="1:4" ht="15.75" customHeight="1" x14ac:dyDescent="0.3">
      <c r="A51" s="40">
        <v>51</v>
      </c>
      <c r="B51" s="2" t="s">
        <v>15</v>
      </c>
      <c r="C51" s="5">
        <v>28</v>
      </c>
      <c r="D51" s="41">
        <v>46081</v>
      </c>
    </row>
    <row r="52" spans="1:4" ht="15.75" customHeight="1" x14ac:dyDescent="0.3">
      <c r="A52" s="40">
        <v>52</v>
      </c>
      <c r="B52" s="2" t="s">
        <v>16</v>
      </c>
      <c r="C52" s="5">
        <v>2</v>
      </c>
      <c r="D52" s="41">
        <v>46083</v>
      </c>
    </row>
    <row r="53" spans="1:4" ht="15.75" customHeight="1" x14ac:dyDescent="0.3">
      <c r="A53" s="40">
        <v>53</v>
      </c>
      <c r="B53" s="2" t="s">
        <v>17</v>
      </c>
      <c r="C53" s="5">
        <v>3</v>
      </c>
      <c r="D53" s="41">
        <v>46084</v>
      </c>
    </row>
    <row r="54" spans="1:4" ht="15.75" customHeight="1" x14ac:dyDescent="0.3">
      <c r="A54" s="40">
        <v>54</v>
      </c>
      <c r="B54" s="2" t="s">
        <v>18</v>
      </c>
      <c r="C54" s="5">
        <v>4</v>
      </c>
      <c r="D54" s="41">
        <v>46085</v>
      </c>
    </row>
    <row r="55" spans="1:4" ht="15.75" customHeight="1" x14ac:dyDescent="0.3">
      <c r="A55" s="40">
        <v>55</v>
      </c>
      <c r="B55" s="2" t="s">
        <v>13</v>
      </c>
      <c r="C55" s="5">
        <v>5</v>
      </c>
      <c r="D55" s="41">
        <v>46086</v>
      </c>
    </row>
    <row r="56" spans="1:4" ht="15.75" customHeight="1" x14ac:dyDescent="0.3">
      <c r="A56" s="40">
        <v>56</v>
      </c>
      <c r="B56" s="2" t="s">
        <v>14</v>
      </c>
      <c r="C56" s="5">
        <v>6</v>
      </c>
      <c r="D56" s="41">
        <v>46087</v>
      </c>
    </row>
    <row r="57" spans="1:4" ht="15.75" customHeight="1" x14ac:dyDescent="0.3">
      <c r="A57" s="40">
        <v>57</v>
      </c>
      <c r="B57" s="2" t="s">
        <v>15</v>
      </c>
      <c r="C57" s="5">
        <v>7</v>
      </c>
      <c r="D57" s="41">
        <v>46088</v>
      </c>
    </row>
    <row r="58" spans="1:4" ht="15.75" customHeight="1" x14ac:dyDescent="0.3">
      <c r="A58" s="40">
        <v>58</v>
      </c>
      <c r="B58" s="2" t="s">
        <v>16</v>
      </c>
      <c r="C58" s="5">
        <v>9</v>
      </c>
      <c r="D58" s="41">
        <v>46090</v>
      </c>
    </row>
    <row r="59" spans="1:4" ht="15.75" customHeight="1" x14ac:dyDescent="0.3">
      <c r="A59" s="40">
        <v>59</v>
      </c>
      <c r="B59" s="2" t="s">
        <v>17</v>
      </c>
      <c r="C59" s="5">
        <v>10</v>
      </c>
      <c r="D59" s="41">
        <v>46091</v>
      </c>
    </row>
    <row r="60" spans="1:4" ht="15.75" customHeight="1" x14ac:dyDescent="0.3">
      <c r="A60" s="40">
        <v>60</v>
      </c>
      <c r="B60" s="2" t="s">
        <v>18</v>
      </c>
      <c r="C60" s="5">
        <v>11</v>
      </c>
      <c r="D60" s="41">
        <v>46092</v>
      </c>
    </row>
    <row r="61" spans="1:4" ht="15.75" customHeight="1" x14ac:dyDescent="0.3">
      <c r="A61" s="40">
        <v>61</v>
      </c>
      <c r="B61" s="2" t="s">
        <v>13</v>
      </c>
      <c r="C61" s="5">
        <v>12</v>
      </c>
      <c r="D61" s="41">
        <v>46093</v>
      </c>
    </row>
    <row r="62" spans="1:4" ht="15.75" customHeight="1" x14ac:dyDescent="0.3">
      <c r="A62" s="40">
        <v>62</v>
      </c>
      <c r="B62" s="2" t="s">
        <v>14</v>
      </c>
      <c r="C62" s="5">
        <v>13</v>
      </c>
      <c r="D62" s="41">
        <v>46094</v>
      </c>
    </row>
    <row r="63" spans="1:4" ht="15.75" customHeight="1" x14ac:dyDescent="0.3">
      <c r="A63" s="40">
        <v>63</v>
      </c>
      <c r="B63" s="2" t="s">
        <v>15</v>
      </c>
      <c r="C63" s="5">
        <v>14</v>
      </c>
      <c r="D63" s="41">
        <v>46095</v>
      </c>
    </row>
    <row r="64" spans="1:4" ht="15.75" customHeight="1" x14ac:dyDescent="0.3">
      <c r="A64" s="40">
        <v>64</v>
      </c>
      <c r="B64" s="2" t="s">
        <v>16</v>
      </c>
      <c r="C64" s="5">
        <v>16</v>
      </c>
      <c r="D64" s="41">
        <v>46097</v>
      </c>
    </row>
    <row r="65" spans="1:4" ht="15.75" customHeight="1" x14ac:dyDescent="0.3">
      <c r="A65" s="40">
        <v>65</v>
      </c>
      <c r="B65" s="2" t="s">
        <v>17</v>
      </c>
      <c r="C65" s="5">
        <v>17</v>
      </c>
      <c r="D65" s="41">
        <v>46098</v>
      </c>
    </row>
    <row r="66" spans="1:4" ht="15.75" customHeight="1" x14ac:dyDescent="0.3">
      <c r="A66" s="40">
        <v>66</v>
      </c>
      <c r="B66" s="2" t="s">
        <v>18</v>
      </c>
      <c r="C66" s="5">
        <v>18</v>
      </c>
      <c r="D66" s="41">
        <v>46099</v>
      </c>
    </row>
    <row r="67" spans="1:4" ht="15.75" customHeight="1" x14ac:dyDescent="0.3">
      <c r="A67" s="40">
        <v>67</v>
      </c>
      <c r="B67" s="2" t="s">
        <v>13</v>
      </c>
      <c r="C67" s="5">
        <v>19</v>
      </c>
      <c r="D67" s="41">
        <v>46100</v>
      </c>
    </row>
    <row r="68" spans="1:4" ht="15.75" customHeight="1" x14ac:dyDescent="0.3">
      <c r="A68" s="40">
        <v>68</v>
      </c>
      <c r="B68" s="2" t="s">
        <v>14</v>
      </c>
      <c r="C68" s="5">
        <v>20</v>
      </c>
      <c r="D68" s="41">
        <v>46101</v>
      </c>
    </row>
    <row r="69" spans="1:4" ht="15.75" customHeight="1" x14ac:dyDescent="0.3">
      <c r="A69" s="40">
        <v>69</v>
      </c>
      <c r="B69" s="2" t="s">
        <v>15</v>
      </c>
      <c r="C69" s="5">
        <v>21</v>
      </c>
      <c r="D69" s="41">
        <v>46102</v>
      </c>
    </row>
    <row r="70" spans="1:4" ht="15.75" customHeight="1" x14ac:dyDescent="0.3">
      <c r="A70" s="40">
        <v>70</v>
      </c>
      <c r="B70" s="2" t="s">
        <v>16</v>
      </c>
      <c r="C70" s="6">
        <v>23</v>
      </c>
      <c r="D70" s="41">
        <v>46104</v>
      </c>
    </row>
    <row r="71" spans="1:4" ht="15.75" customHeight="1" x14ac:dyDescent="0.3">
      <c r="A71" s="40">
        <v>71</v>
      </c>
      <c r="B71" s="2" t="s">
        <v>17</v>
      </c>
      <c r="C71" s="5">
        <v>24</v>
      </c>
      <c r="D71" s="41">
        <v>46105</v>
      </c>
    </row>
    <row r="72" spans="1:4" ht="15.75" customHeight="1" x14ac:dyDescent="0.3">
      <c r="A72" s="40">
        <v>72</v>
      </c>
      <c r="B72" s="2" t="s">
        <v>18</v>
      </c>
      <c r="C72" s="5">
        <v>25</v>
      </c>
      <c r="D72" s="41">
        <v>46106</v>
      </c>
    </row>
    <row r="73" spans="1:4" ht="15.75" customHeight="1" x14ac:dyDescent="0.3">
      <c r="A73" s="40">
        <v>73</v>
      </c>
      <c r="B73" s="2" t="s">
        <v>13</v>
      </c>
      <c r="C73" s="5">
        <v>26</v>
      </c>
      <c r="D73" s="41">
        <v>46107</v>
      </c>
    </row>
    <row r="74" spans="1:4" ht="15.75" customHeight="1" x14ac:dyDescent="0.3">
      <c r="A74" s="40">
        <v>74</v>
      </c>
      <c r="B74" s="2" t="s">
        <v>14</v>
      </c>
      <c r="C74" s="5">
        <v>27</v>
      </c>
      <c r="D74" s="41">
        <v>46108</v>
      </c>
    </row>
    <row r="75" spans="1:4" ht="15.75" customHeight="1" x14ac:dyDescent="0.3">
      <c r="A75" s="40">
        <v>75</v>
      </c>
      <c r="B75" s="2" t="s">
        <v>15</v>
      </c>
      <c r="C75" s="5">
        <v>28</v>
      </c>
      <c r="D75" s="41">
        <v>46109</v>
      </c>
    </row>
    <row r="76" spans="1:4" ht="15.75" customHeight="1" x14ac:dyDescent="0.3">
      <c r="A76" s="40">
        <v>76</v>
      </c>
      <c r="B76" s="2" t="s">
        <v>16</v>
      </c>
      <c r="C76" s="5">
        <v>30</v>
      </c>
      <c r="D76" s="41">
        <v>46111</v>
      </c>
    </row>
    <row r="77" spans="1:4" ht="15.75" customHeight="1" x14ac:dyDescent="0.3">
      <c r="A77" s="40">
        <v>77</v>
      </c>
      <c r="B77" s="2" t="s">
        <v>17</v>
      </c>
      <c r="C77" s="5">
        <v>31</v>
      </c>
      <c r="D77" s="41">
        <v>46112</v>
      </c>
    </row>
    <row r="78" spans="1:4" ht="15.75" customHeight="1" x14ac:dyDescent="0.3">
      <c r="A78" s="40">
        <v>78</v>
      </c>
      <c r="B78" s="2" t="s">
        <v>18</v>
      </c>
      <c r="C78" s="5">
        <v>1</v>
      </c>
      <c r="D78" s="41">
        <v>46113</v>
      </c>
    </row>
    <row r="79" spans="1:4" ht="15.75" customHeight="1" x14ac:dyDescent="0.3">
      <c r="A79" s="40">
        <v>79</v>
      </c>
      <c r="B79" s="2" t="s">
        <v>13</v>
      </c>
      <c r="C79" s="6">
        <v>2</v>
      </c>
      <c r="D79" s="41">
        <v>46114</v>
      </c>
    </row>
    <row r="80" spans="1:4" ht="15.75" customHeight="1" x14ac:dyDescent="0.3">
      <c r="A80" s="40">
        <v>80</v>
      </c>
      <c r="B80" s="2" t="s">
        <v>14</v>
      </c>
      <c r="C80" s="6">
        <v>3</v>
      </c>
      <c r="D80" s="41">
        <v>46115</v>
      </c>
    </row>
    <row r="81" spans="1:4" ht="15.75" customHeight="1" x14ac:dyDescent="0.3">
      <c r="A81" s="40">
        <v>81</v>
      </c>
      <c r="B81" s="2" t="s">
        <v>15</v>
      </c>
      <c r="C81" s="5">
        <v>4</v>
      </c>
      <c r="D81" s="41">
        <v>46116</v>
      </c>
    </row>
    <row r="82" spans="1:4" ht="15.75" customHeight="1" x14ac:dyDescent="0.3">
      <c r="A82" s="40">
        <v>82</v>
      </c>
      <c r="B82" s="2" t="s">
        <v>16</v>
      </c>
      <c r="C82" s="5">
        <v>6</v>
      </c>
      <c r="D82" s="41">
        <v>46118</v>
      </c>
    </row>
    <row r="83" spans="1:4" ht="15.75" customHeight="1" x14ac:dyDescent="0.3">
      <c r="A83" s="40">
        <v>83</v>
      </c>
      <c r="B83" s="2" t="s">
        <v>17</v>
      </c>
      <c r="C83" s="5">
        <v>7</v>
      </c>
      <c r="D83" s="41">
        <v>46119</v>
      </c>
    </row>
    <row r="84" spans="1:4" ht="15.75" customHeight="1" x14ac:dyDescent="0.3">
      <c r="A84" s="40">
        <v>84</v>
      </c>
      <c r="B84" s="2" t="s">
        <v>18</v>
      </c>
      <c r="C84" s="5">
        <v>8</v>
      </c>
      <c r="D84" s="41">
        <v>46120</v>
      </c>
    </row>
    <row r="85" spans="1:4" ht="15.75" customHeight="1" x14ac:dyDescent="0.3">
      <c r="A85" s="40">
        <v>85</v>
      </c>
      <c r="B85" s="2" t="s">
        <v>13</v>
      </c>
      <c r="C85" s="5">
        <v>9</v>
      </c>
      <c r="D85" s="41">
        <v>46121</v>
      </c>
    </row>
    <row r="86" spans="1:4" ht="15.75" customHeight="1" x14ac:dyDescent="0.3">
      <c r="A86" s="40">
        <v>86</v>
      </c>
      <c r="B86" s="2" t="s">
        <v>14</v>
      </c>
      <c r="C86" s="5">
        <v>10</v>
      </c>
      <c r="D86" s="41">
        <v>46122</v>
      </c>
    </row>
    <row r="87" spans="1:4" ht="15.75" customHeight="1" x14ac:dyDescent="0.3">
      <c r="A87" s="40">
        <v>87</v>
      </c>
      <c r="B87" s="2" t="s">
        <v>15</v>
      </c>
      <c r="C87" s="5">
        <v>11</v>
      </c>
      <c r="D87" s="41">
        <v>46123</v>
      </c>
    </row>
    <row r="88" spans="1:4" ht="15.75" customHeight="1" x14ac:dyDescent="0.3">
      <c r="A88" s="40">
        <v>88</v>
      </c>
      <c r="B88" s="2" t="s">
        <v>16</v>
      </c>
      <c r="C88" s="5">
        <v>13</v>
      </c>
      <c r="D88" s="41">
        <v>46125</v>
      </c>
    </row>
    <row r="89" spans="1:4" ht="15.75" customHeight="1" x14ac:dyDescent="0.3">
      <c r="A89" s="40">
        <v>89</v>
      </c>
      <c r="B89" s="2" t="s">
        <v>17</v>
      </c>
      <c r="C89" s="5">
        <v>14</v>
      </c>
      <c r="D89" s="41">
        <v>46126</v>
      </c>
    </row>
    <row r="90" spans="1:4" ht="15.75" customHeight="1" x14ac:dyDescent="0.3">
      <c r="A90" s="40">
        <v>90</v>
      </c>
      <c r="B90" s="2" t="s">
        <v>18</v>
      </c>
      <c r="C90" s="5">
        <v>15</v>
      </c>
      <c r="D90" s="41">
        <v>46127</v>
      </c>
    </row>
    <row r="91" spans="1:4" ht="15.75" customHeight="1" x14ac:dyDescent="0.3">
      <c r="A91" s="40">
        <v>91</v>
      </c>
      <c r="B91" s="2" t="s">
        <v>13</v>
      </c>
      <c r="C91" s="5">
        <v>16</v>
      </c>
      <c r="D91" s="41">
        <v>46128</v>
      </c>
    </row>
    <row r="92" spans="1:4" ht="15.75" customHeight="1" x14ac:dyDescent="0.3">
      <c r="A92" s="40">
        <v>92</v>
      </c>
      <c r="B92" s="2" t="s">
        <v>14</v>
      </c>
      <c r="C92" s="5">
        <v>17</v>
      </c>
      <c r="D92" s="41">
        <v>46129</v>
      </c>
    </row>
    <row r="93" spans="1:4" ht="15.75" customHeight="1" x14ac:dyDescent="0.3">
      <c r="A93" s="40">
        <v>93</v>
      </c>
      <c r="B93" s="2" t="s">
        <v>15</v>
      </c>
      <c r="C93" s="5">
        <v>18</v>
      </c>
      <c r="D93" s="41">
        <v>46130</v>
      </c>
    </row>
    <row r="94" spans="1:4" ht="15.75" customHeight="1" x14ac:dyDescent="0.3">
      <c r="A94" s="40">
        <v>94</v>
      </c>
      <c r="B94" s="2" t="s">
        <v>16</v>
      </c>
      <c r="C94" s="5">
        <v>20</v>
      </c>
      <c r="D94" s="41">
        <v>46132</v>
      </c>
    </row>
    <row r="95" spans="1:4" ht="15.75" customHeight="1" x14ac:dyDescent="0.3">
      <c r="A95" s="40">
        <v>95</v>
      </c>
      <c r="B95" s="2" t="s">
        <v>17</v>
      </c>
      <c r="C95" s="5">
        <v>21</v>
      </c>
      <c r="D95" s="41">
        <v>46133</v>
      </c>
    </row>
    <row r="96" spans="1:4" ht="15.75" customHeight="1" x14ac:dyDescent="0.3">
      <c r="A96" s="40">
        <v>96</v>
      </c>
      <c r="B96" s="2" t="s">
        <v>18</v>
      </c>
      <c r="C96" s="5">
        <v>22</v>
      </c>
      <c r="D96" s="41">
        <v>46134</v>
      </c>
    </row>
    <row r="97" spans="1:4" ht="15.75" customHeight="1" x14ac:dyDescent="0.3">
      <c r="A97" s="40">
        <v>97</v>
      </c>
      <c r="B97" s="2" t="s">
        <v>13</v>
      </c>
      <c r="C97" s="5">
        <v>23</v>
      </c>
      <c r="D97" s="41">
        <v>46135</v>
      </c>
    </row>
    <row r="98" spans="1:4" ht="15.75" customHeight="1" x14ac:dyDescent="0.3">
      <c r="A98" s="40">
        <v>98</v>
      </c>
      <c r="B98" s="2" t="s">
        <v>14</v>
      </c>
      <c r="C98" s="5">
        <v>24</v>
      </c>
      <c r="D98" s="41">
        <v>46136</v>
      </c>
    </row>
    <row r="99" spans="1:4" ht="15.75" customHeight="1" x14ac:dyDescent="0.3">
      <c r="A99" s="40">
        <v>99</v>
      </c>
      <c r="B99" s="2" t="s">
        <v>15</v>
      </c>
      <c r="C99" s="5">
        <v>25</v>
      </c>
      <c r="D99" s="41">
        <v>46137</v>
      </c>
    </row>
    <row r="100" spans="1:4" ht="15.75" customHeight="1" x14ac:dyDescent="0.3">
      <c r="A100" s="40">
        <v>100</v>
      </c>
      <c r="B100" s="2" t="s">
        <v>16</v>
      </c>
      <c r="C100" s="5">
        <v>27</v>
      </c>
      <c r="D100" s="41">
        <v>46139</v>
      </c>
    </row>
    <row r="101" spans="1:4" ht="15.75" customHeight="1" x14ac:dyDescent="0.3">
      <c r="A101" s="40">
        <v>101</v>
      </c>
      <c r="B101" s="2" t="s">
        <v>17</v>
      </c>
      <c r="C101" s="5">
        <v>28</v>
      </c>
      <c r="D101" s="41">
        <v>46140</v>
      </c>
    </row>
    <row r="102" spans="1:4" ht="15.75" customHeight="1" x14ac:dyDescent="0.3">
      <c r="A102" s="40">
        <v>102</v>
      </c>
      <c r="B102" s="2" t="s">
        <v>18</v>
      </c>
      <c r="C102" s="5">
        <v>29</v>
      </c>
      <c r="D102" s="41">
        <v>46141</v>
      </c>
    </row>
    <row r="103" spans="1:4" ht="15.75" customHeight="1" x14ac:dyDescent="0.3">
      <c r="A103" s="40">
        <v>103</v>
      </c>
      <c r="B103" s="2" t="s">
        <v>13</v>
      </c>
      <c r="C103" s="5">
        <v>30</v>
      </c>
      <c r="D103" s="41">
        <v>46142</v>
      </c>
    </row>
    <row r="104" spans="1:4" ht="15.75" customHeight="1" x14ac:dyDescent="0.3">
      <c r="A104" s="40">
        <v>104</v>
      </c>
      <c r="B104" s="2" t="s">
        <v>14</v>
      </c>
      <c r="C104" s="6">
        <v>1</v>
      </c>
      <c r="D104" s="41">
        <v>46143</v>
      </c>
    </row>
    <row r="105" spans="1:4" ht="15.75" customHeight="1" x14ac:dyDescent="0.3">
      <c r="A105" s="40">
        <v>105</v>
      </c>
      <c r="B105" s="2" t="s">
        <v>15</v>
      </c>
      <c r="C105" s="5">
        <v>2</v>
      </c>
      <c r="D105" s="41">
        <v>46144</v>
      </c>
    </row>
    <row r="106" spans="1:4" ht="15.75" customHeight="1" x14ac:dyDescent="0.3">
      <c r="A106" s="40">
        <v>106</v>
      </c>
      <c r="B106" s="2" t="s">
        <v>16</v>
      </c>
      <c r="C106" s="5">
        <v>4</v>
      </c>
      <c r="D106" s="41">
        <v>46146</v>
      </c>
    </row>
    <row r="107" spans="1:4" ht="15.75" customHeight="1" x14ac:dyDescent="0.3">
      <c r="A107" s="40">
        <v>107</v>
      </c>
      <c r="B107" s="2" t="s">
        <v>17</v>
      </c>
      <c r="C107" s="5">
        <v>5</v>
      </c>
      <c r="D107" s="41">
        <v>46147</v>
      </c>
    </row>
    <row r="108" spans="1:4" ht="15.75" customHeight="1" x14ac:dyDescent="0.3">
      <c r="A108" s="40">
        <v>108</v>
      </c>
      <c r="B108" s="2" t="s">
        <v>18</v>
      </c>
      <c r="C108" s="5">
        <v>6</v>
      </c>
      <c r="D108" s="41">
        <v>46148</v>
      </c>
    </row>
    <row r="109" spans="1:4" ht="15.75" customHeight="1" x14ac:dyDescent="0.3">
      <c r="A109" s="40">
        <v>109</v>
      </c>
      <c r="B109" s="2" t="s">
        <v>13</v>
      </c>
      <c r="C109" s="5">
        <v>7</v>
      </c>
      <c r="D109" s="41">
        <v>46149</v>
      </c>
    </row>
    <row r="110" spans="1:4" ht="15.75" customHeight="1" x14ac:dyDescent="0.3">
      <c r="A110" s="40">
        <v>110</v>
      </c>
      <c r="B110" s="2" t="s">
        <v>14</v>
      </c>
      <c r="C110" s="5">
        <v>8</v>
      </c>
      <c r="D110" s="41">
        <v>46150</v>
      </c>
    </row>
    <row r="111" spans="1:4" ht="15.75" customHeight="1" x14ac:dyDescent="0.3">
      <c r="A111" s="40">
        <v>111</v>
      </c>
      <c r="B111" s="2" t="s">
        <v>15</v>
      </c>
      <c r="C111" s="5">
        <v>9</v>
      </c>
      <c r="D111" s="41">
        <v>46151</v>
      </c>
    </row>
    <row r="112" spans="1:4" ht="15.75" customHeight="1" x14ac:dyDescent="0.3">
      <c r="A112" s="40">
        <v>112</v>
      </c>
      <c r="B112" s="2" t="s">
        <v>16</v>
      </c>
      <c r="C112" s="5">
        <v>11</v>
      </c>
      <c r="D112" s="41">
        <v>46153</v>
      </c>
    </row>
    <row r="113" spans="1:4" ht="15.75" customHeight="1" x14ac:dyDescent="0.3">
      <c r="A113" s="40">
        <v>113</v>
      </c>
      <c r="B113" s="2" t="s">
        <v>17</v>
      </c>
      <c r="C113" s="5">
        <v>12</v>
      </c>
      <c r="D113" s="41">
        <v>46154</v>
      </c>
    </row>
    <row r="114" spans="1:4" ht="15.75" customHeight="1" x14ac:dyDescent="0.3">
      <c r="A114" s="40">
        <v>114</v>
      </c>
      <c r="B114" s="2" t="s">
        <v>18</v>
      </c>
      <c r="C114" s="5">
        <v>13</v>
      </c>
      <c r="D114" s="41">
        <v>46155</v>
      </c>
    </row>
    <row r="115" spans="1:4" ht="15.75" customHeight="1" x14ac:dyDescent="0.3">
      <c r="A115" s="40">
        <v>115</v>
      </c>
      <c r="B115" s="2" t="s">
        <v>13</v>
      </c>
      <c r="C115" s="5">
        <v>14</v>
      </c>
      <c r="D115" s="41">
        <v>46156</v>
      </c>
    </row>
    <row r="116" spans="1:4" ht="15.75" customHeight="1" x14ac:dyDescent="0.3">
      <c r="A116" s="40">
        <v>116</v>
      </c>
      <c r="B116" s="2" t="s">
        <v>14</v>
      </c>
      <c r="C116" s="5">
        <v>15</v>
      </c>
      <c r="D116" s="41">
        <v>46157</v>
      </c>
    </row>
    <row r="117" spans="1:4" ht="15.75" customHeight="1" x14ac:dyDescent="0.3">
      <c r="A117" s="40">
        <v>117</v>
      </c>
      <c r="B117" s="2" t="s">
        <v>15</v>
      </c>
      <c r="C117" s="5">
        <v>16</v>
      </c>
      <c r="D117" s="41">
        <v>46158</v>
      </c>
    </row>
    <row r="118" spans="1:4" ht="15.75" customHeight="1" x14ac:dyDescent="0.3">
      <c r="A118" s="40">
        <v>118</v>
      </c>
      <c r="B118" s="2" t="s">
        <v>16</v>
      </c>
      <c r="C118" s="6">
        <v>18</v>
      </c>
      <c r="D118" s="41">
        <v>46160</v>
      </c>
    </row>
    <row r="119" spans="1:4" ht="15.75" customHeight="1" x14ac:dyDescent="0.3">
      <c r="A119" s="40">
        <v>119</v>
      </c>
      <c r="B119" s="2" t="s">
        <v>17</v>
      </c>
      <c r="C119" s="5">
        <v>19</v>
      </c>
      <c r="D119" s="41">
        <v>46161</v>
      </c>
    </row>
    <row r="120" spans="1:4" ht="15.75" customHeight="1" x14ac:dyDescent="0.3">
      <c r="A120" s="40">
        <v>120</v>
      </c>
      <c r="B120" s="2" t="s">
        <v>18</v>
      </c>
      <c r="C120" s="5">
        <v>20</v>
      </c>
      <c r="D120" s="41">
        <v>46162</v>
      </c>
    </row>
    <row r="121" spans="1:4" ht="15.75" customHeight="1" x14ac:dyDescent="0.3">
      <c r="A121" s="40">
        <v>121</v>
      </c>
      <c r="B121" s="2" t="s">
        <v>13</v>
      </c>
      <c r="C121" s="5">
        <v>21</v>
      </c>
      <c r="D121" s="41">
        <v>46163</v>
      </c>
    </row>
    <row r="122" spans="1:4" ht="15.75" customHeight="1" x14ac:dyDescent="0.3">
      <c r="A122" s="40">
        <v>122</v>
      </c>
      <c r="B122" s="2" t="s">
        <v>14</v>
      </c>
      <c r="C122" s="5">
        <v>22</v>
      </c>
      <c r="D122" s="41">
        <v>46164</v>
      </c>
    </row>
    <row r="123" spans="1:4" ht="15.75" customHeight="1" x14ac:dyDescent="0.3">
      <c r="A123" s="40">
        <v>123</v>
      </c>
      <c r="B123" s="2" t="s">
        <v>15</v>
      </c>
      <c r="C123" s="5">
        <v>23</v>
      </c>
      <c r="D123" s="41">
        <v>46165</v>
      </c>
    </row>
    <row r="124" spans="1:4" ht="15.75" customHeight="1" x14ac:dyDescent="0.3">
      <c r="A124" s="40">
        <v>124</v>
      </c>
      <c r="B124" s="2" t="s">
        <v>16</v>
      </c>
      <c r="C124" s="5">
        <v>25</v>
      </c>
      <c r="D124" s="41">
        <v>46167</v>
      </c>
    </row>
    <row r="125" spans="1:4" ht="15.75" customHeight="1" x14ac:dyDescent="0.3">
      <c r="A125" s="40">
        <v>125</v>
      </c>
      <c r="B125" s="2" t="s">
        <v>17</v>
      </c>
      <c r="C125" s="5">
        <v>26</v>
      </c>
      <c r="D125" s="41">
        <v>46168</v>
      </c>
    </row>
    <row r="126" spans="1:4" ht="15.75" customHeight="1" x14ac:dyDescent="0.3">
      <c r="A126" s="40">
        <v>126</v>
      </c>
      <c r="B126" s="2" t="s">
        <v>18</v>
      </c>
      <c r="C126" s="5">
        <v>27</v>
      </c>
      <c r="D126" s="41">
        <v>46169</v>
      </c>
    </row>
    <row r="127" spans="1:4" ht="15.75" customHeight="1" x14ac:dyDescent="0.3">
      <c r="A127" s="40">
        <v>127</v>
      </c>
      <c r="B127" s="2" t="s">
        <v>13</v>
      </c>
      <c r="C127" s="5">
        <v>28</v>
      </c>
      <c r="D127" s="41">
        <v>46170</v>
      </c>
    </row>
    <row r="128" spans="1:4" ht="15.75" customHeight="1" x14ac:dyDescent="0.3">
      <c r="A128" s="40">
        <v>128</v>
      </c>
      <c r="B128" s="2" t="s">
        <v>14</v>
      </c>
      <c r="C128" s="5">
        <v>29</v>
      </c>
      <c r="D128" s="41">
        <v>46171</v>
      </c>
    </row>
    <row r="129" spans="1:4" ht="15.75" customHeight="1" x14ac:dyDescent="0.3">
      <c r="A129" s="40">
        <v>129</v>
      </c>
      <c r="B129" s="2" t="s">
        <v>15</v>
      </c>
      <c r="C129" s="5">
        <v>30</v>
      </c>
      <c r="D129" s="41">
        <v>46172</v>
      </c>
    </row>
    <row r="130" spans="1:4" ht="15.75" customHeight="1" x14ac:dyDescent="0.3">
      <c r="A130" s="40">
        <v>130</v>
      </c>
      <c r="B130" s="2" t="s">
        <v>16</v>
      </c>
      <c r="C130" s="5">
        <v>1</v>
      </c>
      <c r="D130" s="41">
        <v>46174</v>
      </c>
    </row>
    <row r="131" spans="1:4" ht="15.75" customHeight="1" x14ac:dyDescent="0.3">
      <c r="A131" s="40">
        <v>131</v>
      </c>
      <c r="B131" s="2" t="s">
        <v>17</v>
      </c>
      <c r="C131" s="5">
        <v>2</v>
      </c>
      <c r="D131" s="41">
        <v>46175</v>
      </c>
    </row>
    <row r="132" spans="1:4" ht="15.75" customHeight="1" x14ac:dyDescent="0.3">
      <c r="A132" s="40">
        <v>132</v>
      </c>
      <c r="B132" s="2" t="s">
        <v>18</v>
      </c>
      <c r="C132" s="5">
        <v>3</v>
      </c>
      <c r="D132" s="41">
        <v>46176</v>
      </c>
    </row>
    <row r="133" spans="1:4" ht="15.75" customHeight="1" x14ac:dyDescent="0.3">
      <c r="A133" s="40">
        <v>133</v>
      </c>
      <c r="B133" s="2" t="s">
        <v>13</v>
      </c>
      <c r="C133" s="5">
        <v>4</v>
      </c>
      <c r="D133" s="41">
        <v>46177</v>
      </c>
    </row>
    <row r="134" spans="1:4" ht="15.75" customHeight="1" x14ac:dyDescent="0.3">
      <c r="A134" s="40">
        <v>134</v>
      </c>
      <c r="B134" s="2" t="s">
        <v>14</v>
      </c>
      <c r="C134" s="5">
        <v>5</v>
      </c>
      <c r="D134" s="41">
        <v>46178</v>
      </c>
    </row>
    <row r="135" spans="1:4" ht="15.75" customHeight="1" x14ac:dyDescent="0.3">
      <c r="A135" s="40">
        <v>135</v>
      </c>
      <c r="B135" s="2" t="s">
        <v>15</v>
      </c>
      <c r="C135" s="5">
        <v>6</v>
      </c>
      <c r="D135" s="41">
        <v>46179</v>
      </c>
    </row>
    <row r="136" spans="1:4" ht="15.75" customHeight="1" x14ac:dyDescent="0.3">
      <c r="A136" s="40">
        <v>136</v>
      </c>
      <c r="B136" s="2" t="s">
        <v>16</v>
      </c>
      <c r="C136" s="6">
        <v>8</v>
      </c>
      <c r="D136" s="41">
        <v>46181</v>
      </c>
    </row>
    <row r="137" spans="1:4" ht="15.75" customHeight="1" x14ac:dyDescent="0.3">
      <c r="A137" s="40">
        <v>137</v>
      </c>
      <c r="B137" s="2" t="s">
        <v>17</v>
      </c>
      <c r="C137" s="5">
        <v>9</v>
      </c>
      <c r="D137" s="41">
        <v>46182</v>
      </c>
    </row>
    <row r="138" spans="1:4" ht="15.75" customHeight="1" x14ac:dyDescent="0.3">
      <c r="A138" s="40">
        <v>138</v>
      </c>
      <c r="B138" s="2" t="s">
        <v>18</v>
      </c>
      <c r="C138" s="5">
        <v>10</v>
      </c>
      <c r="D138" s="41">
        <v>46183</v>
      </c>
    </row>
    <row r="139" spans="1:4" ht="15.75" customHeight="1" x14ac:dyDescent="0.3">
      <c r="A139" s="40">
        <v>139</v>
      </c>
      <c r="B139" s="2" t="s">
        <v>13</v>
      </c>
      <c r="C139" s="5">
        <v>11</v>
      </c>
      <c r="D139" s="41">
        <v>46184</v>
      </c>
    </row>
    <row r="140" spans="1:4" ht="15.75" customHeight="1" x14ac:dyDescent="0.3">
      <c r="A140" s="40">
        <v>140</v>
      </c>
      <c r="B140" s="2" t="s">
        <v>14</v>
      </c>
      <c r="C140" s="5">
        <v>12</v>
      </c>
      <c r="D140" s="41">
        <v>46185</v>
      </c>
    </row>
    <row r="141" spans="1:4" ht="15.75" customHeight="1" x14ac:dyDescent="0.3">
      <c r="A141" s="40">
        <v>141</v>
      </c>
      <c r="B141" s="2" t="s">
        <v>15</v>
      </c>
      <c r="C141" s="5">
        <v>13</v>
      </c>
      <c r="D141" s="41">
        <v>46186</v>
      </c>
    </row>
    <row r="142" spans="1:4" ht="15.75" customHeight="1" x14ac:dyDescent="0.3">
      <c r="A142" s="40">
        <v>142</v>
      </c>
      <c r="B142" s="2" t="s">
        <v>16</v>
      </c>
      <c r="C142" s="6">
        <v>15</v>
      </c>
      <c r="D142" s="41">
        <v>46188</v>
      </c>
    </row>
    <row r="143" spans="1:4" ht="15.75" customHeight="1" x14ac:dyDescent="0.3">
      <c r="A143" s="40">
        <v>143</v>
      </c>
      <c r="B143" s="2" t="s">
        <v>17</v>
      </c>
      <c r="C143" s="5">
        <v>16</v>
      </c>
      <c r="D143" s="41">
        <v>46189</v>
      </c>
    </row>
    <row r="144" spans="1:4" ht="15.75" customHeight="1" x14ac:dyDescent="0.3">
      <c r="A144" s="40">
        <v>144</v>
      </c>
      <c r="B144" s="2" t="s">
        <v>18</v>
      </c>
      <c r="C144" s="5">
        <v>17</v>
      </c>
      <c r="D144" s="41">
        <v>46190</v>
      </c>
    </row>
    <row r="145" spans="1:4" ht="15.75" customHeight="1" x14ac:dyDescent="0.3">
      <c r="A145" s="40">
        <v>145</v>
      </c>
      <c r="B145" s="2" t="s">
        <v>13</v>
      </c>
      <c r="C145" s="5">
        <v>18</v>
      </c>
      <c r="D145" s="41">
        <v>46191</v>
      </c>
    </row>
    <row r="146" spans="1:4" ht="15.75" customHeight="1" x14ac:dyDescent="0.3">
      <c r="A146" s="40">
        <v>146</v>
      </c>
      <c r="B146" s="2" t="s">
        <v>14</v>
      </c>
      <c r="C146" s="5">
        <v>19</v>
      </c>
      <c r="D146" s="41">
        <v>46192</v>
      </c>
    </row>
    <row r="147" spans="1:4" ht="15.75" customHeight="1" x14ac:dyDescent="0.3">
      <c r="A147" s="40">
        <v>147</v>
      </c>
      <c r="B147" s="2" t="s">
        <v>15</v>
      </c>
      <c r="C147" s="5">
        <v>20</v>
      </c>
      <c r="D147" s="41">
        <v>46193</v>
      </c>
    </row>
    <row r="148" spans="1:4" ht="15.75" customHeight="1" x14ac:dyDescent="0.3">
      <c r="A148" s="40">
        <v>148</v>
      </c>
      <c r="B148" s="2" t="s">
        <v>16</v>
      </c>
      <c r="C148" s="5">
        <v>22</v>
      </c>
      <c r="D148" s="41">
        <v>46195</v>
      </c>
    </row>
    <row r="149" spans="1:4" ht="15.75" customHeight="1" x14ac:dyDescent="0.3">
      <c r="A149" s="40">
        <v>149</v>
      </c>
      <c r="B149" s="2" t="s">
        <v>17</v>
      </c>
      <c r="C149" s="5">
        <v>23</v>
      </c>
      <c r="D149" s="41">
        <v>46196</v>
      </c>
    </row>
    <row r="150" spans="1:4" ht="15.75" customHeight="1" x14ac:dyDescent="0.3">
      <c r="A150" s="40">
        <v>150</v>
      </c>
      <c r="B150" s="2" t="s">
        <v>18</v>
      </c>
      <c r="C150" s="5">
        <v>24</v>
      </c>
      <c r="D150" s="41">
        <v>46197</v>
      </c>
    </row>
    <row r="151" spans="1:4" ht="15.75" customHeight="1" x14ac:dyDescent="0.3">
      <c r="A151" s="40">
        <v>151</v>
      </c>
      <c r="B151" s="2" t="s">
        <v>13</v>
      </c>
      <c r="C151" s="5">
        <v>25</v>
      </c>
      <c r="D151" s="41">
        <v>46198</v>
      </c>
    </row>
    <row r="152" spans="1:4" ht="15.75" customHeight="1" x14ac:dyDescent="0.3">
      <c r="A152" s="40">
        <v>152</v>
      </c>
      <c r="B152" s="2" t="s">
        <v>14</v>
      </c>
      <c r="C152" s="5">
        <v>26</v>
      </c>
      <c r="D152" s="41">
        <v>46199</v>
      </c>
    </row>
    <row r="153" spans="1:4" ht="15.75" customHeight="1" x14ac:dyDescent="0.3">
      <c r="A153" s="40">
        <v>153</v>
      </c>
      <c r="B153" s="2" t="s">
        <v>15</v>
      </c>
      <c r="C153" s="5">
        <v>27</v>
      </c>
      <c r="D153" s="41">
        <v>46200</v>
      </c>
    </row>
    <row r="154" spans="1:4" ht="15.75" customHeight="1" x14ac:dyDescent="0.3">
      <c r="A154" s="40">
        <v>154</v>
      </c>
      <c r="B154" s="2" t="s">
        <v>16</v>
      </c>
      <c r="C154" s="6">
        <v>29</v>
      </c>
      <c r="D154" s="41">
        <v>46202</v>
      </c>
    </row>
    <row r="155" spans="1:4" ht="15.75" customHeight="1" x14ac:dyDescent="0.3">
      <c r="A155" s="40">
        <v>155</v>
      </c>
      <c r="B155" s="2" t="s">
        <v>17</v>
      </c>
      <c r="C155" s="5">
        <v>30</v>
      </c>
      <c r="D155" s="41">
        <v>46203</v>
      </c>
    </row>
    <row r="156" spans="1:4" ht="15.75" customHeight="1" x14ac:dyDescent="0.3">
      <c r="A156" s="40">
        <v>156</v>
      </c>
      <c r="B156" s="2" t="s">
        <v>18</v>
      </c>
      <c r="C156" s="5">
        <v>1</v>
      </c>
      <c r="D156" s="41">
        <v>46204</v>
      </c>
    </row>
    <row r="157" spans="1:4" ht="15.75" customHeight="1" x14ac:dyDescent="0.3">
      <c r="A157" s="40">
        <v>157</v>
      </c>
      <c r="B157" s="2" t="s">
        <v>13</v>
      </c>
      <c r="C157" s="5">
        <v>2</v>
      </c>
      <c r="D157" s="41">
        <v>46205</v>
      </c>
    </row>
    <row r="158" spans="1:4" ht="15.75" customHeight="1" x14ac:dyDescent="0.3">
      <c r="A158" s="40">
        <v>158</v>
      </c>
      <c r="B158" s="2" t="s">
        <v>14</v>
      </c>
      <c r="C158" s="5">
        <v>3</v>
      </c>
      <c r="D158" s="41">
        <v>46206</v>
      </c>
    </row>
    <row r="159" spans="1:4" ht="15.75" customHeight="1" x14ac:dyDescent="0.3">
      <c r="A159" s="40">
        <v>159</v>
      </c>
      <c r="B159" s="2" t="s">
        <v>15</v>
      </c>
      <c r="C159" s="5">
        <v>4</v>
      </c>
      <c r="D159" s="41">
        <v>46207</v>
      </c>
    </row>
    <row r="160" spans="1:4" ht="15.75" customHeight="1" x14ac:dyDescent="0.3">
      <c r="A160" s="40">
        <v>160</v>
      </c>
      <c r="B160" s="2" t="s">
        <v>16</v>
      </c>
      <c r="C160" s="5">
        <v>6</v>
      </c>
      <c r="D160" s="41">
        <v>46209</v>
      </c>
    </row>
    <row r="161" spans="1:4" ht="15.75" customHeight="1" x14ac:dyDescent="0.3">
      <c r="A161" s="40">
        <v>161</v>
      </c>
      <c r="B161" s="2" t="s">
        <v>17</v>
      </c>
      <c r="C161" s="5">
        <v>7</v>
      </c>
      <c r="D161" s="41">
        <v>46210</v>
      </c>
    </row>
    <row r="162" spans="1:4" ht="15.75" customHeight="1" x14ac:dyDescent="0.3">
      <c r="A162" s="40">
        <v>162</v>
      </c>
      <c r="B162" s="2" t="s">
        <v>18</v>
      </c>
      <c r="C162" s="5">
        <v>8</v>
      </c>
      <c r="D162" s="41">
        <v>46211</v>
      </c>
    </row>
    <row r="163" spans="1:4" ht="15.75" customHeight="1" x14ac:dyDescent="0.3">
      <c r="A163" s="40">
        <v>163</v>
      </c>
      <c r="B163" s="2" t="s">
        <v>13</v>
      </c>
      <c r="C163" s="5">
        <v>9</v>
      </c>
      <c r="D163" s="41">
        <v>46212</v>
      </c>
    </row>
    <row r="164" spans="1:4" ht="15.75" customHeight="1" x14ac:dyDescent="0.3">
      <c r="A164" s="40">
        <v>164</v>
      </c>
      <c r="B164" s="2" t="s">
        <v>14</v>
      </c>
      <c r="C164" s="5">
        <v>10</v>
      </c>
      <c r="D164" s="41">
        <v>46213</v>
      </c>
    </row>
    <row r="165" spans="1:4" ht="15.75" customHeight="1" x14ac:dyDescent="0.3">
      <c r="A165" s="40">
        <v>165</v>
      </c>
      <c r="B165" s="2" t="s">
        <v>15</v>
      </c>
      <c r="C165" s="5">
        <v>11</v>
      </c>
      <c r="D165" s="41">
        <v>46214</v>
      </c>
    </row>
    <row r="166" spans="1:4" ht="15.75" customHeight="1" x14ac:dyDescent="0.3">
      <c r="A166" s="40">
        <v>166</v>
      </c>
      <c r="B166" s="2" t="s">
        <v>16</v>
      </c>
      <c r="C166" s="5">
        <v>13</v>
      </c>
      <c r="D166" s="41">
        <v>46216</v>
      </c>
    </row>
    <row r="167" spans="1:4" ht="15.75" customHeight="1" x14ac:dyDescent="0.3">
      <c r="A167" s="40">
        <v>167</v>
      </c>
      <c r="B167" s="2" t="s">
        <v>17</v>
      </c>
      <c r="C167" s="5">
        <v>14</v>
      </c>
      <c r="D167" s="41">
        <v>46217</v>
      </c>
    </row>
    <row r="168" spans="1:4" ht="15.75" customHeight="1" x14ac:dyDescent="0.3">
      <c r="A168" s="40">
        <v>168</v>
      </c>
      <c r="B168" s="2" t="s">
        <v>18</v>
      </c>
      <c r="C168" s="5">
        <v>15</v>
      </c>
      <c r="D168" s="41">
        <v>46218</v>
      </c>
    </row>
    <row r="169" spans="1:4" ht="15.75" customHeight="1" x14ac:dyDescent="0.3">
      <c r="A169" s="40">
        <v>169</v>
      </c>
      <c r="B169" s="2" t="s">
        <v>13</v>
      </c>
      <c r="C169" s="5">
        <v>16</v>
      </c>
      <c r="D169" s="41">
        <v>46219</v>
      </c>
    </row>
    <row r="170" spans="1:4" ht="15.75" customHeight="1" x14ac:dyDescent="0.3">
      <c r="A170" s="40">
        <v>170</v>
      </c>
      <c r="B170" s="2" t="s">
        <v>14</v>
      </c>
      <c r="C170" s="5">
        <v>17</v>
      </c>
      <c r="D170" s="41">
        <v>46220</v>
      </c>
    </row>
    <row r="171" spans="1:4" ht="15.75" customHeight="1" x14ac:dyDescent="0.3">
      <c r="A171" s="40">
        <v>171</v>
      </c>
      <c r="B171" s="2" t="s">
        <v>15</v>
      </c>
      <c r="C171" s="5">
        <v>18</v>
      </c>
      <c r="D171" s="41">
        <v>46221</v>
      </c>
    </row>
    <row r="172" spans="1:4" ht="15.75" customHeight="1" x14ac:dyDescent="0.3">
      <c r="A172" s="40">
        <v>172</v>
      </c>
      <c r="B172" s="2" t="s">
        <v>16</v>
      </c>
      <c r="C172" s="6">
        <v>20</v>
      </c>
      <c r="D172" s="41">
        <v>46223</v>
      </c>
    </row>
    <row r="173" spans="1:4" ht="15.75" customHeight="1" x14ac:dyDescent="0.3">
      <c r="A173" s="40">
        <v>173</v>
      </c>
      <c r="B173" s="2" t="s">
        <v>17</v>
      </c>
      <c r="C173" s="5">
        <v>21</v>
      </c>
      <c r="D173" s="41">
        <v>46224</v>
      </c>
    </row>
    <row r="174" spans="1:4" ht="15.75" customHeight="1" x14ac:dyDescent="0.3">
      <c r="A174" s="40">
        <v>174</v>
      </c>
      <c r="B174" s="2" t="s">
        <v>18</v>
      </c>
      <c r="C174" s="5">
        <v>22</v>
      </c>
      <c r="D174" s="41">
        <v>46225</v>
      </c>
    </row>
    <row r="175" spans="1:4" ht="15.75" customHeight="1" x14ac:dyDescent="0.3">
      <c r="A175" s="40">
        <v>175</v>
      </c>
      <c r="B175" s="2" t="s">
        <v>13</v>
      </c>
      <c r="C175" s="5">
        <v>23</v>
      </c>
      <c r="D175" s="41">
        <v>46226</v>
      </c>
    </row>
    <row r="176" spans="1:4" ht="15.75" customHeight="1" x14ac:dyDescent="0.3">
      <c r="A176" s="40">
        <v>176</v>
      </c>
      <c r="B176" s="2" t="s">
        <v>14</v>
      </c>
      <c r="C176" s="5">
        <v>24</v>
      </c>
      <c r="D176" s="41">
        <v>46227</v>
      </c>
    </row>
    <row r="177" spans="1:4" ht="15.75" customHeight="1" x14ac:dyDescent="0.3">
      <c r="A177" s="40">
        <v>177</v>
      </c>
      <c r="B177" s="2" t="s">
        <v>15</v>
      </c>
      <c r="C177" s="5">
        <v>25</v>
      </c>
      <c r="D177" s="41">
        <v>46228</v>
      </c>
    </row>
    <row r="178" spans="1:4" ht="15.75" customHeight="1" x14ac:dyDescent="0.3">
      <c r="A178" s="40">
        <v>178</v>
      </c>
      <c r="B178" s="2" t="s">
        <v>16</v>
      </c>
      <c r="C178" s="5">
        <v>27</v>
      </c>
      <c r="D178" s="41">
        <v>46230</v>
      </c>
    </row>
    <row r="179" spans="1:4" ht="15.75" customHeight="1" x14ac:dyDescent="0.3">
      <c r="A179" s="40">
        <v>179</v>
      </c>
      <c r="B179" s="2" t="s">
        <v>17</v>
      </c>
      <c r="C179" s="5">
        <v>28</v>
      </c>
      <c r="D179" s="41">
        <v>46231</v>
      </c>
    </row>
    <row r="180" spans="1:4" ht="15.75" customHeight="1" x14ac:dyDescent="0.3">
      <c r="A180" s="40">
        <v>180</v>
      </c>
      <c r="B180" s="2" t="s">
        <v>18</v>
      </c>
      <c r="C180" s="5">
        <v>29</v>
      </c>
      <c r="D180" s="41">
        <v>46232</v>
      </c>
    </row>
    <row r="181" spans="1:4" ht="15.75" customHeight="1" x14ac:dyDescent="0.3">
      <c r="A181" s="40">
        <v>181</v>
      </c>
      <c r="B181" s="2" t="s">
        <v>13</v>
      </c>
      <c r="C181" s="5">
        <v>30</v>
      </c>
      <c r="D181" s="41">
        <v>46233</v>
      </c>
    </row>
    <row r="182" spans="1:4" ht="15.75" customHeight="1" x14ac:dyDescent="0.3">
      <c r="A182" s="40">
        <v>182</v>
      </c>
      <c r="B182" s="2" t="s">
        <v>14</v>
      </c>
      <c r="C182" s="5">
        <v>31</v>
      </c>
      <c r="D182" s="41">
        <v>46234</v>
      </c>
    </row>
    <row r="183" spans="1:4" ht="15.75" customHeight="1" x14ac:dyDescent="0.3">
      <c r="A183" s="40">
        <v>183</v>
      </c>
      <c r="B183" s="2" t="s">
        <v>15</v>
      </c>
      <c r="C183" s="5">
        <v>1</v>
      </c>
      <c r="D183" s="41">
        <v>46235</v>
      </c>
    </row>
    <row r="184" spans="1:4" ht="15.75" customHeight="1" x14ac:dyDescent="0.3">
      <c r="A184" s="40">
        <v>184</v>
      </c>
      <c r="B184" s="2" t="s">
        <v>16</v>
      </c>
      <c r="C184" s="5">
        <v>3</v>
      </c>
      <c r="D184" s="41">
        <v>46237</v>
      </c>
    </row>
    <row r="185" spans="1:4" ht="15.75" customHeight="1" x14ac:dyDescent="0.3">
      <c r="A185" s="40">
        <v>185</v>
      </c>
      <c r="B185" s="2" t="s">
        <v>17</v>
      </c>
      <c r="C185" s="5">
        <v>4</v>
      </c>
      <c r="D185" s="41">
        <v>46238</v>
      </c>
    </row>
    <row r="186" spans="1:4" ht="15.75" customHeight="1" x14ac:dyDescent="0.3">
      <c r="A186" s="40">
        <v>186</v>
      </c>
      <c r="B186" s="2" t="s">
        <v>18</v>
      </c>
      <c r="C186" s="5">
        <v>5</v>
      </c>
      <c r="D186" s="41">
        <v>46239</v>
      </c>
    </row>
    <row r="187" spans="1:4" ht="15.75" customHeight="1" x14ac:dyDescent="0.3">
      <c r="A187" s="40">
        <v>187</v>
      </c>
      <c r="B187" s="2" t="s">
        <v>13</v>
      </c>
      <c r="C187" s="5">
        <v>6</v>
      </c>
      <c r="D187" s="41">
        <v>46240</v>
      </c>
    </row>
    <row r="188" spans="1:4" ht="15.75" customHeight="1" x14ac:dyDescent="0.3">
      <c r="A188" s="40">
        <v>188</v>
      </c>
      <c r="B188" s="2" t="s">
        <v>14</v>
      </c>
      <c r="C188" s="6">
        <v>7</v>
      </c>
      <c r="D188" s="41">
        <v>46241</v>
      </c>
    </row>
    <row r="189" spans="1:4" ht="15.75" customHeight="1" x14ac:dyDescent="0.3">
      <c r="A189" s="40">
        <v>189</v>
      </c>
      <c r="B189" s="2" t="s">
        <v>15</v>
      </c>
      <c r="C189" s="5">
        <v>8</v>
      </c>
      <c r="D189" s="41">
        <v>46242</v>
      </c>
    </row>
    <row r="190" spans="1:4" ht="15.75" customHeight="1" x14ac:dyDescent="0.3">
      <c r="A190" s="40">
        <v>190</v>
      </c>
      <c r="B190" s="2" t="s">
        <v>16</v>
      </c>
      <c r="C190" s="5">
        <v>10</v>
      </c>
      <c r="D190" s="41">
        <v>46244</v>
      </c>
    </row>
    <row r="191" spans="1:4" ht="15.75" customHeight="1" x14ac:dyDescent="0.3">
      <c r="A191" s="40">
        <v>191</v>
      </c>
      <c r="B191" s="2" t="s">
        <v>17</v>
      </c>
      <c r="C191" s="5">
        <v>11</v>
      </c>
      <c r="D191" s="41">
        <v>46245</v>
      </c>
    </row>
    <row r="192" spans="1:4" ht="15.75" customHeight="1" x14ac:dyDescent="0.3">
      <c r="A192" s="40">
        <v>192</v>
      </c>
      <c r="B192" s="2" t="s">
        <v>18</v>
      </c>
      <c r="C192" s="5">
        <v>12</v>
      </c>
      <c r="D192" s="41">
        <v>46246</v>
      </c>
    </row>
    <row r="193" spans="1:4" ht="15.75" customHeight="1" x14ac:dyDescent="0.3">
      <c r="A193" s="40">
        <v>193</v>
      </c>
      <c r="B193" s="2" t="s">
        <v>13</v>
      </c>
      <c r="C193" s="5">
        <v>13</v>
      </c>
      <c r="D193" s="41">
        <v>46247</v>
      </c>
    </row>
    <row r="194" spans="1:4" ht="15.75" customHeight="1" x14ac:dyDescent="0.3">
      <c r="A194" s="40">
        <v>194</v>
      </c>
      <c r="B194" s="2" t="s">
        <v>14</v>
      </c>
      <c r="C194" s="5">
        <v>14</v>
      </c>
      <c r="D194" s="41">
        <v>46248</v>
      </c>
    </row>
    <row r="195" spans="1:4" ht="15.75" customHeight="1" x14ac:dyDescent="0.3">
      <c r="A195" s="40">
        <v>195</v>
      </c>
      <c r="B195" s="2" t="s">
        <v>15</v>
      </c>
      <c r="C195" s="5">
        <v>15</v>
      </c>
      <c r="D195" s="41">
        <v>46249</v>
      </c>
    </row>
    <row r="196" spans="1:4" ht="15.75" customHeight="1" x14ac:dyDescent="0.3">
      <c r="A196" s="40">
        <v>196</v>
      </c>
      <c r="B196" s="2" t="s">
        <v>16</v>
      </c>
      <c r="C196" s="6">
        <v>17</v>
      </c>
      <c r="D196" s="41">
        <v>46251</v>
      </c>
    </row>
    <row r="197" spans="1:4" ht="15.75" customHeight="1" x14ac:dyDescent="0.3">
      <c r="A197" s="40">
        <v>197</v>
      </c>
      <c r="B197" s="2" t="s">
        <v>17</v>
      </c>
      <c r="C197" s="5">
        <v>18</v>
      </c>
      <c r="D197" s="41">
        <v>46252</v>
      </c>
    </row>
    <row r="198" spans="1:4" ht="15.75" customHeight="1" x14ac:dyDescent="0.3">
      <c r="A198" s="40">
        <v>198</v>
      </c>
      <c r="B198" s="2" t="s">
        <v>18</v>
      </c>
      <c r="C198" s="5">
        <v>19</v>
      </c>
      <c r="D198" s="41">
        <v>46253</v>
      </c>
    </row>
    <row r="199" spans="1:4" ht="15.75" customHeight="1" x14ac:dyDescent="0.3">
      <c r="A199" s="40">
        <v>199</v>
      </c>
      <c r="B199" s="2" t="s">
        <v>13</v>
      </c>
      <c r="C199" s="5">
        <v>20</v>
      </c>
      <c r="D199" s="41">
        <v>46254</v>
      </c>
    </row>
    <row r="200" spans="1:4" ht="15.75" customHeight="1" x14ac:dyDescent="0.3">
      <c r="A200" s="40">
        <v>200</v>
      </c>
      <c r="B200" s="2" t="s">
        <v>14</v>
      </c>
      <c r="C200" s="5">
        <v>21</v>
      </c>
      <c r="D200" s="41">
        <v>46255</v>
      </c>
    </row>
    <row r="201" spans="1:4" ht="15.75" customHeight="1" x14ac:dyDescent="0.3">
      <c r="A201" s="40">
        <v>201</v>
      </c>
      <c r="B201" s="2" t="s">
        <v>15</v>
      </c>
      <c r="C201" s="5">
        <v>22</v>
      </c>
      <c r="D201" s="41">
        <v>46256</v>
      </c>
    </row>
    <row r="202" spans="1:4" ht="15.75" customHeight="1" x14ac:dyDescent="0.3">
      <c r="A202" s="40">
        <v>202</v>
      </c>
      <c r="B202" s="2" t="s">
        <v>16</v>
      </c>
      <c r="C202" s="5">
        <v>24</v>
      </c>
      <c r="D202" s="41">
        <v>46258</v>
      </c>
    </row>
    <row r="203" spans="1:4" ht="15.75" customHeight="1" x14ac:dyDescent="0.3">
      <c r="A203" s="40">
        <v>203</v>
      </c>
      <c r="B203" s="2" t="s">
        <v>17</v>
      </c>
      <c r="C203" s="5">
        <v>25</v>
      </c>
      <c r="D203" s="41">
        <v>46259</v>
      </c>
    </row>
    <row r="204" spans="1:4" ht="15.75" customHeight="1" x14ac:dyDescent="0.3">
      <c r="A204" s="40">
        <v>204</v>
      </c>
      <c r="B204" s="2" t="s">
        <v>18</v>
      </c>
      <c r="C204" s="5">
        <v>26</v>
      </c>
      <c r="D204" s="41">
        <v>46260</v>
      </c>
    </row>
    <row r="205" spans="1:4" ht="15.75" customHeight="1" x14ac:dyDescent="0.3">
      <c r="A205" s="40">
        <v>205</v>
      </c>
      <c r="B205" s="2" t="s">
        <v>13</v>
      </c>
      <c r="C205" s="5">
        <v>27</v>
      </c>
      <c r="D205" s="41">
        <v>46261</v>
      </c>
    </row>
    <row r="206" spans="1:4" ht="15.75" customHeight="1" x14ac:dyDescent="0.3">
      <c r="A206" s="40">
        <v>206</v>
      </c>
      <c r="B206" s="2" t="s">
        <v>14</v>
      </c>
      <c r="C206" s="5">
        <v>28</v>
      </c>
      <c r="D206" s="41">
        <v>46262</v>
      </c>
    </row>
    <row r="207" spans="1:4" ht="15.75" customHeight="1" x14ac:dyDescent="0.3">
      <c r="A207" s="40">
        <v>207</v>
      </c>
      <c r="B207" s="2" t="s">
        <v>15</v>
      </c>
      <c r="C207" s="5">
        <v>29</v>
      </c>
      <c r="D207" s="41">
        <v>46263</v>
      </c>
    </row>
    <row r="208" spans="1:4" ht="15.75" customHeight="1" x14ac:dyDescent="0.3">
      <c r="A208" s="40">
        <v>208</v>
      </c>
      <c r="B208" s="2" t="s">
        <v>16</v>
      </c>
      <c r="C208" s="5">
        <v>31</v>
      </c>
      <c r="D208" s="41">
        <v>46265</v>
      </c>
    </row>
    <row r="209" spans="1:4" ht="15.75" customHeight="1" x14ac:dyDescent="0.3">
      <c r="A209" s="40">
        <v>209</v>
      </c>
      <c r="B209" s="2" t="s">
        <v>17</v>
      </c>
      <c r="C209" s="5">
        <v>1</v>
      </c>
      <c r="D209" s="41">
        <v>46266</v>
      </c>
    </row>
    <row r="210" spans="1:4" ht="15.75" customHeight="1" x14ac:dyDescent="0.3">
      <c r="A210" s="40">
        <v>210</v>
      </c>
      <c r="B210" s="2" t="s">
        <v>18</v>
      </c>
      <c r="C210" s="5">
        <v>2</v>
      </c>
      <c r="D210" s="41">
        <v>46267</v>
      </c>
    </row>
    <row r="211" spans="1:4" ht="15.75" customHeight="1" x14ac:dyDescent="0.3">
      <c r="A211" s="40">
        <v>211</v>
      </c>
      <c r="B211" s="2" t="s">
        <v>13</v>
      </c>
      <c r="C211" s="5">
        <v>3</v>
      </c>
      <c r="D211" s="41">
        <v>46268</v>
      </c>
    </row>
    <row r="212" spans="1:4" ht="15.75" customHeight="1" x14ac:dyDescent="0.3">
      <c r="A212" s="40">
        <v>212</v>
      </c>
      <c r="B212" s="2" t="s">
        <v>14</v>
      </c>
      <c r="C212" s="5">
        <v>4</v>
      </c>
      <c r="D212" s="41">
        <v>46269</v>
      </c>
    </row>
    <row r="213" spans="1:4" ht="15.75" customHeight="1" x14ac:dyDescent="0.3">
      <c r="A213" s="40">
        <v>213</v>
      </c>
      <c r="B213" s="2" t="s">
        <v>15</v>
      </c>
      <c r="C213" s="5">
        <v>5</v>
      </c>
      <c r="D213" s="41">
        <v>46270</v>
      </c>
    </row>
    <row r="214" spans="1:4" ht="15.75" customHeight="1" x14ac:dyDescent="0.3">
      <c r="A214" s="40">
        <v>214</v>
      </c>
      <c r="B214" s="2" t="s">
        <v>16</v>
      </c>
      <c r="C214" s="5">
        <v>7</v>
      </c>
      <c r="D214" s="41">
        <v>46272</v>
      </c>
    </row>
    <row r="215" spans="1:4" ht="15.75" customHeight="1" x14ac:dyDescent="0.3">
      <c r="A215" s="40">
        <v>215</v>
      </c>
      <c r="B215" s="2" t="s">
        <v>17</v>
      </c>
      <c r="C215" s="5">
        <v>8</v>
      </c>
      <c r="D215" s="41">
        <v>46273</v>
      </c>
    </row>
    <row r="216" spans="1:4" ht="15.75" customHeight="1" x14ac:dyDescent="0.3">
      <c r="A216" s="40">
        <v>216</v>
      </c>
      <c r="B216" s="2" t="s">
        <v>18</v>
      </c>
      <c r="C216" s="5">
        <v>9</v>
      </c>
      <c r="D216" s="41">
        <v>46274</v>
      </c>
    </row>
    <row r="217" spans="1:4" ht="15.75" customHeight="1" x14ac:dyDescent="0.3">
      <c r="A217" s="40">
        <v>217</v>
      </c>
      <c r="B217" s="2" t="s">
        <v>13</v>
      </c>
      <c r="C217" s="5">
        <v>10</v>
      </c>
      <c r="D217" s="41">
        <v>46275</v>
      </c>
    </row>
    <row r="218" spans="1:4" ht="15.75" customHeight="1" x14ac:dyDescent="0.3">
      <c r="A218" s="40">
        <v>218</v>
      </c>
      <c r="B218" s="2" t="s">
        <v>14</v>
      </c>
      <c r="C218" s="5">
        <v>11</v>
      </c>
      <c r="D218" s="41">
        <v>46276</v>
      </c>
    </row>
    <row r="219" spans="1:4" ht="15.75" customHeight="1" x14ac:dyDescent="0.3">
      <c r="A219" s="40">
        <v>219</v>
      </c>
      <c r="B219" s="2" t="s">
        <v>15</v>
      </c>
      <c r="C219" s="5">
        <v>12</v>
      </c>
      <c r="D219" s="41">
        <v>46277</v>
      </c>
    </row>
    <row r="220" spans="1:4" ht="15.75" customHeight="1" x14ac:dyDescent="0.3">
      <c r="A220" s="40">
        <v>220</v>
      </c>
      <c r="B220" s="2" t="s">
        <v>16</v>
      </c>
      <c r="C220" s="5">
        <v>14</v>
      </c>
      <c r="D220" s="41">
        <v>46279</v>
      </c>
    </row>
    <row r="221" spans="1:4" ht="15.75" customHeight="1" x14ac:dyDescent="0.3">
      <c r="A221" s="40">
        <v>221</v>
      </c>
      <c r="B221" s="2" t="s">
        <v>17</v>
      </c>
      <c r="C221" s="5">
        <v>15</v>
      </c>
      <c r="D221" s="41">
        <v>46280</v>
      </c>
    </row>
    <row r="222" spans="1:4" ht="15.75" customHeight="1" x14ac:dyDescent="0.3">
      <c r="A222" s="40">
        <v>222</v>
      </c>
      <c r="B222" s="2" t="s">
        <v>18</v>
      </c>
      <c r="C222" s="5">
        <v>16</v>
      </c>
      <c r="D222" s="41">
        <v>46281</v>
      </c>
    </row>
    <row r="223" spans="1:4" ht="15.75" customHeight="1" x14ac:dyDescent="0.3">
      <c r="A223" s="40">
        <v>223</v>
      </c>
      <c r="B223" s="2" t="s">
        <v>13</v>
      </c>
      <c r="C223" s="5">
        <v>17</v>
      </c>
      <c r="D223" s="41">
        <v>46282</v>
      </c>
    </row>
    <row r="224" spans="1:4" ht="15.75" customHeight="1" x14ac:dyDescent="0.3">
      <c r="A224" s="40">
        <v>224</v>
      </c>
      <c r="B224" s="2" t="s">
        <v>14</v>
      </c>
      <c r="C224" s="5">
        <v>18</v>
      </c>
      <c r="D224" s="41">
        <v>46283</v>
      </c>
    </row>
    <row r="225" spans="1:4" ht="15.75" customHeight="1" x14ac:dyDescent="0.3">
      <c r="A225" s="40">
        <v>225</v>
      </c>
      <c r="B225" s="2" t="s">
        <v>15</v>
      </c>
      <c r="C225" s="5">
        <v>19</v>
      </c>
      <c r="D225" s="41">
        <v>46284</v>
      </c>
    </row>
    <row r="226" spans="1:4" ht="15.75" customHeight="1" x14ac:dyDescent="0.3">
      <c r="A226" s="40">
        <v>226</v>
      </c>
      <c r="B226" s="2" t="s">
        <v>16</v>
      </c>
      <c r="C226" s="5">
        <v>21</v>
      </c>
      <c r="D226" s="41">
        <v>46286</v>
      </c>
    </row>
    <row r="227" spans="1:4" ht="15.75" customHeight="1" x14ac:dyDescent="0.3">
      <c r="A227" s="40">
        <v>227</v>
      </c>
      <c r="B227" s="2" t="s">
        <v>17</v>
      </c>
      <c r="C227" s="5">
        <v>22</v>
      </c>
      <c r="D227" s="41">
        <v>46287</v>
      </c>
    </row>
    <row r="228" spans="1:4" ht="15.75" customHeight="1" x14ac:dyDescent="0.3">
      <c r="A228" s="40">
        <v>228</v>
      </c>
      <c r="B228" s="2" t="s">
        <v>18</v>
      </c>
      <c r="C228" s="5">
        <v>23</v>
      </c>
      <c r="D228" s="41">
        <v>46288</v>
      </c>
    </row>
    <row r="229" spans="1:4" ht="15.75" customHeight="1" x14ac:dyDescent="0.3">
      <c r="A229" s="40">
        <v>229</v>
      </c>
      <c r="B229" s="2" t="s">
        <v>13</v>
      </c>
      <c r="C229" s="5">
        <v>24</v>
      </c>
      <c r="D229" s="41">
        <v>46289</v>
      </c>
    </row>
    <row r="230" spans="1:4" ht="15.75" customHeight="1" x14ac:dyDescent="0.3">
      <c r="A230" s="40">
        <v>230</v>
      </c>
      <c r="B230" s="2" t="s">
        <v>14</v>
      </c>
      <c r="C230" s="5">
        <v>25</v>
      </c>
      <c r="D230" s="41">
        <v>46290</v>
      </c>
    </row>
    <row r="231" spans="1:4" ht="15.75" customHeight="1" x14ac:dyDescent="0.3">
      <c r="A231" s="40">
        <v>231</v>
      </c>
      <c r="B231" s="2" t="s">
        <v>15</v>
      </c>
      <c r="C231" s="5">
        <v>26</v>
      </c>
      <c r="D231" s="41">
        <v>46291</v>
      </c>
    </row>
    <row r="232" spans="1:4" ht="15.75" customHeight="1" x14ac:dyDescent="0.3">
      <c r="A232" s="40">
        <v>232</v>
      </c>
      <c r="B232" s="2" t="s">
        <v>16</v>
      </c>
      <c r="C232" s="5">
        <v>28</v>
      </c>
      <c r="D232" s="41">
        <v>46293</v>
      </c>
    </row>
    <row r="233" spans="1:4" ht="15.75" customHeight="1" x14ac:dyDescent="0.3">
      <c r="A233" s="40">
        <v>233</v>
      </c>
      <c r="B233" s="2" t="s">
        <v>17</v>
      </c>
      <c r="C233" s="5">
        <v>29</v>
      </c>
      <c r="D233" s="41">
        <v>46294</v>
      </c>
    </row>
    <row r="234" spans="1:4" ht="15.75" customHeight="1" x14ac:dyDescent="0.3">
      <c r="A234" s="40">
        <v>234</v>
      </c>
      <c r="B234" s="2" t="s">
        <v>18</v>
      </c>
      <c r="C234" s="5">
        <v>30</v>
      </c>
      <c r="D234" s="41">
        <v>46295</v>
      </c>
    </row>
    <row r="235" spans="1:4" ht="15.75" customHeight="1" x14ac:dyDescent="0.3">
      <c r="A235" s="40">
        <v>235</v>
      </c>
      <c r="B235" s="2" t="s">
        <v>13</v>
      </c>
      <c r="C235" s="5">
        <v>1</v>
      </c>
      <c r="D235" s="41">
        <v>46296</v>
      </c>
    </row>
    <row r="236" spans="1:4" ht="15.75" customHeight="1" x14ac:dyDescent="0.3">
      <c r="A236" s="40">
        <v>236</v>
      </c>
      <c r="B236" s="2" t="s">
        <v>14</v>
      </c>
      <c r="C236" s="5">
        <v>2</v>
      </c>
      <c r="D236" s="41">
        <v>46297</v>
      </c>
    </row>
    <row r="237" spans="1:4" ht="15.75" customHeight="1" x14ac:dyDescent="0.3">
      <c r="A237" s="40">
        <v>237</v>
      </c>
      <c r="B237" s="2" t="s">
        <v>15</v>
      </c>
      <c r="C237" s="5">
        <v>3</v>
      </c>
      <c r="D237" s="41">
        <v>46298</v>
      </c>
    </row>
    <row r="238" spans="1:4" ht="15.75" customHeight="1" x14ac:dyDescent="0.3">
      <c r="A238" s="40">
        <v>238</v>
      </c>
      <c r="B238" s="2" t="s">
        <v>16</v>
      </c>
      <c r="C238" s="5">
        <v>5</v>
      </c>
      <c r="D238" s="41">
        <v>46300</v>
      </c>
    </row>
    <row r="239" spans="1:4" ht="15.75" customHeight="1" x14ac:dyDescent="0.3">
      <c r="A239" s="40">
        <v>239</v>
      </c>
      <c r="B239" s="2" t="s">
        <v>17</v>
      </c>
      <c r="C239" s="5">
        <v>6</v>
      </c>
      <c r="D239" s="41">
        <v>46301</v>
      </c>
    </row>
    <row r="240" spans="1:4" ht="15.75" customHeight="1" x14ac:dyDescent="0.3">
      <c r="A240" s="40">
        <v>240</v>
      </c>
      <c r="B240" s="2" t="s">
        <v>18</v>
      </c>
      <c r="C240" s="5">
        <v>7</v>
      </c>
      <c r="D240" s="41">
        <v>46302</v>
      </c>
    </row>
    <row r="241" spans="1:4" ht="15.75" customHeight="1" x14ac:dyDescent="0.3">
      <c r="A241" s="40">
        <v>241</v>
      </c>
      <c r="B241" s="2" t="s">
        <v>13</v>
      </c>
      <c r="C241" s="5">
        <v>8</v>
      </c>
      <c r="D241" s="41">
        <v>46303</v>
      </c>
    </row>
    <row r="242" spans="1:4" ht="15.75" customHeight="1" x14ac:dyDescent="0.3">
      <c r="A242" s="40">
        <v>242</v>
      </c>
      <c r="B242" s="2" t="s">
        <v>14</v>
      </c>
      <c r="C242" s="5">
        <v>9</v>
      </c>
      <c r="D242" s="41">
        <v>46304</v>
      </c>
    </row>
    <row r="243" spans="1:4" ht="15.75" customHeight="1" x14ac:dyDescent="0.3">
      <c r="A243" s="40">
        <v>243</v>
      </c>
      <c r="B243" s="2" t="s">
        <v>15</v>
      </c>
      <c r="C243" s="5">
        <v>10</v>
      </c>
      <c r="D243" s="41">
        <v>46305</v>
      </c>
    </row>
    <row r="244" spans="1:4" ht="15.75" customHeight="1" x14ac:dyDescent="0.3">
      <c r="A244" s="40">
        <v>244</v>
      </c>
      <c r="B244" s="2" t="s">
        <v>16</v>
      </c>
      <c r="C244" s="6">
        <v>12</v>
      </c>
      <c r="D244" s="41">
        <v>46307</v>
      </c>
    </row>
    <row r="245" spans="1:4" ht="15.75" customHeight="1" x14ac:dyDescent="0.3">
      <c r="A245" s="40">
        <v>245</v>
      </c>
      <c r="B245" s="2" t="s">
        <v>17</v>
      </c>
      <c r="C245" s="5">
        <v>13</v>
      </c>
      <c r="D245" s="41">
        <v>46308</v>
      </c>
    </row>
    <row r="246" spans="1:4" ht="15.75" customHeight="1" x14ac:dyDescent="0.3">
      <c r="A246" s="40">
        <v>246</v>
      </c>
      <c r="B246" s="2" t="s">
        <v>18</v>
      </c>
      <c r="C246" s="5">
        <v>14</v>
      </c>
      <c r="D246" s="41">
        <v>46309</v>
      </c>
    </row>
    <row r="247" spans="1:4" ht="15.75" customHeight="1" x14ac:dyDescent="0.3">
      <c r="A247" s="40">
        <v>247</v>
      </c>
      <c r="B247" s="2" t="s">
        <v>13</v>
      </c>
      <c r="C247" s="5">
        <v>15</v>
      </c>
      <c r="D247" s="41">
        <v>46310</v>
      </c>
    </row>
    <row r="248" spans="1:4" ht="15.75" customHeight="1" x14ac:dyDescent="0.3">
      <c r="A248" s="40">
        <v>248</v>
      </c>
      <c r="B248" s="2" t="s">
        <v>14</v>
      </c>
      <c r="C248" s="5">
        <v>16</v>
      </c>
      <c r="D248" s="41">
        <v>46311</v>
      </c>
    </row>
    <row r="249" spans="1:4" ht="15.75" customHeight="1" x14ac:dyDescent="0.3">
      <c r="A249" s="40">
        <v>249</v>
      </c>
      <c r="B249" s="2" t="s">
        <v>15</v>
      </c>
      <c r="C249" s="5">
        <v>17</v>
      </c>
      <c r="D249" s="41">
        <v>46312</v>
      </c>
    </row>
    <row r="250" spans="1:4" ht="15.75" customHeight="1" x14ac:dyDescent="0.3">
      <c r="A250" s="40">
        <v>250</v>
      </c>
      <c r="B250" s="2" t="s">
        <v>16</v>
      </c>
      <c r="C250" s="5">
        <v>19</v>
      </c>
      <c r="D250" s="41">
        <v>46314</v>
      </c>
    </row>
    <row r="251" spans="1:4" ht="15.75" customHeight="1" x14ac:dyDescent="0.3">
      <c r="A251" s="40">
        <v>251</v>
      </c>
      <c r="B251" s="2" t="s">
        <v>17</v>
      </c>
      <c r="C251" s="5">
        <v>20</v>
      </c>
      <c r="D251" s="41">
        <v>46315</v>
      </c>
    </row>
    <row r="252" spans="1:4" ht="15.75" customHeight="1" x14ac:dyDescent="0.3">
      <c r="A252" s="40">
        <v>252</v>
      </c>
      <c r="B252" s="2" t="s">
        <v>18</v>
      </c>
      <c r="C252" s="5">
        <v>21</v>
      </c>
      <c r="D252" s="41">
        <v>46316</v>
      </c>
    </row>
    <row r="253" spans="1:4" ht="15.75" customHeight="1" x14ac:dyDescent="0.3">
      <c r="A253" s="40">
        <v>253</v>
      </c>
      <c r="B253" s="2" t="s">
        <v>13</v>
      </c>
      <c r="C253" s="5">
        <v>22</v>
      </c>
      <c r="D253" s="41">
        <v>46317</v>
      </c>
    </row>
    <row r="254" spans="1:4" ht="15.75" customHeight="1" x14ac:dyDescent="0.3">
      <c r="A254" s="40">
        <v>254</v>
      </c>
      <c r="B254" s="2" t="s">
        <v>14</v>
      </c>
      <c r="C254" s="5">
        <v>23</v>
      </c>
      <c r="D254" s="41">
        <v>46318</v>
      </c>
    </row>
    <row r="255" spans="1:4" ht="15.75" customHeight="1" x14ac:dyDescent="0.3">
      <c r="A255" s="40">
        <v>255</v>
      </c>
      <c r="B255" s="2" t="s">
        <v>15</v>
      </c>
      <c r="C255" s="5">
        <v>24</v>
      </c>
      <c r="D255" s="41">
        <v>46319</v>
      </c>
    </row>
    <row r="256" spans="1:4" ht="15.75" customHeight="1" x14ac:dyDescent="0.3">
      <c r="A256" s="40">
        <v>256</v>
      </c>
      <c r="B256" s="2" t="s">
        <v>16</v>
      </c>
      <c r="C256" s="5">
        <v>26</v>
      </c>
      <c r="D256" s="41">
        <v>46321</v>
      </c>
    </row>
    <row r="257" spans="1:4" ht="15.75" customHeight="1" x14ac:dyDescent="0.3">
      <c r="A257" s="40">
        <v>257</v>
      </c>
      <c r="B257" s="2" t="s">
        <v>17</v>
      </c>
      <c r="C257" s="5">
        <v>27</v>
      </c>
      <c r="D257" s="41">
        <v>46322</v>
      </c>
    </row>
    <row r="258" spans="1:4" ht="15.75" customHeight="1" x14ac:dyDescent="0.3">
      <c r="A258" s="40">
        <v>258</v>
      </c>
      <c r="B258" s="2" t="s">
        <v>18</v>
      </c>
      <c r="C258" s="5">
        <v>28</v>
      </c>
      <c r="D258" s="41">
        <v>46323</v>
      </c>
    </row>
    <row r="259" spans="1:4" ht="15.75" customHeight="1" x14ac:dyDescent="0.3">
      <c r="A259" s="40">
        <v>259</v>
      </c>
      <c r="B259" s="2" t="s">
        <v>13</v>
      </c>
      <c r="C259" s="5">
        <v>29</v>
      </c>
      <c r="D259" s="41">
        <v>46324</v>
      </c>
    </row>
    <row r="260" spans="1:4" ht="15.75" customHeight="1" x14ac:dyDescent="0.3">
      <c r="A260" s="40">
        <v>260</v>
      </c>
      <c r="B260" s="2" t="s">
        <v>14</v>
      </c>
      <c r="C260" s="5">
        <v>30</v>
      </c>
      <c r="D260" s="41">
        <v>46325</v>
      </c>
    </row>
    <row r="261" spans="1:4" ht="15.75" customHeight="1" x14ac:dyDescent="0.3">
      <c r="A261" s="40">
        <v>261</v>
      </c>
      <c r="B261" s="2" t="s">
        <v>15</v>
      </c>
      <c r="C261" s="5">
        <v>31</v>
      </c>
      <c r="D261" s="41">
        <v>46326</v>
      </c>
    </row>
    <row r="262" spans="1:4" ht="15.75" customHeight="1" x14ac:dyDescent="0.3">
      <c r="A262" s="40">
        <v>262</v>
      </c>
      <c r="B262" s="2" t="s">
        <v>16</v>
      </c>
      <c r="C262" s="6">
        <v>2</v>
      </c>
      <c r="D262" s="41">
        <v>46328</v>
      </c>
    </row>
    <row r="263" spans="1:4" ht="15.75" customHeight="1" x14ac:dyDescent="0.3">
      <c r="A263" s="40">
        <v>263</v>
      </c>
      <c r="B263" s="2" t="s">
        <v>17</v>
      </c>
      <c r="C263" s="5">
        <v>3</v>
      </c>
      <c r="D263" s="41">
        <v>46329</v>
      </c>
    </row>
    <row r="264" spans="1:4" ht="15.75" customHeight="1" x14ac:dyDescent="0.3">
      <c r="A264" s="40">
        <v>264</v>
      </c>
      <c r="B264" s="2" t="s">
        <v>18</v>
      </c>
      <c r="C264" s="5">
        <v>4</v>
      </c>
      <c r="D264" s="41">
        <v>46330</v>
      </c>
    </row>
    <row r="265" spans="1:4" ht="15.75" customHeight="1" x14ac:dyDescent="0.3">
      <c r="A265" s="40">
        <v>265</v>
      </c>
      <c r="B265" s="2" t="s">
        <v>13</v>
      </c>
      <c r="C265" s="5">
        <v>5</v>
      </c>
      <c r="D265" s="41">
        <v>46331</v>
      </c>
    </row>
    <row r="266" spans="1:4" ht="15.75" customHeight="1" x14ac:dyDescent="0.3">
      <c r="A266" s="40">
        <v>266</v>
      </c>
      <c r="B266" s="2" t="s">
        <v>14</v>
      </c>
      <c r="C266" s="5">
        <v>6</v>
      </c>
      <c r="D266" s="41">
        <v>46332</v>
      </c>
    </row>
    <row r="267" spans="1:4" ht="15.75" customHeight="1" x14ac:dyDescent="0.3">
      <c r="A267" s="40">
        <v>267</v>
      </c>
      <c r="B267" s="2" t="s">
        <v>15</v>
      </c>
      <c r="C267" s="5">
        <v>7</v>
      </c>
      <c r="D267" s="41">
        <v>46333</v>
      </c>
    </row>
    <row r="268" spans="1:4" ht="15.75" customHeight="1" x14ac:dyDescent="0.3">
      <c r="A268" s="40">
        <v>268</v>
      </c>
      <c r="B268" s="2" t="s">
        <v>16</v>
      </c>
      <c r="C268" s="5">
        <v>9</v>
      </c>
      <c r="D268" s="41">
        <v>46335</v>
      </c>
    </row>
    <row r="269" spans="1:4" ht="15.75" customHeight="1" x14ac:dyDescent="0.3">
      <c r="A269" s="40">
        <v>269</v>
      </c>
      <c r="B269" s="2" t="s">
        <v>17</v>
      </c>
      <c r="C269" s="5">
        <v>10</v>
      </c>
      <c r="D269" s="41">
        <v>46336</v>
      </c>
    </row>
    <row r="270" spans="1:4" ht="15.75" customHeight="1" x14ac:dyDescent="0.3">
      <c r="A270" s="40">
        <v>270</v>
      </c>
      <c r="B270" s="2" t="s">
        <v>18</v>
      </c>
      <c r="C270" s="5">
        <v>11</v>
      </c>
      <c r="D270" s="41">
        <v>46337</v>
      </c>
    </row>
    <row r="271" spans="1:4" ht="15.75" customHeight="1" x14ac:dyDescent="0.3">
      <c r="A271" s="40">
        <v>271</v>
      </c>
      <c r="B271" s="2" t="s">
        <v>13</v>
      </c>
      <c r="C271" s="5">
        <v>12</v>
      </c>
      <c r="D271" s="41">
        <v>46338</v>
      </c>
    </row>
    <row r="272" spans="1:4" ht="15.75" customHeight="1" x14ac:dyDescent="0.3">
      <c r="A272" s="40">
        <v>272</v>
      </c>
      <c r="B272" s="2" t="s">
        <v>14</v>
      </c>
      <c r="C272" s="5">
        <v>13</v>
      </c>
      <c r="D272" s="41">
        <v>46339</v>
      </c>
    </row>
    <row r="273" spans="1:4" ht="15.75" customHeight="1" x14ac:dyDescent="0.3">
      <c r="A273" s="40">
        <v>273</v>
      </c>
      <c r="B273" s="2" t="s">
        <v>15</v>
      </c>
      <c r="C273" s="5">
        <v>14</v>
      </c>
      <c r="D273" s="41">
        <v>46340</v>
      </c>
    </row>
    <row r="274" spans="1:4" ht="15.75" customHeight="1" x14ac:dyDescent="0.3">
      <c r="A274" s="40">
        <v>274</v>
      </c>
      <c r="B274" s="2" t="s">
        <v>16</v>
      </c>
      <c r="C274" s="6">
        <v>16</v>
      </c>
      <c r="D274" s="41">
        <v>46342</v>
      </c>
    </row>
    <row r="275" spans="1:4" ht="15.75" customHeight="1" x14ac:dyDescent="0.3">
      <c r="A275" s="40">
        <v>275</v>
      </c>
      <c r="B275" s="2" t="s">
        <v>17</v>
      </c>
      <c r="C275" s="5">
        <v>17</v>
      </c>
      <c r="D275" s="41">
        <v>46343</v>
      </c>
    </row>
    <row r="276" spans="1:4" ht="15.75" customHeight="1" x14ac:dyDescent="0.3">
      <c r="A276" s="40">
        <v>276</v>
      </c>
      <c r="B276" s="2" t="s">
        <v>18</v>
      </c>
      <c r="C276" s="5">
        <v>18</v>
      </c>
      <c r="D276" s="41">
        <v>46344</v>
      </c>
    </row>
    <row r="277" spans="1:4" ht="15.75" customHeight="1" x14ac:dyDescent="0.3">
      <c r="A277" s="40">
        <v>277</v>
      </c>
      <c r="B277" s="2" t="s">
        <v>13</v>
      </c>
      <c r="C277" s="5">
        <v>19</v>
      </c>
      <c r="D277" s="41">
        <v>46345</v>
      </c>
    </row>
    <row r="278" spans="1:4" ht="15.75" customHeight="1" x14ac:dyDescent="0.3">
      <c r="A278" s="40">
        <v>278</v>
      </c>
      <c r="B278" s="2" t="s">
        <v>14</v>
      </c>
      <c r="C278" s="5">
        <v>20</v>
      </c>
      <c r="D278" s="41">
        <v>46346</v>
      </c>
    </row>
    <row r="279" spans="1:4" ht="15.75" customHeight="1" x14ac:dyDescent="0.3">
      <c r="A279" s="40">
        <v>279</v>
      </c>
      <c r="B279" s="2" t="s">
        <v>15</v>
      </c>
      <c r="C279" s="5">
        <v>21</v>
      </c>
      <c r="D279" s="41">
        <v>46347</v>
      </c>
    </row>
    <row r="280" spans="1:4" ht="15.75" customHeight="1" x14ac:dyDescent="0.3">
      <c r="A280" s="40">
        <v>280</v>
      </c>
      <c r="B280" s="2" t="s">
        <v>16</v>
      </c>
      <c r="C280" s="5">
        <v>23</v>
      </c>
      <c r="D280" s="41">
        <v>46349</v>
      </c>
    </row>
    <row r="281" spans="1:4" ht="15.75" customHeight="1" x14ac:dyDescent="0.3">
      <c r="A281" s="40">
        <v>281</v>
      </c>
      <c r="B281" s="2" t="s">
        <v>17</v>
      </c>
      <c r="C281" s="5">
        <v>24</v>
      </c>
      <c r="D281" s="41">
        <v>46350</v>
      </c>
    </row>
    <row r="282" spans="1:4" ht="15.75" customHeight="1" x14ac:dyDescent="0.3">
      <c r="A282" s="40">
        <v>282</v>
      </c>
      <c r="B282" s="2" t="s">
        <v>18</v>
      </c>
      <c r="C282" s="5">
        <v>25</v>
      </c>
      <c r="D282" s="41">
        <v>46351</v>
      </c>
    </row>
    <row r="283" spans="1:4" ht="15.75" customHeight="1" x14ac:dyDescent="0.3">
      <c r="A283" s="40">
        <v>283</v>
      </c>
      <c r="B283" s="2" t="s">
        <v>13</v>
      </c>
      <c r="C283" s="5">
        <v>26</v>
      </c>
      <c r="D283" s="41">
        <v>46352</v>
      </c>
    </row>
    <row r="284" spans="1:4" ht="15.75" customHeight="1" x14ac:dyDescent="0.3">
      <c r="A284" s="40">
        <v>284</v>
      </c>
      <c r="B284" s="2" t="s">
        <v>14</v>
      </c>
      <c r="C284" s="5">
        <v>27</v>
      </c>
      <c r="D284" s="41">
        <v>46353</v>
      </c>
    </row>
    <row r="285" spans="1:4" ht="15.75" customHeight="1" x14ac:dyDescent="0.3">
      <c r="A285" s="40">
        <v>285</v>
      </c>
      <c r="B285" s="2" t="s">
        <v>15</v>
      </c>
      <c r="C285" s="5">
        <v>28</v>
      </c>
      <c r="D285" s="41">
        <v>46354</v>
      </c>
    </row>
    <row r="286" spans="1:4" ht="15.75" customHeight="1" x14ac:dyDescent="0.3">
      <c r="A286" s="40">
        <v>286</v>
      </c>
      <c r="B286" s="2" t="s">
        <v>16</v>
      </c>
      <c r="C286" s="5">
        <v>30</v>
      </c>
      <c r="D286" s="41">
        <v>46356</v>
      </c>
    </row>
    <row r="287" spans="1:4" ht="15.75" customHeight="1" x14ac:dyDescent="0.3">
      <c r="A287" s="40">
        <v>287</v>
      </c>
      <c r="B287" s="2" t="s">
        <v>17</v>
      </c>
      <c r="C287" s="5">
        <v>1</v>
      </c>
      <c r="D287" s="41">
        <v>46357</v>
      </c>
    </row>
    <row r="288" spans="1:4" ht="15.75" customHeight="1" x14ac:dyDescent="0.3">
      <c r="A288" s="40">
        <v>288</v>
      </c>
      <c r="B288" s="2" t="s">
        <v>18</v>
      </c>
      <c r="C288" s="5">
        <v>2</v>
      </c>
      <c r="D288" s="41">
        <v>46358</v>
      </c>
    </row>
    <row r="289" spans="1:4" ht="15.75" customHeight="1" x14ac:dyDescent="0.3">
      <c r="A289" s="40">
        <v>289</v>
      </c>
      <c r="B289" s="2" t="s">
        <v>13</v>
      </c>
      <c r="C289" s="5">
        <v>3</v>
      </c>
      <c r="D289" s="41">
        <v>46359</v>
      </c>
    </row>
    <row r="290" spans="1:4" ht="15.75" customHeight="1" x14ac:dyDescent="0.3">
      <c r="A290" s="40">
        <v>290</v>
      </c>
      <c r="B290" s="2" t="s">
        <v>14</v>
      </c>
      <c r="C290" s="5">
        <v>4</v>
      </c>
      <c r="D290" s="41">
        <v>46360</v>
      </c>
    </row>
    <row r="291" spans="1:4" ht="15.75" customHeight="1" x14ac:dyDescent="0.3">
      <c r="A291" s="40">
        <v>291</v>
      </c>
      <c r="B291" s="2" t="s">
        <v>15</v>
      </c>
      <c r="C291" s="5">
        <v>5</v>
      </c>
      <c r="D291" s="41">
        <v>46361</v>
      </c>
    </row>
    <row r="292" spans="1:4" ht="15.75" customHeight="1" x14ac:dyDescent="0.3">
      <c r="A292" s="40">
        <v>292</v>
      </c>
      <c r="B292" s="2" t="s">
        <v>16</v>
      </c>
      <c r="C292" s="5">
        <v>7</v>
      </c>
      <c r="D292" s="41">
        <v>46363</v>
      </c>
    </row>
    <row r="293" spans="1:4" ht="15.75" customHeight="1" x14ac:dyDescent="0.3">
      <c r="A293" s="40">
        <v>293</v>
      </c>
      <c r="B293" s="2" t="s">
        <v>17</v>
      </c>
      <c r="C293" s="6">
        <v>8</v>
      </c>
      <c r="D293" s="41">
        <v>46364</v>
      </c>
    </row>
    <row r="294" spans="1:4" ht="15.75" customHeight="1" x14ac:dyDescent="0.3">
      <c r="A294" s="40">
        <v>294</v>
      </c>
      <c r="B294" s="2" t="s">
        <v>18</v>
      </c>
      <c r="C294" s="5">
        <v>9</v>
      </c>
      <c r="D294" s="41">
        <v>46365</v>
      </c>
    </row>
    <row r="295" spans="1:4" ht="15.75" customHeight="1" x14ac:dyDescent="0.3">
      <c r="A295" s="40">
        <v>295</v>
      </c>
      <c r="B295" s="2" t="s">
        <v>13</v>
      </c>
      <c r="C295" s="5">
        <v>10</v>
      </c>
      <c r="D295" s="41">
        <v>46366</v>
      </c>
    </row>
    <row r="296" spans="1:4" ht="15.75" customHeight="1" x14ac:dyDescent="0.3">
      <c r="A296" s="40">
        <v>296</v>
      </c>
      <c r="B296" s="2" t="s">
        <v>14</v>
      </c>
      <c r="C296" s="5">
        <v>11</v>
      </c>
      <c r="D296" s="41">
        <v>46367</v>
      </c>
    </row>
    <row r="297" spans="1:4" ht="15.75" customHeight="1" x14ac:dyDescent="0.3">
      <c r="A297" s="40">
        <v>297</v>
      </c>
      <c r="B297" s="2" t="s">
        <v>15</v>
      </c>
      <c r="C297" s="5">
        <v>12</v>
      </c>
      <c r="D297" s="41">
        <v>46368</v>
      </c>
    </row>
    <row r="298" spans="1:4" ht="15.75" customHeight="1" x14ac:dyDescent="0.3">
      <c r="A298" s="40">
        <v>298</v>
      </c>
      <c r="B298" s="2" t="s">
        <v>16</v>
      </c>
      <c r="C298" s="5">
        <v>14</v>
      </c>
      <c r="D298" s="41">
        <v>46370</v>
      </c>
    </row>
    <row r="299" spans="1:4" ht="15.75" customHeight="1" x14ac:dyDescent="0.3">
      <c r="A299" s="40">
        <v>299</v>
      </c>
      <c r="B299" s="2" t="s">
        <v>17</v>
      </c>
      <c r="C299" s="5">
        <v>15</v>
      </c>
      <c r="D299" s="41">
        <v>46371</v>
      </c>
    </row>
    <row r="300" spans="1:4" ht="15.75" customHeight="1" x14ac:dyDescent="0.3">
      <c r="A300" s="40">
        <v>300</v>
      </c>
      <c r="B300" s="2" t="s">
        <v>18</v>
      </c>
      <c r="C300" s="5">
        <v>16</v>
      </c>
      <c r="D300" s="41">
        <v>46372</v>
      </c>
    </row>
    <row r="301" spans="1:4" ht="15.75" customHeight="1" x14ac:dyDescent="0.3">
      <c r="A301" s="40">
        <v>301</v>
      </c>
      <c r="B301" s="2" t="s">
        <v>13</v>
      </c>
      <c r="C301" s="5">
        <v>17</v>
      </c>
      <c r="D301" s="41">
        <v>46373</v>
      </c>
    </row>
    <row r="302" spans="1:4" ht="15.75" customHeight="1" x14ac:dyDescent="0.3">
      <c r="A302" s="40">
        <v>302</v>
      </c>
      <c r="B302" s="2" t="s">
        <v>14</v>
      </c>
      <c r="C302" s="5">
        <v>18</v>
      </c>
      <c r="D302" s="41">
        <v>46374</v>
      </c>
    </row>
    <row r="303" spans="1:4" ht="15.75" customHeight="1" x14ac:dyDescent="0.3">
      <c r="A303" s="40">
        <v>303</v>
      </c>
      <c r="B303" s="2" t="s">
        <v>15</v>
      </c>
      <c r="C303" s="5">
        <v>19</v>
      </c>
      <c r="D303" s="41">
        <v>46375</v>
      </c>
    </row>
    <row r="304" spans="1:4" ht="15.75" customHeight="1" x14ac:dyDescent="0.3">
      <c r="A304" s="40">
        <v>304</v>
      </c>
      <c r="B304" s="2" t="s">
        <v>16</v>
      </c>
      <c r="C304" s="5">
        <v>21</v>
      </c>
      <c r="D304" s="41">
        <v>46377</v>
      </c>
    </row>
    <row r="305" spans="1:4" ht="15.75" customHeight="1" x14ac:dyDescent="0.3">
      <c r="A305" s="40">
        <v>305</v>
      </c>
      <c r="B305" s="2" t="s">
        <v>17</v>
      </c>
      <c r="C305" s="5">
        <v>22</v>
      </c>
      <c r="D305" s="41">
        <v>46378</v>
      </c>
    </row>
    <row r="306" spans="1:4" ht="15.75" customHeight="1" x14ac:dyDescent="0.3">
      <c r="A306" s="40">
        <v>306</v>
      </c>
      <c r="B306" s="2" t="s">
        <v>18</v>
      </c>
      <c r="C306" s="5">
        <v>23</v>
      </c>
      <c r="D306" s="41">
        <v>46379</v>
      </c>
    </row>
    <row r="307" spans="1:4" ht="15.75" customHeight="1" x14ac:dyDescent="0.3">
      <c r="A307" s="40">
        <v>307</v>
      </c>
      <c r="B307" s="2" t="s">
        <v>13</v>
      </c>
      <c r="C307" s="5">
        <v>24</v>
      </c>
      <c r="D307" s="41">
        <v>46380</v>
      </c>
    </row>
    <row r="308" spans="1:4" ht="15.75" customHeight="1" x14ac:dyDescent="0.3">
      <c r="A308" s="40">
        <v>308</v>
      </c>
      <c r="B308" s="2" t="s">
        <v>14</v>
      </c>
      <c r="C308" s="6">
        <v>25</v>
      </c>
      <c r="D308" s="41">
        <v>46381</v>
      </c>
    </row>
    <row r="309" spans="1:4" ht="15.75" customHeight="1" x14ac:dyDescent="0.3">
      <c r="A309" s="40">
        <v>309</v>
      </c>
      <c r="B309" s="2" t="s">
        <v>15</v>
      </c>
      <c r="C309" s="5">
        <v>26</v>
      </c>
      <c r="D309" s="41">
        <v>46382</v>
      </c>
    </row>
    <row r="310" spans="1:4" ht="15.75" customHeight="1" x14ac:dyDescent="0.3">
      <c r="A310" s="40">
        <v>310</v>
      </c>
      <c r="B310" s="2" t="s">
        <v>16</v>
      </c>
      <c r="C310" s="5">
        <v>28</v>
      </c>
      <c r="D310" s="41">
        <v>46384</v>
      </c>
    </row>
    <row r="311" spans="1:4" ht="15.75" customHeight="1" x14ac:dyDescent="0.3">
      <c r="A311" s="40">
        <v>311</v>
      </c>
      <c r="B311" s="2" t="s">
        <v>17</v>
      </c>
      <c r="C311" s="5">
        <v>29</v>
      </c>
      <c r="D311" s="41">
        <v>46385</v>
      </c>
    </row>
    <row r="312" spans="1:4" ht="15.75" customHeight="1" x14ac:dyDescent="0.3">
      <c r="A312" s="40">
        <v>312</v>
      </c>
      <c r="B312" s="2" t="s">
        <v>18</v>
      </c>
      <c r="C312" s="5">
        <v>30</v>
      </c>
      <c r="D312" s="41">
        <v>46386</v>
      </c>
    </row>
    <row r="313" spans="1:4" ht="15.75" customHeight="1" x14ac:dyDescent="0.3">
      <c r="A313" s="40">
        <v>313</v>
      </c>
      <c r="B313" s="2" t="s">
        <v>13</v>
      </c>
      <c r="C313" s="5">
        <v>31</v>
      </c>
      <c r="D313" s="41">
        <v>46387</v>
      </c>
    </row>
    <row r="314" spans="1:4" ht="15.75" customHeight="1" x14ac:dyDescent="0.3"/>
    <row r="315" spans="1:4" ht="15.75" customHeight="1" x14ac:dyDescent="0.3"/>
    <row r="316" spans="1:4" ht="15.75" customHeight="1" x14ac:dyDescent="0.3"/>
    <row r="317" spans="1:4" ht="15.75" customHeight="1" x14ac:dyDescent="0.3"/>
    <row r="318" spans="1:4" ht="15.75" customHeight="1" x14ac:dyDescent="0.3"/>
    <row r="319" spans="1:4" ht="15.75" customHeight="1" x14ac:dyDescent="0.3"/>
    <row r="320" spans="1:4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871594-719F-4901-BA5C-40CCC298E9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Formato Cronograma</vt:lpstr>
      <vt:lpstr>1 - Formulación de proyectos</vt:lpstr>
      <vt:lpstr>2 - Gestión del conocimiento</vt:lpstr>
      <vt:lpstr>3 - Gestión del desempeño</vt:lpstr>
      <vt:lpstr>4 - Gestión pública</vt:lpstr>
      <vt:lpstr>5 - Atención diferencial</vt:lpstr>
      <vt:lpstr>6 - Valor público</vt:lpstr>
      <vt:lpstr>7 - Bases de datos</vt:lpstr>
      <vt:lpstr>8 - Analítica de datos</vt:lpstr>
      <vt:lpstr>9 - Power BI</vt:lpstr>
      <vt:lpstr>10 - Comunicación asertiva</vt:lpstr>
      <vt:lpstr>11 - Riesgos</vt:lpstr>
      <vt:lpstr>12 - Pensamiento crítico</vt:lpstr>
      <vt:lpstr>Fechas - 1</vt:lpstr>
      <vt:lpstr>Fechas - 2</vt:lpstr>
      <vt:lpstr>Fechas - 3</vt:lpstr>
      <vt:lpstr>Fechas - 4</vt:lpstr>
      <vt:lpstr>Fechas - 5</vt:lpstr>
      <vt:lpstr>Fechas - 6</vt:lpstr>
      <vt:lpstr>Fechas - 7</vt:lpstr>
      <vt:lpstr>Fechas - 8</vt:lpstr>
      <vt:lpstr>Fechas - 9</vt:lpstr>
      <vt:lpstr>Fechas - 10</vt:lpstr>
      <vt:lpstr>Fechas - 11</vt:lpstr>
      <vt:lpstr>Fechas - 12</vt:lpstr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Bautista</dc:creator>
  <cp:keywords/>
  <dc:description/>
  <cp:lastModifiedBy>Daniel Gutiérrez</cp:lastModifiedBy>
  <cp:revision/>
  <dcterms:created xsi:type="dcterms:W3CDTF">2023-06-08T15:48:07Z</dcterms:created>
  <dcterms:modified xsi:type="dcterms:W3CDTF">2026-08-03T01:11:14Z</dcterms:modified>
  <cp:category/>
  <cp:contentStatus/>
</cp:coreProperties>
</file>